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isastuckless/Documents/MAS/CTL/Pricing/Pricing Calculator/"/>
    </mc:Choice>
  </mc:AlternateContent>
  <xr:revisionPtr revIDLastSave="0" documentId="13_ncr:1_{D9E499D2-431E-8541-91BA-6AEDC74038F8}" xr6:coauthVersionLast="47" xr6:coauthVersionMax="47" xr10:uidLastSave="{00000000-0000-0000-0000-000000000000}"/>
  <workbookProtection workbookAlgorithmName="SHA-512" workbookHashValue="405G0Aiu+9cb5KVLYOsB9rwiF58K2GQqFel0UHO6RZxxo8PCrJOCa2Tsz/iZlbpP7wXGdjiUcHJ5VhhMzlun5A==" workbookSaltValue="o3iKj5kPCgAwWRgyq6FCYA==" workbookSpinCount="100000" lockStructure="1"/>
  <bookViews>
    <workbookView xWindow="0" yWindow="700" windowWidth="27040" windowHeight="15360" firstSheet="3" activeTab="8" xr2:uid="{CABACD23-35B0-411B-94D4-F99DE4D7FEAF}"/>
  </bookViews>
  <sheets>
    <sheet name="Instructions" sheetId="6" r:id="rId1"/>
    <sheet name="Details - New Deal" sheetId="9" r:id="rId2"/>
    <sheet name="New Deal Calculator" sheetId="8" r:id="rId3"/>
    <sheet name=" New Deal STL Pricing" sheetId="14" r:id="rId4"/>
    <sheet name="Details - Upgrade Parts" sheetId="7" r:id="rId5"/>
    <sheet name="Upgrade Parts Calculator" sheetId="20" r:id="rId6"/>
    <sheet name="Subscription Upgrade Pricing" sheetId="12" r:id="rId7"/>
    <sheet name="Details - Trade-up Parts " sheetId="16" r:id="rId8"/>
    <sheet name="Trade-up Parts Calculator" sheetId="15" r:id="rId9"/>
    <sheet name="Perpetual Trade-up Pricing" sheetId="17" r:id="rId10"/>
    <sheet name="List of Eligible Parts" sheetId="24" r:id="rId11"/>
    <sheet name="Version" sheetId="18" r:id="rId12"/>
    <sheet name="New Parts" sheetId="10" state="hidden" r:id="rId13"/>
    <sheet name="Upgrade Parts Future_K_v5.4" sheetId="19" state="hidden" r:id="rId14"/>
    <sheet name="Upgrade Parts Future_K_v4.1" sheetId="2" state="hidden" r:id="rId15"/>
    <sheet name="Upgrade Parts Future_K_v6.4" sheetId="23" state="hidden" r:id="rId16"/>
    <sheet name="Upgrade Parts Future_K_v6.0" sheetId="21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8" hidden="1">'Trade-up Parts Calculator'!$B$4:$H$36</definedName>
    <definedName name="_xlnm._FilterDatabase" localSheetId="14" hidden="1">'Upgrade Parts Future_K_v4.1'!$A$2:$W$504</definedName>
    <definedName name="_xlnm._FilterDatabase" localSheetId="13" hidden="1">'Upgrade Parts Future_K_v5.4'!$A$2:$W$504</definedName>
    <definedName name="_xlnm._FilterDatabase" localSheetId="16" hidden="1">'Upgrade Parts Future_K_v6.0'!$A$2:$W$504</definedName>
    <definedName name="_xlnm._FilterDatabase" localSheetId="15" hidden="1">'Upgrade Parts Future_K_v6.4'!$A$2:$V$528</definedName>
    <definedName name="COREISADDONS" localSheetId="1">[1]LIST!#REF!</definedName>
    <definedName name="COREISADDONS" localSheetId="9">[1]LIST!#REF!</definedName>
    <definedName name="COREISADDONS">[1]LIST!#REF!</definedName>
    <definedName name="Currency" localSheetId="1">'[2]Named Ranges'!$A$2:$A$18</definedName>
    <definedName name="Currency" localSheetId="7">'[2]Named Ranges'!$A$2:$A$18</definedName>
    <definedName name="Currency" localSheetId="4">'[2]Named Ranges'!$A$2:$A$18</definedName>
    <definedName name="Currency" localSheetId="0">'[2]Named Ranges'!$A$2:$A$18</definedName>
    <definedName name="Currency">'[3]Named Ranges'!$A$2:$A$18</definedName>
    <definedName name="NewParts">'New Parts'!$D$3:$D$26</definedName>
    <definedName name="Parts" localSheetId="1">'[4]Upgrade Parts Future_K_v4.0'!$H$3:$H$498</definedName>
    <definedName name="Parts" localSheetId="7">'[5]Upgrade Parts Future_K_v4.0'!$H$3:$H$498</definedName>
    <definedName name="Parts" localSheetId="4">'[5]Upgrade Parts Future_K_v4.0'!$H$3:$H$498</definedName>
    <definedName name="Parts" localSheetId="0">'[5]Upgrade Parts Future_K_v4.0'!$H$3:$H$498</definedName>
    <definedName name="Parts" localSheetId="9">'[6]Upgrade Parts Future_K_v4.1'!$H$3:$H$498</definedName>
    <definedName name="Parts" localSheetId="13">'Upgrade Parts Future_K_v5.4'!$H$3:$H$498</definedName>
    <definedName name="Parts" localSheetId="16">'Upgrade Parts Future_K_v6.0'!$H$3:$H$498</definedName>
    <definedName name="Parts" localSheetId="15">'Upgrade Parts Future_K_v6.4'!$H$3:$H$498</definedName>
    <definedName name="Parts">'Upgrade Parts Future_K_v4.1'!$H$3:$H$498</definedName>
    <definedName name="Route_to_Market" localSheetId="1">'[2]Named Ranges'!$E$2:$E$3</definedName>
    <definedName name="Route_to_Market" localSheetId="7">'[2]Named Ranges'!$E$2:$E$3</definedName>
    <definedName name="Route_to_Market" localSheetId="4">'[2]Named Ranges'!$E$2:$E$3</definedName>
    <definedName name="Route_to_Market" localSheetId="0">'[2]Named Ranges'!$E$2:$E$3</definedName>
    <definedName name="Route_to_Market">'[3]Named Ranges'!$E$2:$E$3</definedName>
    <definedName name="rsvp" localSheetId="1">'[2]Named Ranges'!$C$2:$C$11</definedName>
    <definedName name="rsvp" localSheetId="7">'[2]Named Ranges'!$C$2:$C$11</definedName>
    <definedName name="rsvp" localSheetId="4">'[2]Named Ranges'!$C$2:$C$11</definedName>
    <definedName name="rsvp" localSheetId="0">'[2]Named Ranges'!$C$2:$C$11</definedName>
    <definedName name="rsvp">'[3]Named Ranges'!$C$2:$C$11</definedName>
    <definedName name="usertype" localSheetId="9">'[6]New Parts'!$D$37:$D$44</definedName>
    <definedName name="usertype">'New Parts'!$D$37:$D$47</definedName>
    <definedName name="usertypepoints" localSheetId="9">'[6]New Parts'!$D$37:$E$44</definedName>
    <definedName name="usertypepoints">'New Parts'!$D$37:$E$47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6" i="12" l="1"/>
  <c r="H35" i="12"/>
  <c r="H34" i="12"/>
  <c r="H33" i="12"/>
  <c r="H14" i="12"/>
  <c r="H15" i="12" s="1"/>
  <c r="H16" i="12" s="1"/>
  <c r="H17" i="12" s="1"/>
  <c r="K37" i="12"/>
  <c r="K38" i="12" s="1"/>
  <c r="F31" i="12"/>
  <c r="F33" i="12" s="1"/>
  <c r="F34" i="12" s="1"/>
  <c r="F35" i="12" s="1"/>
  <c r="F36" i="12" s="1"/>
  <c r="C31" i="12"/>
  <c r="H31" i="12" s="1"/>
  <c r="K18" i="12"/>
  <c r="K19" i="12" s="1"/>
  <c r="F12" i="12"/>
  <c r="F14" i="12" s="1"/>
  <c r="F15" i="12" s="1"/>
  <c r="F16" i="12" s="1"/>
  <c r="F17" i="12" s="1"/>
  <c r="C12" i="12"/>
  <c r="H12" i="12" s="1"/>
  <c r="G31" i="12" l="1"/>
  <c r="F37" i="12"/>
  <c r="F38" i="12" s="1"/>
  <c r="G12" i="12"/>
  <c r="F18" i="12"/>
  <c r="F19" i="12" s="1"/>
  <c r="H37" i="12" l="1"/>
  <c r="H18" i="12"/>
  <c r="H38" i="12" l="1"/>
  <c r="I38" i="12" s="1"/>
  <c r="I37" i="12"/>
  <c r="H19" i="12"/>
  <c r="I19" i="12" s="1"/>
  <c r="I18" i="12"/>
  <c r="F5" i="20" l="1"/>
  <c r="G35" i="20" l="1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F19" i="20"/>
  <c r="F20" i="20"/>
  <c r="F21" i="20"/>
  <c r="F22" i="20"/>
  <c r="F23" i="20"/>
  <c r="F24" i="20"/>
  <c r="F25" i="20"/>
  <c r="F26" i="20"/>
  <c r="F27" i="20"/>
  <c r="F28" i="20"/>
  <c r="F29" i="20"/>
  <c r="F35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D25" i="20"/>
  <c r="D26" i="20"/>
  <c r="D27" i="20"/>
  <c r="D28" i="20"/>
  <c r="D29" i="20"/>
  <c r="D3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G5" i="20"/>
  <c r="D5" i="20"/>
  <c r="G35" i="15" l="1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F35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D35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G5" i="15"/>
  <c r="F5" i="15"/>
  <c r="U526" i="24"/>
  <c r="U525" i="24"/>
  <c r="U524" i="24"/>
  <c r="U523" i="24"/>
  <c r="U528" i="23"/>
  <c r="U527" i="23"/>
  <c r="U526" i="23"/>
  <c r="U525" i="23"/>
  <c r="U524" i="23"/>
  <c r="U523" i="23"/>
  <c r="U522" i="24" l="1"/>
  <c r="U522" i="23"/>
  <c r="F15" i="14"/>
  <c r="F14" i="14"/>
  <c r="F35" i="17" l="1"/>
  <c r="F37" i="17" s="1"/>
  <c r="C35" i="17"/>
  <c r="H35" i="17" s="1"/>
  <c r="F44" i="12"/>
  <c r="C44" i="12"/>
  <c r="H44" i="12" s="1"/>
  <c r="F38" i="17" l="1"/>
  <c r="F39" i="17" s="1"/>
  <c r="F40" i="17" s="1"/>
  <c r="I42" i="17"/>
  <c r="H37" i="17"/>
  <c r="H38" i="17" s="1"/>
  <c r="H39" i="17" s="1"/>
  <c r="H40" i="17" s="1"/>
  <c r="G35" i="17"/>
  <c r="J35" i="17"/>
  <c r="I41" i="17"/>
  <c r="I35" i="17"/>
  <c r="L35" i="17"/>
  <c r="M35" i="17" s="1"/>
  <c r="J44" i="12"/>
  <c r="K44" i="12" s="1"/>
  <c r="F46" i="12"/>
  <c r="F47" i="12" s="1"/>
  <c r="F48" i="12" s="1"/>
  <c r="F49" i="12" s="1"/>
  <c r="G44" i="12"/>
  <c r="H46" i="12"/>
  <c r="H47" i="12" s="1"/>
  <c r="H48" i="12" s="1"/>
  <c r="H49" i="12" s="1"/>
  <c r="U521" i="23"/>
  <c r="V521" i="23" s="1"/>
  <c r="U520" i="23"/>
  <c r="V520" i="23" s="1"/>
  <c r="U519" i="23"/>
  <c r="V519" i="23" s="1"/>
  <c r="U518" i="23"/>
  <c r="V518" i="23" s="1"/>
  <c r="M518" i="23"/>
  <c r="U517" i="23"/>
  <c r="V517" i="23" s="1"/>
  <c r="M517" i="23"/>
  <c r="U516" i="23"/>
  <c r="V516" i="23" s="1"/>
  <c r="M516" i="23"/>
  <c r="U515" i="23"/>
  <c r="V515" i="23" s="1"/>
  <c r="M515" i="23"/>
  <c r="U514" i="23"/>
  <c r="V514" i="23" s="1"/>
  <c r="M514" i="23"/>
  <c r="U513" i="23"/>
  <c r="V513" i="23" s="1"/>
  <c r="M513" i="23"/>
  <c r="U512" i="23"/>
  <c r="V512" i="23" s="1"/>
  <c r="M512" i="23"/>
  <c r="U511" i="23"/>
  <c r="V511" i="23" s="1"/>
  <c r="M511" i="23"/>
  <c r="V510" i="23"/>
  <c r="M510" i="23"/>
  <c r="V509" i="23"/>
  <c r="M509" i="23"/>
  <c r="U508" i="23"/>
  <c r="V508" i="23" s="1"/>
  <c r="M508" i="23"/>
  <c r="U507" i="23"/>
  <c r="V507" i="23" s="1"/>
  <c r="M507" i="23"/>
  <c r="U506" i="23"/>
  <c r="V506" i="23" s="1"/>
  <c r="M506" i="23"/>
  <c r="U505" i="23"/>
  <c r="V505" i="23" s="1"/>
  <c r="M505" i="23"/>
  <c r="U504" i="23"/>
  <c r="V504" i="23" s="1"/>
  <c r="M504" i="23"/>
  <c r="U503" i="23"/>
  <c r="V503" i="23" s="1"/>
  <c r="M503" i="23"/>
  <c r="V502" i="23"/>
  <c r="M502" i="23"/>
  <c r="V501" i="23"/>
  <c r="M501" i="23"/>
  <c r="U500" i="23"/>
  <c r="V500" i="23" s="1"/>
  <c r="M500" i="23"/>
  <c r="U499" i="23"/>
  <c r="V499" i="23" s="1"/>
  <c r="M499" i="23"/>
  <c r="V498" i="23"/>
  <c r="M498" i="23"/>
  <c r="V497" i="23"/>
  <c r="M497" i="23"/>
  <c r="U496" i="23"/>
  <c r="V496" i="23" s="1"/>
  <c r="M496" i="23"/>
  <c r="U495" i="23"/>
  <c r="V495" i="23" s="1"/>
  <c r="M495" i="23"/>
  <c r="U494" i="23"/>
  <c r="V494" i="23" s="1"/>
  <c r="M494" i="23"/>
  <c r="U493" i="23"/>
  <c r="V493" i="23" s="1"/>
  <c r="M493" i="23"/>
  <c r="U492" i="23"/>
  <c r="V492" i="23" s="1"/>
  <c r="M492" i="23"/>
  <c r="U491" i="23"/>
  <c r="V491" i="23" s="1"/>
  <c r="M491" i="23"/>
  <c r="U490" i="23"/>
  <c r="V490" i="23" s="1"/>
  <c r="M490" i="23"/>
  <c r="U489" i="23"/>
  <c r="V489" i="23" s="1"/>
  <c r="M489" i="23"/>
  <c r="U488" i="23"/>
  <c r="V488" i="23" s="1"/>
  <c r="M488" i="23"/>
  <c r="U487" i="23"/>
  <c r="V487" i="23" s="1"/>
  <c r="M487" i="23"/>
  <c r="U486" i="23"/>
  <c r="V486" i="23" s="1"/>
  <c r="M486" i="23"/>
  <c r="U485" i="23"/>
  <c r="V485" i="23" s="1"/>
  <c r="M485" i="23"/>
  <c r="U484" i="23"/>
  <c r="V484" i="23" s="1"/>
  <c r="M484" i="23"/>
  <c r="U483" i="23"/>
  <c r="V483" i="23" s="1"/>
  <c r="U482" i="23"/>
  <c r="V482" i="23" s="1"/>
  <c r="M482" i="23"/>
  <c r="V481" i="23"/>
  <c r="M481" i="23"/>
  <c r="U480" i="23"/>
  <c r="V480" i="23" s="1"/>
  <c r="M480" i="23"/>
  <c r="U479" i="23"/>
  <c r="V479" i="23" s="1"/>
  <c r="M479" i="23"/>
  <c r="U478" i="23"/>
  <c r="V478" i="23" s="1"/>
  <c r="M478" i="23"/>
  <c r="V477" i="23"/>
  <c r="M477" i="23"/>
  <c r="U476" i="23"/>
  <c r="V476" i="23" s="1"/>
  <c r="M476" i="23"/>
  <c r="U475" i="23"/>
  <c r="V475" i="23" s="1"/>
  <c r="M475" i="23"/>
  <c r="U474" i="23"/>
  <c r="V474" i="23" s="1"/>
  <c r="M474" i="23"/>
  <c r="U473" i="23"/>
  <c r="V473" i="23" s="1"/>
  <c r="U472" i="23"/>
  <c r="V472" i="23" s="1"/>
  <c r="M472" i="23"/>
  <c r="U471" i="23"/>
  <c r="V471" i="23" s="1"/>
  <c r="M471" i="23"/>
  <c r="U470" i="23"/>
  <c r="V470" i="23" s="1"/>
  <c r="M470" i="23"/>
  <c r="U469" i="23"/>
  <c r="V469" i="23" s="1"/>
  <c r="M469" i="23"/>
  <c r="U468" i="23"/>
  <c r="V468" i="23" s="1"/>
  <c r="M468" i="23"/>
  <c r="U467" i="23"/>
  <c r="V467" i="23" s="1"/>
  <c r="M467" i="23"/>
  <c r="U466" i="23"/>
  <c r="V466" i="23" s="1"/>
  <c r="M466" i="23"/>
  <c r="U465" i="23"/>
  <c r="V465" i="23" s="1"/>
  <c r="M465" i="23"/>
  <c r="U464" i="23"/>
  <c r="V464" i="23" s="1"/>
  <c r="U463" i="23"/>
  <c r="V463" i="23" s="1"/>
  <c r="U462" i="23"/>
  <c r="V462" i="23" s="1"/>
  <c r="U461" i="23"/>
  <c r="V461" i="23" s="1"/>
  <c r="U460" i="23"/>
  <c r="V460" i="23" s="1"/>
  <c r="M460" i="23"/>
  <c r="U459" i="23"/>
  <c r="V459" i="23" s="1"/>
  <c r="M459" i="23"/>
  <c r="U458" i="23"/>
  <c r="V458" i="23" s="1"/>
  <c r="U457" i="23"/>
  <c r="V457" i="23" s="1"/>
  <c r="M457" i="23"/>
  <c r="U456" i="23"/>
  <c r="V456" i="23" s="1"/>
  <c r="M456" i="23"/>
  <c r="U455" i="23"/>
  <c r="V455" i="23" s="1"/>
  <c r="M455" i="23"/>
  <c r="U454" i="23"/>
  <c r="V454" i="23" s="1"/>
  <c r="U453" i="23"/>
  <c r="V453" i="23" s="1"/>
  <c r="U452" i="23"/>
  <c r="V452" i="23" s="1"/>
  <c r="U451" i="23"/>
  <c r="V451" i="23" s="1"/>
  <c r="O451" i="23"/>
  <c r="M451" i="23"/>
  <c r="U450" i="23"/>
  <c r="V450" i="23" s="1"/>
  <c r="O450" i="23"/>
  <c r="M450" i="23"/>
  <c r="U449" i="23"/>
  <c r="V449" i="23" s="1"/>
  <c r="U448" i="23"/>
  <c r="V448" i="23" s="1"/>
  <c r="U447" i="23"/>
  <c r="V447" i="23" s="1"/>
  <c r="U446" i="23"/>
  <c r="V446" i="23" s="1"/>
  <c r="U445" i="23"/>
  <c r="V445" i="23" s="1"/>
  <c r="U444" i="23"/>
  <c r="V444" i="23" s="1"/>
  <c r="U443" i="23"/>
  <c r="V443" i="23" s="1"/>
  <c r="U442" i="23"/>
  <c r="V442" i="23" s="1"/>
  <c r="U441" i="23"/>
  <c r="V441" i="23" s="1"/>
  <c r="U440" i="23"/>
  <c r="V440" i="23" s="1"/>
  <c r="U439" i="23"/>
  <c r="V439" i="23" s="1"/>
  <c r="U438" i="23"/>
  <c r="V438" i="23" s="1"/>
  <c r="U437" i="23"/>
  <c r="V437" i="23" s="1"/>
  <c r="U436" i="23"/>
  <c r="V436" i="23" s="1"/>
  <c r="U435" i="23"/>
  <c r="V435" i="23" s="1"/>
  <c r="U434" i="23"/>
  <c r="V434" i="23" s="1"/>
  <c r="U433" i="23"/>
  <c r="V433" i="23" s="1"/>
  <c r="M433" i="23"/>
  <c r="U432" i="23"/>
  <c r="V432" i="23" s="1"/>
  <c r="M432" i="23"/>
  <c r="U431" i="23"/>
  <c r="V431" i="23" s="1"/>
  <c r="M431" i="23"/>
  <c r="U430" i="23"/>
  <c r="V430" i="23" s="1"/>
  <c r="M430" i="23"/>
  <c r="V429" i="23"/>
  <c r="M429" i="23"/>
  <c r="U428" i="23"/>
  <c r="V428" i="23" s="1"/>
  <c r="V427" i="23"/>
  <c r="M427" i="23"/>
  <c r="U426" i="23"/>
  <c r="V426" i="23" s="1"/>
  <c r="U425" i="23"/>
  <c r="V425" i="23" s="1"/>
  <c r="U424" i="23"/>
  <c r="V424" i="23" s="1"/>
  <c r="V423" i="23"/>
  <c r="U422" i="23"/>
  <c r="V422" i="23" s="1"/>
  <c r="V421" i="23"/>
  <c r="U420" i="23"/>
  <c r="V420" i="23" s="1"/>
  <c r="V419" i="23"/>
  <c r="U418" i="23"/>
  <c r="V418" i="23" s="1"/>
  <c r="V417" i="23"/>
  <c r="U416" i="23"/>
  <c r="V416" i="23" s="1"/>
  <c r="V415" i="23"/>
  <c r="U414" i="23"/>
  <c r="V414" i="23" s="1"/>
  <c r="V413" i="23"/>
  <c r="U412" i="23"/>
  <c r="V412" i="23" s="1"/>
  <c r="V411" i="23"/>
  <c r="U410" i="23"/>
  <c r="V410" i="23" s="1"/>
  <c r="U409" i="23"/>
  <c r="V409" i="23" s="1"/>
  <c r="U408" i="23"/>
  <c r="V408" i="23" s="1"/>
  <c r="U407" i="23"/>
  <c r="V407" i="23" s="1"/>
  <c r="U406" i="23"/>
  <c r="V406" i="23" s="1"/>
  <c r="U405" i="23"/>
  <c r="V405" i="23" s="1"/>
  <c r="M405" i="23"/>
  <c r="U404" i="23"/>
  <c r="V404" i="23" s="1"/>
  <c r="M404" i="23"/>
  <c r="U403" i="23"/>
  <c r="V403" i="23" s="1"/>
  <c r="M403" i="23"/>
  <c r="U402" i="23"/>
  <c r="V402" i="23" s="1"/>
  <c r="M402" i="23"/>
  <c r="U401" i="23"/>
  <c r="V401" i="23" s="1"/>
  <c r="M401" i="23"/>
  <c r="U400" i="23"/>
  <c r="V400" i="23" s="1"/>
  <c r="U399" i="23"/>
  <c r="V399" i="23" s="1"/>
  <c r="M399" i="23"/>
  <c r="U398" i="23"/>
  <c r="V398" i="23" s="1"/>
  <c r="M398" i="23"/>
  <c r="U397" i="23"/>
  <c r="V397" i="23" s="1"/>
  <c r="U396" i="23"/>
  <c r="V396" i="23" s="1"/>
  <c r="M396" i="23"/>
  <c r="U395" i="23"/>
  <c r="V395" i="23" s="1"/>
  <c r="U394" i="23"/>
  <c r="V394" i="23" s="1"/>
  <c r="U393" i="23"/>
  <c r="V393" i="23" s="1"/>
  <c r="U392" i="23"/>
  <c r="V392" i="23" s="1"/>
  <c r="M392" i="23"/>
  <c r="U391" i="23"/>
  <c r="V391" i="23" s="1"/>
  <c r="M391" i="23"/>
  <c r="U390" i="23"/>
  <c r="V390" i="23" s="1"/>
  <c r="M390" i="23"/>
  <c r="U389" i="23"/>
  <c r="V389" i="23" s="1"/>
  <c r="M389" i="23"/>
  <c r="U388" i="23"/>
  <c r="V388" i="23" s="1"/>
  <c r="U387" i="23"/>
  <c r="V387" i="23" s="1"/>
  <c r="M387" i="23"/>
  <c r="U386" i="23"/>
  <c r="V386" i="23" s="1"/>
  <c r="M386" i="23"/>
  <c r="U385" i="23"/>
  <c r="V385" i="23" s="1"/>
  <c r="M385" i="23"/>
  <c r="U384" i="23"/>
  <c r="V384" i="23" s="1"/>
  <c r="M384" i="23"/>
  <c r="U383" i="23"/>
  <c r="V383" i="23" s="1"/>
  <c r="U382" i="23"/>
  <c r="V382" i="23" s="1"/>
  <c r="U381" i="23"/>
  <c r="V381" i="23" s="1"/>
  <c r="U380" i="23"/>
  <c r="V380" i="23" s="1"/>
  <c r="U379" i="23"/>
  <c r="V379" i="23" s="1"/>
  <c r="U378" i="23"/>
  <c r="V378" i="23" s="1"/>
  <c r="M378" i="23"/>
  <c r="U377" i="23"/>
  <c r="V377" i="23" s="1"/>
  <c r="M377" i="23"/>
  <c r="U376" i="23"/>
  <c r="V376" i="23" s="1"/>
  <c r="M376" i="23"/>
  <c r="U375" i="23"/>
  <c r="V375" i="23" s="1"/>
  <c r="M375" i="23"/>
  <c r="U374" i="23"/>
  <c r="V374" i="23" s="1"/>
  <c r="M374" i="23"/>
  <c r="U373" i="23"/>
  <c r="V373" i="23" s="1"/>
  <c r="M373" i="23"/>
  <c r="U372" i="23"/>
  <c r="V372" i="23" s="1"/>
  <c r="M372" i="23"/>
  <c r="U371" i="23"/>
  <c r="V371" i="23" s="1"/>
  <c r="M371" i="23"/>
  <c r="U370" i="23"/>
  <c r="V370" i="23" s="1"/>
  <c r="M370" i="23"/>
  <c r="U369" i="23"/>
  <c r="V369" i="23" s="1"/>
  <c r="M369" i="23"/>
  <c r="U368" i="23"/>
  <c r="V368" i="23" s="1"/>
  <c r="M368" i="23"/>
  <c r="U367" i="23"/>
  <c r="V367" i="23" s="1"/>
  <c r="M367" i="23"/>
  <c r="U366" i="23"/>
  <c r="V366" i="23" s="1"/>
  <c r="M366" i="23"/>
  <c r="U365" i="23"/>
  <c r="V365" i="23" s="1"/>
  <c r="M365" i="23"/>
  <c r="U364" i="23"/>
  <c r="V364" i="23" s="1"/>
  <c r="M364" i="23"/>
  <c r="U363" i="23"/>
  <c r="V363" i="23" s="1"/>
  <c r="M363" i="23"/>
  <c r="U362" i="23"/>
  <c r="V362" i="23" s="1"/>
  <c r="M362" i="23"/>
  <c r="U361" i="23"/>
  <c r="V361" i="23" s="1"/>
  <c r="M361" i="23"/>
  <c r="U360" i="23"/>
  <c r="V360" i="23" s="1"/>
  <c r="M360" i="23"/>
  <c r="U359" i="23"/>
  <c r="V359" i="23" s="1"/>
  <c r="M359" i="23"/>
  <c r="U358" i="23"/>
  <c r="V358" i="23" s="1"/>
  <c r="M358" i="23"/>
  <c r="U357" i="23"/>
  <c r="V357" i="23" s="1"/>
  <c r="M357" i="23"/>
  <c r="V356" i="23"/>
  <c r="M356" i="23"/>
  <c r="V355" i="23"/>
  <c r="M355" i="23"/>
  <c r="V354" i="23"/>
  <c r="M354" i="23"/>
  <c r="V353" i="23"/>
  <c r="M353" i="23"/>
  <c r="V352" i="23"/>
  <c r="M352" i="23"/>
  <c r="V351" i="23"/>
  <c r="M351" i="23"/>
  <c r="U350" i="23"/>
  <c r="V350" i="23" s="1"/>
  <c r="M350" i="23"/>
  <c r="U349" i="23"/>
  <c r="V349" i="23" s="1"/>
  <c r="M349" i="23"/>
  <c r="U348" i="23"/>
  <c r="V348" i="23" s="1"/>
  <c r="M348" i="23"/>
  <c r="U347" i="23"/>
  <c r="V347" i="23" s="1"/>
  <c r="M347" i="23"/>
  <c r="U346" i="23"/>
  <c r="V346" i="23" s="1"/>
  <c r="M346" i="23"/>
  <c r="U345" i="23"/>
  <c r="V345" i="23" s="1"/>
  <c r="M345" i="23"/>
  <c r="U344" i="23"/>
  <c r="V344" i="23" s="1"/>
  <c r="M344" i="23"/>
  <c r="U343" i="23"/>
  <c r="V343" i="23" s="1"/>
  <c r="M343" i="23"/>
  <c r="U342" i="23"/>
  <c r="V342" i="23" s="1"/>
  <c r="M342" i="23"/>
  <c r="U341" i="23"/>
  <c r="V341" i="23" s="1"/>
  <c r="M341" i="23"/>
  <c r="U340" i="23"/>
  <c r="V340" i="23" s="1"/>
  <c r="M340" i="23"/>
  <c r="U339" i="23"/>
  <c r="V339" i="23" s="1"/>
  <c r="M339" i="23"/>
  <c r="U338" i="23"/>
  <c r="V338" i="23" s="1"/>
  <c r="M338" i="23"/>
  <c r="U337" i="23"/>
  <c r="V337" i="23" s="1"/>
  <c r="M337" i="23"/>
  <c r="U336" i="23"/>
  <c r="V336" i="23" s="1"/>
  <c r="M336" i="23"/>
  <c r="U335" i="23"/>
  <c r="V335" i="23" s="1"/>
  <c r="M335" i="23"/>
  <c r="U334" i="23"/>
  <c r="V334" i="23" s="1"/>
  <c r="M334" i="23"/>
  <c r="U333" i="23"/>
  <c r="V333" i="23" s="1"/>
  <c r="M333" i="23"/>
  <c r="U332" i="23"/>
  <c r="V332" i="23" s="1"/>
  <c r="M332" i="23"/>
  <c r="U331" i="23"/>
  <c r="V331" i="23" s="1"/>
  <c r="M331" i="23"/>
  <c r="V330" i="23"/>
  <c r="M330" i="23"/>
  <c r="V329" i="23"/>
  <c r="M329" i="23"/>
  <c r="V328" i="23"/>
  <c r="M328" i="23"/>
  <c r="V327" i="23"/>
  <c r="M327" i="23"/>
  <c r="V326" i="23"/>
  <c r="M326" i="23"/>
  <c r="V325" i="23"/>
  <c r="M325" i="23"/>
  <c r="U324" i="23"/>
  <c r="V324" i="23" s="1"/>
  <c r="M324" i="23"/>
  <c r="U323" i="23"/>
  <c r="V323" i="23" s="1"/>
  <c r="M323" i="23"/>
  <c r="U322" i="23"/>
  <c r="V322" i="23" s="1"/>
  <c r="M322" i="23"/>
  <c r="U321" i="23"/>
  <c r="V321" i="23" s="1"/>
  <c r="M321" i="23"/>
  <c r="U320" i="23"/>
  <c r="V320" i="23" s="1"/>
  <c r="M320" i="23"/>
  <c r="U319" i="23"/>
  <c r="V319" i="23" s="1"/>
  <c r="M319" i="23"/>
  <c r="U318" i="23"/>
  <c r="V318" i="23" s="1"/>
  <c r="M318" i="23"/>
  <c r="U317" i="23"/>
  <c r="V317" i="23" s="1"/>
  <c r="M317" i="23"/>
  <c r="V316" i="23"/>
  <c r="M316" i="23"/>
  <c r="V315" i="23"/>
  <c r="M315" i="23"/>
  <c r="V314" i="23"/>
  <c r="M314" i="23"/>
  <c r="V313" i="23"/>
  <c r="M313" i="23"/>
  <c r="V312" i="23"/>
  <c r="M312" i="23"/>
  <c r="V311" i="23"/>
  <c r="M311" i="23"/>
  <c r="U310" i="23"/>
  <c r="V310" i="23" s="1"/>
  <c r="M310" i="23"/>
  <c r="U309" i="23"/>
  <c r="V309" i="23" s="1"/>
  <c r="M309" i="23"/>
  <c r="U308" i="23"/>
  <c r="V308" i="23" s="1"/>
  <c r="M308" i="23"/>
  <c r="U307" i="23"/>
  <c r="V307" i="23" s="1"/>
  <c r="M307" i="23"/>
  <c r="U306" i="23"/>
  <c r="V306" i="23" s="1"/>
  <c r="M306" i="23"/>
  <c r="U305" i="23"/>
  <c r="V305" i="23" s="1"/>
  <c r="M305" i="23"/>
  <c r="U304" i="23"/>
  <c r="V304" i="23" s="1"/>
  <c r="M304" i="23"/>
  <c r="U303" i="23"/>
  <c r="V303" i="23" s="1"/>
  <c r="M303" i="23"/>
  <c r="U302" i="23"/>
  <c r="V302" i="23" s="1"/>
  <c r="M302" i="23"/>
  <c r="U301" i="23"/>
  <c r="V301" i="23" s="1"/>
  <c r="M301" i="23"/>
  <c r="U300" i="23"/>
  <c r="V300" i="23" s="1"/>
  <c r="M300" i="23"/>
  <c r="U299" i="23"/>
  <c r="V299" i="23" s="1"/>
  <c r="M299" i="23"/>
  <c r="U298" i="23"/>
  <c r="V298" i="23" s="1"/>
  <c r="M298" i="23"/>
  <c r="U297" i="23"/>
  <c r="V297" i="23" s="1"/>
  <c r="M297" i="23"/>
  <c r="U296" i="23"/>
  <c r="V296" i="23" s="1"/>
  <c r="M296" i="23"/>
  <c r="U295" i="23"/>
  <c r="V295" i="23" s="1"/>
  <c r="M295" i="23"/>
  <c r="U294" i="23"/>
  <c r="V294" i="23" s="1"/>
  <c r="M294" i="23"/>
  <c r="U293" i="23"/>
  <c r="V293" i="23" s="1"/>
  <c r="M293" i="23"/>
  <c r="U292" i="23"/>
  <c r="V292" i="23" s="1"/>
  <c r="M292" i="23"/>
  <c r="U291" i="23"/>
  <c r="V291" i="23" s="1"/>
  <c r="M291" i="23"/>
  <c r="U290" i="23"/>
  <c r="V290" i="23" s="1"/>
  <c r="M290" i="23"/>
  <c r="U289" i="23"/>
  <c r="V289" i="23" s="1"/>
  <c r="M289" i="23"/>
  <c r="U288" i="23"/>
  <c r="V288" i="23" s="1"/>
  <c r="M288" i="23"/>
  <c r="U287" i="23"/>
  <c r="V287" i="23" s="1"/>
  <c r="M287" i="23"/>
  <c r="U286" i="23"/>
  <c r="V286" i="23" s="1"/>
  <c r="M286" i="23"/>
  <c r="U285" i="23"/>
  <c r="V285" i="23" s="1"/>
  <c r="M285" i="23"/>
  <c r="U284" i="23"/>
  <c r="V284" i="23" s="1"/>
  <c r="M284" i="23"/>
  <c r="U283" i="23"/>
  <c r="V283" i="23" s="1"/>
  <c r="M283" i="23"/>
  <c r="U282" i="23"/>
  <c r="V282" i="23" s="1"/>
  <c r="M282" i="23"/>
  <c r="U281" i="23"/>
  <c r="V281" i="23" s="1"/>
  <c r="M281" i="23"/>
  <c r="U280" i="23"/>
  <c r="V280" i="23" s="1"/>
  <c r="M280" i="23"/>
  <c r="U279" i="23"/>
  <c r="V279" i="23" s="1"/>
  <c r="M279" i="23"/>
  <c r="U278" i="23"/>
  <c r="V278" i="23" s="1"/>
  <c r="M278" i="23"/>
  <c r="U277" i="23"/>
  <c r="V277" i="23" s="1"/>
  <c r="M277" i="23"/>
  <c r="U276" i="23"/>
  <c r="V276" i="23" s="1"/>
  <c r="M276" i="23"/>
  <c r="U275" i="23"/>
  <c r="V275" i="23" s="1"/>
  <c r="M275" i="23"/>
  <c r="U274" i="23"/>
  <c r="V274" i="23" s="1"/>
  <c r="M274" i="23"/>
  <c r="U273" i="23"/>
  <c r="V273" i="23" s="1"/>
  <c r="M273" i="23"/>
  <c r="U272" i="23"/>
  <c r="V272" i="23" s="1"/>
  <c r="U271" i="23"/>
  <c r="V271" i="23" s="1"/>
  <c r="U270" i="23"/>
  <c r="V270" i="23" s="1"/>
  <c r="U269" i="23"/>
  <c r="V269" i="23" s="1"/>
  <c r="U268" i="23"/>
  <c r="V268" i="23" s="1"/>
  <c r="U267" i="23"/>
  <c r="V267" i="23" s="1"/>
  <c r="V266" i="23"/>
  <c r="M266" i="23"/>
  <c r="U265" i="23"/>
  <c r="V265" i="23" s="1"/>
  <c r="M265" i="23"/>
  <c r="U264" i="23"/>
  <c r="V264" i="23" s="1"/>
  <c r="M264" i="23"/>
  <c r="V263" i="23"/>
  <c r="M263" i="23"/>
  <c r="V262" i="23"/>
  <c r="M262" i="23"/>
  <c r="V261" i="23"/>
  <c r="M261" i="23"/>
  <c r="U260" i="23"/>
  <c r="V260" i="23" s="1"/>
  <c r="M260" i="23"/>
  <c r="U259" i="23"/>
  <c r="V259" i="23" s="1"/>
  <c r="M259" i="23"/>
  <c r="U258" i="23"/>
  <c r="V258" i="23" s="1"/>
  <c r="M258" i="23"/>
  <c r="U257" i="23"/>
  <c r="V257" i="23" s="1"/>
  <c r="M257" i="23"/>
  <c r="U256" i="23"/>
  <c r="V256" i="23" s="1"/>
  <c r="M256" i="23"/>
  <c r="U255" i="23"/>
  <c r="V255" i="23" s="1"/>
  <c r="M255" i="23"/>
  <c r="U254" i="23"/>
  <c r="V254" i="23" s="1"/>
  <c r="M254" i="23"/>
  <c r="U253" i="23"/>
  <c r="V253" i="23" s="1"/>
  <c r="M253" i="23"/>
  <c r="U252" i="23"/>
  <c r="V252" i="23" s="1"/>
  <c r="M252" i="23"/>
  <c r="U251" i="23"/>
  <c r="V251" i="23" s="1"/>
  <c r="M251" i="23"/>
  <c r="U250" i="23"/>
  <c r="V250" i="23" s="1"/>
  <c r="M250" i="23"/>
  <c r="V249" i="23"/>
  <c r="M249" i="23"/>
  <c r="V248" i="23"/>
  <c r="M248" i="23"/>
  <c r="V247" i="23"/>
  <c r="M247" i="23"/>
  <c r="U246" i="23"/>
  <c r="V246" i="23" s="1"/>
  <c r="M246" i="23"/>
  <c r="U245" i="23"/>
  <c r="V245" i="23" s="1"/>
  <c r="M245" i="23"/>
  <c r="U244" i="23"/>
  <c r="V244" i="23" s="1"/>
  <c r="M244" i="23"/>
  <c r="U243" i="23"/>
  <c r="V243" i="23" s="1"/>
  <c r="M243" i="23"/>
  <c r="U242" i="23"/>
  <c r="V242" i="23" s="1"/>
  <c r="M242" i="23"/>
  <c r="U241" i="23"/>
  <c r="V241" i="23" s="1"/>
  <c r="M241" i="23"/>
  <c r="U240" i="23"/>
  <c r="V240" i="23" s="1"/>
  <c r="M240" i="23"/>
  <c r="U239" i="23"/>
  <c r="V239" i="23" s="1"/>
  <c r="M239" i="23"/>
  <c r="U238" i="23"/>
  <c r="V238" i="23" s="1"/>
  <c r="M238" i="23"/>
  <c r="U237" i="23"/>
  <c r="V237" i="23" s="1"/>
  <c r="M237" i="23"/>
  <c r="U236" i="23"/>
  <c r="V236" i="23" s="1"/>
  <c r="M236" i="23"/>
  <c r="U235" i="23"/>
  <c r="V235" i="23" s="1"/>
  <c r="M235" i="23"/>
  <c r="U234" i="23"/>
  <c r="V234" i="23" s="1"/>
  <c r="M234" i="23"/>
  <c r="U233" i="23"/>
  <c r="V233" i="23" s="1"/>
  <c r="M233" i="23"/>
  <c r="U232" i="23"/>
  <c r="V232" i="23" s="1"/>
  <c r="M232" i="23"/>
  <c r="U231" i="23"/>
  <c r="V231" i="23" s="1"/>
  <c r="M231" i="23"/>
  <c r="U230" i="23"/>
  <c r="V230" i="23" s="1"/>
  <c r="M230" i="23"/>
  <c r="U229" i="23"/>
  <c r="V229" i="23" s="1"/>
  <c r="M229" i="23"/>
  <c r="U228" i="23"/>
  <c r="V228" i="23" s="1"/>
  <c r="M228" i="23"/>
  <c r="U227" i="23"/>
  <c r="V227" i="23" s="1"/>
  <c r="M227" i="23"/>
  <c r="U226" i="23"/>
  <c r="V226" i="23" s="1"/>
  <c r="M226" i="23"/>
  <c r="U225" i="23"/>
  <c r="V225" i="23" s="1"/>
  <c r="M225" i="23"/>
  <c r="U224" i="23"/>
  <c r="V224" i="23" s="1"/>
  <c r="M224" i="23"/>
  <c r="U223" i="23"/>
  <c r="V223" i="23" s="1"/>
  <c r="M223" i="23"/>
  <c r="U222" i="23"/>
  <c r="V222" i="23" s="1"/>
  <c r="M222" i="23"/>
  <c r="U221" i="23"/>
  <c r="V221" i="23" s="1"/>
  <c r="M221" i="23"/>
  <c r="U220" i="23"/>
  <c r="V220" i="23" s="1"/>
  <c r="M220" i="23"/>
  <c r="U219" i="23"/>
  <c r="V219" i="23" s="1"/>
  <c r="M219" i="23"/>
  <c r="U218" i="23"/>
  <c r="V218" i="23" s="1"/>
  <c r="M218" i="23"/>
  <c r="U217" i="23"/>
  <c r="V217" i="23" s="1"/>
  <c r="M217" i="23"/>
  <c r="U216" i="23"/>
  <c r="V216" i="23" s="1"/>
  <c r="M216" i="23"/>
  <c r="U215" i="23"/>
  <c r="V215" i="23" s="1"/>
  <c r="M215" i="23"/>
  <c r="U214" i="23"/>
  <c r="V214" i="23" s="1"/>
  <c r="M214" i="23"/>
  <c r="U213" i="23"/>
  <c r="V213" i="23" s="1"/>
  <c r="M213" i="23"/>
  <c r="U212" i="23"/>
  <c r="V212" i="23" s="1"/>
  <c r="M212" i="23"/>
  <c r="U211" i="23"/>
  <c r="V211" i="23" s="1"/>
  <c r="M211" i="23"/>
  <c r="U210" i="23"/>
  <c r="V210" i="23" s="1"/>
  <c r="M210" i="23"/>
  <c r="U209" i="23"/>
  <c r="V209" i="23" s="1"/>
  <c r="M209" i="23"/>
  <c r="U208" i="23"/>
  <c r="V208" i="23" s="1"/>
  <c r="U207" i="23"/>
  <c r="V207" i="23" s="1"/>
  <c r="U206" i="23"/>
  <c r="V206" i="23" s="1"/>
  <c r="U205" i="23"/>
  <c r="V205" i="23" s="1"/>
  <c r="U204" i="23"/>
  <c r="V204" i="23" s="1"/>
  <c r="U203" i="23"/>
  <c r="V203" i="23" s="1"/>
  <c r="U202" i="23"/>
  <c r="V202" i="23" s="1"/>
  <c r="U201" i="23"/>
  <c r="V201" i="23" s="1"/>
  <c r="U200" i="23"/>
  <c r="V200" i="23" s="1"/>
  <c r="M200" i="23"/>
  <c r="U199" i="23"/>
  <c r="V199" i="23" s="1"/>
  <c r="M199" i="23"/>
  <c r="U198" i="23"/>
  <c r="V198" i="23" s="1"/>
  <c r="M198" i="23"/>
  <c r="U197" i="23"/>
  <c r="V197" i="23" s="1"/>
  <c r="M197" i="23"/>
  <c r="U196" i="23"/>
  <c r="V196" i="23" s="1"/>
  <c r="U195" i="23"/>
  <c r="V195" i="23" s="1"/>
  <c r="U194" i="23"/>
  <c r="V194" i="23" s="1"/>
  <c r="M194" i="23"/>
  <c r="U193" i="23"/>
  <c r="V193" i="23" s="1"/>
  <c r="M193" i="23"/>
  <c r="U192" i="23"/>
  <c r="V192" i="23" s="1"/>
  <c r="M192" i="23"/>
  <c r="U191" i="23"/>
  <c r="V191" i="23" s="1"/>
  <c r="M191" i="23"/>
  <c r="U190" i="23"/>
  <c r="V190" i="23" s="1"/>
  <c r="M190" i="23"/>
  <c r="U189" i="23"/>
  <c r="V189" i="23" s="1"/>
  <c r="M189" i="23"/>
  <c r="U188" i="23"/>
  <c r="V188" i="23" s="1"/>
  <c r="U187" i="23"/>
  <c r="V187" i="23" s="1"/>
  <c r="U186" i="23"/>
  <c r="V186" i="23" s="1"/>
  <c r="M186" i="23"/>
  <c r="U185" i="23"/>
  <c r="V185" i="23" s="1"/>
  <c r="M185" i="23"/>
  <c r="U184" i="23"/>
  <c r="V184" i="23" s="1"/>
  <c r="U183" i="23"/>
  <c r="V183" i="23" s="1"/>
  <c r="U182" i="23"/>
  <c r="V182" i="23" s="1"/>
  <c r="M182" i="23"/>
  <c r="U181" i="23"/>
  <c r="V181" i="23" s="1"/>
  <c r="M181" i="23"/>
  <c r="U180" i="23"/>
  <c r="V180" i="23" s="1"/>
  <c r="M180" i="23"/>
  <c r="U179" i="23"/>
  <c r="V179" i="23" s="1"/>
  <c r="M179" i="23"/>
  <c r="U178" i="23"/>
  <c r="V178" i="23" s="1"/>
  <c r="O178" i="23"/>
  <c r="M178" i="23"/>
  <c r="U177" i="23"/>
  <c r="V177" i="23" s="1"/>
  <c r="O177" i="23"/>
  <c r="M177" i="23"/>
  <c r="U176" i="23"/>
  <c r="V176" i="23" s="1"/>
  <c r="O176" i="23"/>
  <c r="M176" i="23"/>
  <c r="U175" i="23"/>
  <c r="V175" i="23" s="1"/>
  <c r="O175" i="23"/>
  <c r="M175" i="23"/>
  <c r="U174" i="23"/>
  <c r="V174" i="23" s="1"/>
  <c r="U173" i="23"/>
  <c r="V173" i="23" s="1"/>
  <c r="U172" i="23"/>
  <c r="V172" i="23" s="1"/>
  <c r="U171" i="23"/>
  <c r="V171" i="23" s="1"/>
  <c r="U170" i="23"/>
  <c r="V170" i="23" s="1"/>
  <c r="U169" i="23"/>
  <c r="V169" i="23" s="1"/>
  <c r="U168" i="23"/>
  <c r="V168" i="23" s="1"/>
  <c r="U167" i="23"/>
  <c r="V167" i="23" s="1"/>
  <c r="U166" i="23"/>
  <c r="V166" i="23" s="1"/>
  <c r="U165" i="23"/>
  <c r="V165" i="23" s="1"/>
  <c r="U164" i="23"/>
  <c r="V164" i="23" s="1"/>
  <c r="U163" i="23"/>
  <c r="V163" i="23" s="1"/>
  <c r="U162" i="23"/>
  <c r="V162" i="23" s="1"/>
  <c r="U161" i="23"/>
  <c r="V161" i="23" s="1"/>
  <c r="U160" i="23"/>
  <c r="V160" i="23" s="1"/>
  <c r="U159" i="23"/>
  <c r="V159" i="23" s="1"/>
  <c r="U158" i="23"/>
  <c r="V158" i="23" s="1"/>
  <c r="U157" i="23"/>
  <c r="V157" i="23" s="1"/>
  <c r="U156" i="23"/>
  <c r="V156" i="23" s="1"/>
  <c r="U155" i="23"/>
  <c r="V155" i="23" s="1"/>
  <c r="U154" i="23"/>
  <c r="V154" i="23" s="1"/>
  <c r="U153" i="23"/>
  <c r="V153" i="23" s="1"/>
  <c r="U152" i="23"/>
  <c r="V152" i="23" s="1"/>
  <c r="U151" i="23"/>
  <c r="V151" i="23" s="1"/>
  <c r="U150" i="23"/>
  <c r="V150" i="23" s="1"/>
  <c r="U149" i="23"/>
  <c r="V149" i="23" s="1"/>
  <c r="U148" i="23"/>
  <c r="V148" i="23" s="1"/>
  <c r="U147" i="23"/>
  <c r="V147" i="23" s="1"/>
  <c r="U146" i="23"/>
  <c r="V146" i="23" s="1"/>
  <c r="U145" i="23"/>
  <c r="V145" i="23" s="1"/>
  <c r="U144" i="23"/>
  <c r="V144" i="23" s="1"/>
  <c r="U143" i="23"/>
  <c r="V143" i="23" s="1"/>
  <c r="U142" i="23"/>
  <c r="V142" i="23" s="1"/>
  <c r="U141" i="23"/>
  <c r="V141" i="23" s="1"/>
  <c r="U140" i="23"/>
  <c r="V140" i="23" s="1"/>
  <c r="U139" i="23"/>
  <c r="V139" i="23" s="1"/>
  <c r="U138" i="23"/>
  <c r="V138" i="23" s="1"/>
  <c r="U137" i="23"/>
  <c r="V137" i="23" s="1"/>
  <c r="U136" i="23"/>
  <c r="V136" i="23" s="1"/>
  <c r="U135" i="23"/>
  <c r="V135" i="23" s="1"/>
  <c r="U134" i="23"/>
  <c r="V134" i="23" s="1"/>
  <c r="U133" i="23"/>
  <c r="V133" i="23" s="1"/>
  <c r="U132" i="23"/>
  <c r="V132" i="23" s="1"/>
  <c r="U131" i="23"/>
  <c r="V131" i="23" s="1"/>
  <c r="U130" i="23"/>
  <c r="V130" i="23" s="1"/>
  <c r="U129" i="23"/>
  <c r="V129" i="23" s="1"/>
  <c r="U128" i="23"/>
  <c r="V128" i="23" s="1"/>
  <c r="U127" i="23"/>
  <c r="V127" i="23" s="1"/>
  <c r="U126" i="23"/>
  <c r="V126" i="23" s="1"/>
  <c r="U125" i="23"/>
  <c r="V125" i="23" s="1"/>
  <c r="U124" i="23"/>
  <c r="V124" i="23" s="1"/>
  <c r="U123" i="23"/>
  <c r="V123" i="23" s="1"/>
  <c r="U122" i="23"/>
  <c r="V122" i="23" s="1"/>
  <c r="U121" i="23"/>
  <c r="V121" i="23" s="1"/>
  <c r="U120" i="23"/>
  <c r="V120" i="23" s="1"/>
  <c r="U119" i="23"/>
  <c r="V119" i="23" s="1"/>
  <c r="U118" i="23"/>
  <c r="V118" i="23" s="1"/>
  <c r="U117" i="23"/>
  <c r="V117" i="23" s="1"/>
  <c r="U116" i="23"/>
  <c r="V116" i="23" s="1"/>
  <c r="M116" i="23"/>
  <c r="U115" i="23"/>
  <c r="V115" i="23" s="1"/>
  <c r="M115" i="23"/>
  <c r="U114" i="23"/>
  <c r="V114" i="23" s="1"/>
  <c r="M114" i="23"/>
  <c r="U113" i="23"/>
  <c r="V113" i="23" s="1"/>
  <c r="M113" i="23"/>
  <c r="U112" i="23"/>
  <c r="V112" i="23" s="1"/>
  <c r="M112" i="23"/>
  <c r="U111" i="23"/>
  <c r="V111" i="23" s="1"/>
  <c r="M111" i="23"/>
  <c r="U110" i="23"/>
  <c r="V110" i="23" s="1"/>
  <c r="M110" i="23"/>
  <c r="U109" i="23"/>
  <c r="V109" i="23" s="1"/>
  <c r="M109" i="23"/>
  <c r="V108" i="23"/>
  <c r="M108" i="23"/>
  <c r="V107" i="23"/>
  <c r="M107" i="23"/>
  <c r="U106" i="23"/>
  <c r="V106" i="23" s="1"/>
  <c r="U105" i="23"/>
  <c r="V105" i="23" s="1"/>
  <c r="U104" i="23"/>
  <c r="V104" i="23" s="1"/>
  <c r="U103" i="23"/>
  <c r="V103" i="23" s="1"/>
  <c r="V102" i="23"/>
  <c r="M102" i="23"/>
  <c r="V101" i="23"/>
  <c r="M101" i="23"/>
  <c r="U100" i="23"/>
  <c r="V100" i="23" s="1"/>
  <c r="U99" i="23"/>
  <c r="V99" i="23" s="1"/>
  <c r="U98" i="23"/>
  <c r="V98" i="23" s="1"/>
  <c r="U97" i="23"/>
  <c r="V97" i="23" s="1"/>
  <c r="U96" i="23"/>
  <c r="V96" i="23" s="1"/>
  <c r="U95" i="23"/>
  <c r="V95" i="23" s="1"/>
  <c r="U94" i="23"/>
  <c r="V94" i="23" s="1"/>
  <c r="U93" i="23"/>
  <c r="V93" i="23" s="1"/>
  <c r="U92" i="23"/>
  <c r="V92" i="23" s="1"/>
  <c r="U91" i="23"/>
  <c r="V91" i="23" s="1"/>
  <c r="V90" i="23"/>
  <c r="V89" i="23"/>
  <c r="U88" i="23"/>
  <c r="V88" i="23" s="1"/>
  <c r="U87" i="23"/>
  <c r="V87" i="23" s="1"/>
  <c r="U86" i="23"/>
  <c r="V86" i="23" s="1"/>
  <c r="U85" i="23"/>
  <c r="V85" i="23" s="1"/>
  <c r="V84" i="23"/>
  <c r="V83" i="23"/>
  <c r="U82" i="23"/>
  <c r="V82" i="23" s="1"/>
  <c r="U81" i="23"/>
  <c r="V81" i="23" s="1"/>
  <c r="U80" i="23"/>
  <c r="V80" i="23" s="1"/>
  <c r="U79" i="23"/>
  <c r="V79" i="23" s="1"/>
  <c r="V78" i="23"/>
  <c r="V77" i="23"/>
  <c r="U76" i="23"/>
  <c r="V76" i="23" s="1"/>
  <c r="U75" i="23"/>
  <c r="V75" i="23" s="1"/>
  <c r="U74" i="23"/>
  <c r="V74" i="23" s="1"/>
  <c r="U73" i="23"/>
  <c r="V73" i="23" s="1"/>
  <c r="V72" i="23"/>
  <c r="V71" i="23"/>
  <c r="U70" i="23"/>
  <c r="V70" i="23" s="1"/>
  <c r="U69" i="23"/>
  <c r="V69" i="23" s="1"/>
  <c r="U68" i="23"/>
  <c r="V68" i="23" s="1"/>
  <c r="U67" i="23"/>
  <c r="V67" i="23" s="1"/>
  <c r="V66" i="23"/>
  <c r="V65" i="23"/>
  <c r="U64" i="23"/>
  <c r="V64" i="23" s="1"/>
  <c r="U63" i="23"/>
  <c r="V63" i="23" s="1"/>
  <c r="U62" i="23"/>
  <c r="V62" i="23" s="1"/>
  <c r="U61" i="23"/>
  <c r="V61" i="23" s="1"/>
  <c r="V60" i="23"/>
  <c r="V59" i="23"/>
  <c r="U58" i="23"/>
  <c r="V58" i="23" s="1"/>
  <c r="U57" i="23"/>
  <c r="V57" i="23" s="1"/>
  <c r="U56" i="23"/>
  <c r="V56" i="23" s="1"/>
  <c r="U55" i="23"/>
  <c r="V55" i="23" s="1"/>
  <c r="V54" i="23"/>
  <c r="V53" i="23"/>
  <c r="U52" i="23"/>
  <c r="V52" i="23" s="1"/>
  <c r="U51" i="23"/>
  <c r="V51" i="23" s="1"/>
  <c r="U50" i="23"/>
  <c r="V50" i="23" s="1"/>
  <c r="U49" i="23"/>
  <c r="V49" i="23" s="1"/>
  <c r="U48" i="23"/>
  <c r="V48" i="23" s="1"/>
  <c r="U47" i="23"/>
  <c r="V47" i="23" s="1"/>
  <c r="U46" i="23"/>
  <c r="V46" i="23" s="1"/>
  <c r="U45" i="23"/>
  <c r="V45" i="23" s="1"/>
  <c r="U44" i="23"/>
  <c r="V44" i="23" s="1"/>
  <c r="U43" i="23"/>
  <c r="V43" i="23" s="1"/>
  <c r="U42" i="23"/>
  <c r="V42" i="23" s="1"/>
  <c r="U41" i="23"/>
  <c r="V41" i="23" s="1"/>
  <c r="U40" i="23"/>
  <c r="V40" i="23" s="1"/>
  <c r="M40" i="23"/>
  <c r="U39" i="23"/>
  <c r="V39" i="23" s="1"/>
  <c r="M39" i="23"/>
  <c r="U38" i="23"/>
  <c r="V38" i="23" s="1"/>
  <c r="M38" i="23"/>
  <c r="U37" i="23"/>
  <c r="V37" i="23" s="1"/>
  <c r="M37" i="23"/>
  <c r="U36" i="23"/>
  <c r="V36" i="23" s="1"/>
  <c r="M36" i="23"/>
  <c r="U35" i="23"/>
  <c r="V35" i="23" s="1"/>
  <c r="M35" i="23"/>
  <c r="U34" i="23"/>
  <c r="V34" i="23" s="1"/>
  <c r="M34" i="23"/>
  <c r="U33" i="23"/>
  <c r="V33" i="23" s="1"/>
  <c r="M33" i="23"/>
  <c r="U32" i="23"/>
  <c r="V32" i="23" s="1"/>
  <c r="M32" i="23"/>
  <c r="U31" i="23"/>
  <c r="V31" i="23" s="1"/>
  <c r="M31" i="23"/>
  <c r="U30" i="23"/>
  <c r="V30" i="23" s="1"/>
  <c r="U29" i="23"/>
  <c r="V29" i="23" s="1"/>
  <c r="U28" i="23"/>
  <c r="V28" i="23" s="1"/>
  <c r="M28" i="23"/>
  <c r="U27" i="23"/>
  <c r="V27" i="23" s="1"/>
  <c r="M27" i="23"/>
  <c r="U26" i="23"/>
  <c r="V26" i="23" s="1"/>
  <c r="M26" i="23"/>
  <c r="U25" i="23"/>
  <c r="V25" i="23" s="1"/>
  <c r="M25" i="23"/>
  <c r="U24" i="23"/>
  <c r="V24" i="23" s="1"/>
  <c r="U23" i="23"/>
  <c r="V23" i="23" s="1"/>
  <c r="U22" i="23"/>
  <c r="V22" i="23" s="1"/>
  <c r="M22" i="23"/>
  <c r="U21" i="23"/>
  <c r="V21" i="23" s="1"/>
  <c r="M21" i="23"/>
  <c r="U20" i="23"/>
  <c r="V20" i="23" s="1"/>
  <c r="U19" i="23"/>
  <c r="V19" i="23" s="1"/>
  <c r="U18" i="23"/>
  <c r="V18" i="23" s="1"/>
  <c r="U17" i="23"/>
  <c r="V17" i="23" s="1"/>
  <c r="U16" i="23"/>
  <c r="V16" i="23" s="1"/>
  <c r="U15" i="23"/>
  <c r="V15" i="23" s="1"/>
  <c r="U14" i="23"/>
  <c r="V14" i="23" s="1"/>
  <c r="M14" i="23"/>
  <c r="U13" i="23"/>
  <c r="V13" i="23" s="1"/>
  <c r="M13" i="23"/>
  <c r="U12" i="23"/>
  <c r="V12" i="23" s="1"/>
  <c r="M12" i="23"/>
  <c r="U11" i="23"/>
  <c r="V11" i="23" s="1"/>
  <c r="M11" i="23"/>
  <c r="U10" i="23"/>
  <c r="V10" i="23" s="1"/>
  <c r="M10" i="23"/>
  <c r="U9" i="23"/>
  <c r="V9" i="23" s="1"/>
  <c r="M9" i="23"/>
  <c r="U8" i="23"/>
  <c r="V8" i="23" s="1"/>
  <c r="M8" i="23"/>
  <c r="U7" i="23"/>
  <c r="V7" i="23" s="1"/>
  <c r="M7" i="23"/>
  <c r="U6" i="23"/>
  <c r="V6" i="23" s="1"/>
  <c r="U5" i="23"/>
  <c r="V5" i="23" s="1"/>
  <c r="U4" i="23"/>
  <c r="V4" i="23" s="1"/>
  <c r="M4" i="23"/>
  <c r="U3" i="23"/>
  <c r="V3" i="23" s="1"/>
  <c r="M3" i="23"/>
  <c r="H35" i="15"/>
  <c r="H29" i="15"/>
  <c r="H27" i="15"/>
  <c r="H26" i="15"/>
  <c r="H25" i="15"/>
  <c r="H24" i="15"/>
  <c r="H23" i="15"/>
  <c r="H35" i="20"/>
  <c r="H29" i="20"/>
  <c r="H27" i="20"/>
  <c r="H26" i="20"/>
  <c r="H25" i="20"/>
  <c r="H24" i="20"/>
  <c r="H23" i="20"/>
  <c r="H22" i="20"/>
  <c r="H21" i="20"/>
  <c r="F12" i="8"/>
  <c r="F41" i="17" l="1"/>
  <c r="F42" i="17" s="1"/>
  <c r="F50" i="12"/>
  <c r="F51" i="12" s="1"/>
  <c r="H41" i="17"/>
  <c r="H42" i="17" s="1"/>
  <c r="H50" i="12"/>
  <c r="H28" i="20"/>
  <c r="H28" i="15"/>
  <c r="F22" i="8"/>
  <c r="F21" i="8"/>
  <c r="F20" i="8"/>
  <c r="F19" i="8"/>
  <c r="F18" i="8"/>
  <c r="F17" i="8"/>
  <c r="F16" i="8"/>
  <c r="F15" i="8"/>
  <c r="F14" i="8"/>
  <c r="F13" i="8"/>
  <c r="F11" i="8"/>
  <c r="F10" i="8"/>
  <c r="F9" i="8"/>
  <c r="F8" i="8"/>
  <c r="F7" i="8"/>
  <c r="F6" i="8"/>
  <c r="F5" i="8"/>
  <c r="F4" i="8"/>
  <c r="U380" i="21"/>
  <c r="V380" i="21" s="1"/>
  <c r="U379" i="21"/>
  <c r="V379" i="21" s="1"/>
  <c r="V519" i="21"/>
  <c r="U519" i="21"/>
  <c r="U204" i="21"/>
  <c r="V204" i="21" s="1"/>
  <c r="U203" i="21"/>
  <c r="V203" i="21" s="1"/>
  <c r="U462" i="21"/>
  <c r="V462" i="21" s="1"/>
  <c r="U206" i="21"/>
  <c r="V206" i="21" s="1"/>
  <c r="U205" i="21"/>
  <c r="V205" i="21" s="1"/>
  <c r="U463" i="21"/>
  <c r="V463" i="21" s="1"/>
  <c r="U208" i="21"/>
  <c r="V208" i="21" s="1"/>
  <c r="U207" i="21"/>
  <c r="V207" i="21" s="1"/>
  <c r="U464" i="21"/>
  <c r="V464" i="21" s="1"/>
  <c r="U383" i="21"/>
  <c r="V383" i="21" s="1"/>
  <c r="U521" i="21"/>
  <c r="V521" i="21" s="1"/>
  <c r="U382" i="21"/>
  <c r="V382" i="21" s="1"/>
  <c r="U520" i="21"/>
  <c r="V520" i="21" s="1"/>
  <c r="U381" i="21"/>
  <c r="V381" i="21" s="1"/>
  <c r="U210" i="21"/>
  <c r="V210" i="21" s="1"/>
  <c r="M210" i="21"/>
  <c r="U209" i="21"/>
  <c r="V209" i="21" s="1"/>
  <c r="M209" i="21"/>
  <c r="U465" i="21"/>
  <c r="V465" i="21" s="1"/>
  <c r="M465" i="21"/>
  <c r="V212" i="21"/>
  <c r="U212" i="21"/>
  <c r="M212" i="21"/>
  <c r="U211" i="21"/>
  <c r="V211" i="21" s="1"/>
  <c r="M211" i="21"/>
  <c r="V466" i="21"/>
  <c r="U466" i="21"/>
  <c r="M466" i="21"/>
  <c r="U110" i="21"/>
  <c r="V110" i="21" s="1"/>
  <c r="M110" i="21"/>
  <c r="U109" i="21"/>
  <c r="V109" i="21" s="1"/>
  <c r="M109" i="21"/>
  <c r="U430" i="21"/>
  <c r="V430" i="21" s="1"/>
  <c r="M430" i="21"/>
  <c r="U116" i="21"/>
  <c r="V116" i="21" s="1"/>
  <c r="M116" i="21"/>
  <c r="U115" i="21"/>
  <c r="V115" i="21" s="1"/>
  <c r="M115" i="21"/>
  <c r="V433" i="21"/>
  <c r="U433" i="21"/>
  <c r="M433" i="21"/>
  <c r="U114" i="21"/>
  <c r="V114" i="21" s="1"/>
  <c r="M114" i="21"/>
  <c r="V113" i="21"/>
  <c r="U113" i="21"/>
  <c r="M113" i="21"/>
  <c r="U432" i="21"/>
  <c r="V432" i="21" s="1"/>
  <c r="M432" i="21"/>
  <c r="U339" i="21"/>
  <c r="V339" i="21" s="1"/>
  <c r="M339" i="21"/>
  <c r="U342" i="21"/>
  <c r="V342" i="21" s="1"/>
  <c r="M342" i="21"/>
  <c r="U341" i="21"/>
  <c r="V341" i="21" s="1"/>
  <c r="M341" i="21"/>
  <c r="U340" i="21"/>
  <c r="V340" i="21" s="1"/>
  <c r="M340" i="21"/>
  <c r="V506" i="21"/>
  <c r="U506" i="21"/>
  <c r="M506" i="21"/>
  <c r="U338" i="21"/>
  <c r="V338" i="21" s="1"/>
  <c r="M338" i="21"/>
  <c r="V337" i="21"/>
  <c r="U337" i="21"/>
  <c r="M337" i="21"/>
  <c r="U505" i="21"/>
  <c r="V505" i="21" s="1"/>
  <c r="M505" i="21"/>
  <c r="U112" i="21"/>
  <c r="V112" i="21" s="1"/>
  <c r="M112" i="21"/>
  <c r="U111" i="21"/>
  <c r="V111" i="21" s="1"/>
  <c r="M111" i="21"/>
  <c r="U431" i="21"/>
  <c r="V431" i="21" s="1"/>
  <c r="M431" i="21"/>
  <c r="U22" i="21"/>
  <c r="V22" i="21" s="1"/>
  <c r="M22" i="21"/>
  <c r="V21" i="21"/>
  <c r="U21" i="21"/>
  <c r="M21" i="21"/>
  <c r="U396" i="21"/>
  <c r="V396" i="21" s="1"/>
  <c r="M396" i="21"/>
  <c r="V299" i="21"/>
  <c r="U299" i="21"/>
  <c r="M299" i="21"/>
  <c r="U302" i="21"/>
  <c r="V302" i="21" s="1"/>
  <c r="M302" i="21"/>
  <c r="U301" i="21"/>
  <c r="V301" i="21" s="1"/>
  <c r="M301" i="21"/>
  <c r="U300" i="21"/>
  <c r="V300" i="21" s="1"/>
  <c r="M300" i="21"/>
  <c r="U494" i="21"/>
  <c r="V494" i="21" s="1"/>
  <c r="M494" i="21"/>
  <c r="U298" i="21"/>
  <c r="V298" i="21" s="1"/>
  <c r="M298" i="21"/>
  <c r="V297" i="21"/>
  <c r="U297" i="21"/>
  <c r="M297" i="21"/>
  <c r="U493" i="21"/>
  <c r="V493" i="21" s="1"/>
  <c r="M493" i="21"/>
  <c r="V10" i="21"/>
  <c r="U10" i="21"/>
  <c r="M10" i="21"/>
  <c r="U9" i="21"/>
  <c r="V9" i="21" s="1"/>
  <c r="M9" i="21"/>
  <c r="U390" i="21"/>
  <c r="V390" i="21" s="1"/>
  <c r="M390" i="21"/>
  <c r="U235" i="21"/>
  <c r="V235" i="21" s="1"/>
  <c r="M235" i="21"/>
  <c r="U237" i="21"/>
  <c r="V237" i="21" s="1"/>
  <c r="M237" i="21"/>
  <c r="U236" i="21"/>
  <c r="V236" i="21" s="1"/>
  <c r="M236" i="21"/>
  <c r="V474" i="21"/>
  <c r="U474" i="21"/>
  <c r="M474" i="21"/>
  <c r="U238" i="21"/>
  <c r="V238" i="21" s="1"/>
  <c r="M238" i="21"/>
  <c r="V120" i="21"/>
  <c r="U120" i="21"/>
  <c r="M120" i="21"/>
  <c r="U119" i="21"/>
  <c r="V119" i="21" s="1"/>
  <c r="M119" i="21"/>
  <c r="U435" i="21"/>
  <c r="V435" i="21" s="1"/>
  <c r="M435" i="21"/>
  <c r="U118" i="21"/>
  <c r="V118" i="21" s="1"/>
  <c r="M118" i="21"/>
  <c r="U117" i="21"/>
  <c r="V117" i="21" s="1"/>
  <c r="M117" i="21"/>
  <c r="U434" i="21"/>
  <c r="V434" i="21" s="1"/>
  <c r="M434" i="21"/>
  <c r="V234" i="21"/>
  <c r="U234" i="21"/>
  <c r="M234" i="21"/>
  <c r="U233" i="21"/>
  <c r="V233" i="21" s="1"/>
  <c r="M233" i="21"/>
  <c r="V473" i="21"/>
  <c r="U473" i="21"/>
  <c r="M473" i="21"/>
  <c r="U378" i="21"/>
  <c r="V378" i="21" s="1"/>
  <c r="M378" i="21"/>
  <c r="U377" i="21"/>
  <c r="V377" i="21" s="1"/>
  <c r="M377" i="21"/>
  <c r="U518" i="21"/>
  <c r="V518" i="21" s="1"/>
  <c r="M518" i="21"/>
  <c r="U374" i="21"/>
  <c r="V374" i="21" s="1"/>
  <c r="M374" i="21"/>
  <c r="U373" i="21"/>
  <c r="V373" i="21" s="1"/>
  <c r="M373" i="21"/>
  <c r="V516" i="21"/>
  <c r="U516" i="21"/>
  <c r="M516" i="21"/>
  <c r="U376" i="21"/>
  <c r="V376" i="21" s="1"/>
  <c r="M376" i="21"/>
  <c r="V375" i="21"/>
  <c r="U375" i="21"/>
  <c r="M375" i="21"/>
  <c r="U517" i="21"/>
  <c r="V517" i="21" s="1"/>
  <c r="M517" i="21"/>
  <c r="U372" i="21"/>
  <c r="V372" i="21" s="1"/>
  <c r="M372" i="21"/>
  <c r="U371" i="21"/>
  <c r="V371" i="21" s="1"/>
  <c r="M371" i="21"/>
  <c r="U515" i="21"/>
  <c r="V515" i="21" s="1"/>
  <c r="M515" i="21"/>
  <c r="U259" i="21"/>
  <c r="V259" i="21" s="1"/>
  <c r="M259" i="21"/>
  <c r="V260" i="21"/>
  <c r="U260" i="21"/>
  <c r="M260" i="21"/>
  <c r="U147" i="21"/>
  <c r="V147" i="21" s="1"/>
  <c r="M147" i="21"/>
  <c r="V146" i="21"/>
  <c r="U146" i="21"/>
  <c r="M146" i="21"/>
  <c r="U445" i="21"/>
  <c r="V445" i="21" s="1"/>
  <c r="M445" i="21"/>
  <c r="U148" i="21"/>
  <c r="V148" i="21" s="1"/>
  <c r="M148" i="21"/>
  <c r="U144" i="21"/>
  <c r="V144" i="21" s="1"/>
  <c r="M144" i="21"/>
  <c r="U143" i="21"/>
  <c r="V143" i="21" s="1"/>
  <c r="M143" i="21"/>
  <c r="U444" i="21"/>
  <c r="V444" i="21" s="1"/>
  <c r="M444" i="21"/>
  <c r="V145" i="21"/>
  <c r="U145" i="21"/>
  <c r="M145" i="21"/>
  <c r="U92" i="21"/>
  <c r="V92" i="21" s="1"/>
  <c r="M92" i="21"/>
  <c r="V91" i="21"/>
  <c r="U91" i="21"/>
  <c r="M91" i="21"/>
  <c r="U424" i="21"/>
  <c r="V424" i="21" s="1"/>
  <c r="M424" i="21"/>
  <c r="U166" i="21"/>
  <c r="V166" i="21" s="1"/>
  <c r="M166" i="21"/>
  <c r="U93" i="21"/>
  <c r="V93" i="21" s="1"/>
  <c r="M93" i="21"/>
  <c r="U94" i="21"/>
  <c r="V94" i="21" s="1"/>
  <c r="M94" i="21"/>
  <c r="U96" i="21"/>
  <c r="V96" i="21" s="1"/>
  <c r="M96" i="21"/>
  <c r="V95" i="21"/>
  <c r="U95" i="21"/>
  <c r="M95" i="21"/>
  <c r="U425" i="21"/>
  <c r="V425" i="21" s="1"/>
  <c r="M425" i="21"/>
  <c r="V255" i="21"/>
  <c r="U255" i="21"/>
  <c r="M255" i="21"/>
  <c r="U256" i="21"/>
  <c r="V256" i="21" s="1"/>
  <c r="M256" i="21"/>
  <c r="U258" i="21"/>
  <c r="V258" i="21" s="1"/>
  <c r="M258" i="21"/>
  <c r="U257" i="21"/>
  <c r="V257" i="21" s="1"/>
  <c r="M257" i="21"/>
  <c r="U480" i="21"/>
  <c r="V480" i="21" s="1"/>
  <c r="M480" i="21"/>
  <c r="U254" i="21"/>
  <c r="V254" i="21" s="1"/>
  <c r="M254" i="21"/>
  <c r="V253" i="21"/>
  <c r="U253" i="21"/>
  <c r="M253" i="21"/>
  <c r="U479" i="21"/>
  <c r="V479" i="21" s="1"/>
  <c r="M479" i="21"/>
  <c r="V86" i="21"/>
  <c r="U86" i="21"/>
  <c r="M86" i="21"/>
  <c r="U85" i="21"/>
  <c r="V85" i="21" s="1"/>
  <c r="M85" i="21"/>
  <c r="U422" i="21"/>
  <c r="V422" i="21" s="1"/>
  <c r="M422" i="21"/>
  <c r="U165" i="21"/>
  <c r="V165" i="21" s="1"/>
  <c r="M165" i="21"/>
  <c r="U88" i="21"/>
  <c r="V88" i="21" s="1"/>
  <c r="M88" i="21"/>
  <c r="U87" i="21"/>
  <c r="V87" i="21" s="1"/>
  <c r="M87" i="21"/>
  <c r="V265" i="21"/>
  <c r="U265" i="21"/>
  <c r="M265" i="21"/>
  <c r="U264" i="21"/>
  <c r="V264" i="21" s="1"/>
  <c r="M264" i="21"/>
  <c r="V482" i="21"/>
  <c r="U482" i="21"/>
  <c r="M482" i="21"/>
  <c r="V263" i="21"/>
  <c r="M263" i="21"/>
  <c r="V266" i="21"/>
  <c r="M266" i="21"/>
  <c r="V262" i="21"/>
  <c r="M262" i="21"/>
  <c r="V261" i="21"/>
  <c r="M261" i="21"/>
  <c r="V481" i="21"/>
  <c r="M481" i="21"/>
  <c r="V90" i="21"/>
  <c r="M90" i="21"/>
  <c r="V89" i="21"/>
  <c r="M89" i="21"/>
  <c r="V423" i="21"/>
  <c r="M423" i="21"/>
  <c r="U141" i="21"/>
  <c r="V141" i="21" s="1"/>
  <c r="M141" i="21"/>
  <c r="U140" i="21"/>
  <c r="V140" i="21" s="1"/>
  <c r="M140" i="21"/>
  <c r="U443" i="21"/>
  <c r="V443" i="21" s="1"/>
  <c r="M443" i="21"/>
  <c r="U142" i="21"/>
  <c r="V142" i="21" s="1"/>
  <c r="M142" i="21"/>
  <c r="U138" i="21"/>
  <c r="V138" i="21" s="1"/>
  <c r="M138" i="21"/>
  <c r="V137" i="21"/>
  <c r="U137" i="21"/>
  <c r="M137" i="21"/>
  <c r="U442" i="21"/>
  <c r="V442" i="21" s="1"/>
  <c r="M442" i="21"/>
  <c r="V139" i="21"/>
  <c r="U139" i="21"/>
  <c r="M139" i="21"/>
  <c r="U80" i="21"/>
  <c r="V80" i="21" s="1"/>
  <c r="M80" i="21"/>
  <c r="U79" i="21"/>
  <c r="V79" i="21" s="1"/>
  <c r="M79" i="21"/>
  <c r="U420" i="21"/>
  <c r="V420" i="21" s="1"/>
  <c r="M420" i="21"/>
  <c r="U164" i="21"/>
  <c r="V164" i="21" s="1"/>
  <c r="M164" i="21"/>
  <c r="U82" i="21"/>
  <c r="V82" i="21" s="1"/>
  <c r="M82" i="21"/>
  <c r="V81" i="21"/>
  <c r="U81" i="21"/>
  <c r="M81" i="21"/>
  <c r="V84" i="21"/>
  <c r="M84" i="21"/>
  <c r="V83" i="21"/>
  <c r="M83" i="21"/>
  <c r="V421" i="21"/>
  <c r="M421" i="21"/>
  <c r="U305" i="21"/>
  <c r="V305" i="21" s="1"/>
  <c r="M305" i="21"/>
  <c r="U306" i="21"/>
  <c r="V306" i="21" s="1"/>
  <c r="M306" i="21"/>
  <c r="U309" i="21"/>
  <c r="V309" i="21" s="1"/>
  <c r="M309" i="21"/>
  <c r="V310" i="21"/>
  <c r="U310" i="21"/>
  <c r="M310" i="21"/>
  <c r="U308" i="21"/>
  <c r="V308" i="21" s="1"/>
  <c r="M308" i="21"/>
  <c r="V307" i="21"/>
  <c r="U307" i="21"/>
  <c r="M307" i="21"/>
  <c r="U496" i="21"/>
  <c r="V496" i="21" s="1"/>
  <c r="M496" i="21"/>
  <c r="U304" i="21"/>
  <c r="V304" i="21" s="1"/>
  <c r="M304" i="21"/>
  <c r="U303" i="21"/>
  <c r="V303" i="21" s="1"/>
  <c r="M303" i="21"/>
  <c r="U495" i="21"/>
  <c r="V495" i="21" s="1"/>
  <c r="M495" i="21"/>
  <c r="U74" i="21"/>
  <c r="V74" i="21" s="1"/>
  <c r="M74" i="21"/>
  <c r="V73" i="21"/>
  <c r="U73" i="21"/>
  <c r="M73" i="21"/>
  <c r="U418" i="21"/>
  <c r="V418" i="21" s="1"/>
  <c r="M418" i="21"/>
  <c r="V163" i="21"/>
  <c r="U163" i="21"/>
  <c r="M163" i="21"/>
  <c r="U76" i="21"/>
  <c r="V76" i="21" s="1"/>
  <c r="M76" i="21"/>
  <c r="U75" i="21"/>
  <c r="V75" i="21" s="1"/>
  <c r="M75" i="21"/>
  <c r="V313" i="21"/>
  <c r="M313" i="21"/>
  <c r="V316" i="21"/>
  <c r="M316" i="21"/>
  <c r="V315" i="21"/>
  <c r="M315" i="21"/>
  <c r="V314" i="21"/>
  <c r="M314" i="21"/>
  <c r="V498" i="21"/>
  <c r="M498" i="21"/>
  <c r="V312" i="21"/>
  <c r="M312" i="21"/>
  <c r="V311" i="21"/>
  <c r="M311" i="21"/>
  <c r="V497" i="21"/>
  <c r="M497" i="21"/>
  <c r="V78" i="21"/>
  <c r="M78" i="21"/>
  <c r="V77" i="21"/>
  <c r="M77" i="21"/>
  <c r="V419" i="21"/>
  <c r="M419" i="21"/>
  <c r="U135" i="21"/>
  <c r="V135" i="21" s="1"/>
  <c r="M135" i="21"/>
  <c r="V134" i="21"/>
  <c r="U134" i="21"/>
  <c r="M134" i="21"/>
  <c r="U441" i="21"/>
  <c r="V441" i="21" s="1"/>
  <c r="M441" i="21"/>
  <c r="U136" i="21"/>
  <c r="V136" i="21" s="1"/>
  <c r="M136" i="21"/>
  <c r="U132" i="21"/>
  <c r="V132" i="21" s="1"/>
  <c r="M132" i="21"/>
  <c r="U131" i="21"/>
  <c r="V131" i="21" s="1"/>
  <c r="M131" i="21"/>
  <c r="U440" i="21"/>
  <c r="V440" i="21" s="1"/>
  <c r="M440" i="21"/>
  <c r="V133" i="21"/>
  <c r="U133" i="21"/>
  <c r="M133" i="21"/>
  <c r="U68" i="21"/>
  <c r="V68" i="21" s="1"/>
  <c r="M68" i="21"/>
  <c r="V67" i="21"/>
  <c r="U67" i="21"/>
  <c r="M67" i="21"/>
  <c r="U416" i="21"/>
  <c r="V416" i="21" s="1"/>
  <c r="M416" i="21"/>
  <c r="U162" i="21"/>
  <c r="V162" i="21" s="1"/>
  <c r="M162" i="21"/>
  <c r="U70" i="21"/>
  <c r="V70" i="21" s="1"/>
  <c r="M70" i="21"/>
  <c r="U69" i="21"/>
  <c r="V69" i="21" s="1"/>
  <c r="M69" i="21"/>
  <c r="V72" i="21"/>
  <c r="M72" i="21"/>
  <c r="V71" i="21"/>
  <c r="M71" i="21"/>
  <c r="V417" i="21"/>
  <c r="M417" i="21"/>
  <c r="U241" i="21"/>
  <c r="V241" i="21" s="1"/>
  <c r="M241" i="21"/>
  <c r="U242" i="21"/>
  <c r="V242" i="21" s="1"/>
  <c r="M242" i="21"/>
  <c r="U244" i="21"/>
  <c r="V244" i="21" s="1"/>
  <c r="M244" i="21"/>
  <c r="U243" i="21"/>
  <c r="V243" i="21" s="1"/>
  <c r="M243" i="21"/>
  <c r="U476" i="21"/>
  <c r="V476" i="21" s="1"/>
  <c r="M476" i="21"/>
  <c r="V245" i="21"/>
  <c r="U245" i="21"/>
  <c r="M245" i="21"/>
  <c r="U246" i="21"/>
  <c r="V246" i="21" s="1"/>
  <c r="M246" i="21"/>
  <c r="V240" i="21"/>
  <c r="U240" i="21"/>
  <c r="M240" i="21"/>
  <c r="U239" i="21"/>
  <c r="V239" i="21" s="1"/>
  <c r="M239" i="21"/>
  <c r="U475" i="21"/>
  <c r="V475" i="21" s="1"/>
  <c r="M475" i="21"/>
  <c r="U62" i="21"/>
  <c r="V62" i="21" s="1"/>
  <c r="M62" i="21"/>
  <c r="U61" i="21"/>
  <c r="V61" i="21" s="1"/>
  <c r="M61" i="21"/>
  <c r="U414" i="21"/>
  <c r="V414" i="21" s="1"/>
  <c r="M414" i="21"/>
  <c r="V161" i="21"/>
  <c r="U161" i="21"/>
  <c r="M161" i="21"/>
  <c r="U63" i="21"/>
  <c r="V63" i="21" s="1"/>
  <c r="M63" i="21"/>
  <c r="V64" i="21"/>
  <c r="U64" i="21"/>
  <c r="M64" i="21"/>
  <c r="V249" i="21"/>
  <c r="M249" i="21"/>
  <c r="U251" i="21"/>
  <c r="V251" i="21" s="1"/>
  <c r="M251" i="21"/>
  <c r="V250" i="21"/>
  <c r="U250" i="21"/>
  <c r="M250" i="21"/>
  <c r="U478" i="21"/>
  <c r="V478" i="21" s="1"/>
  <c r="M478" i="21"/>
  <c r="V252" i="21"/>
  <c r="U252" i="21"/>
  <c r="M252" i="21"/>
  <c r="V248" i="21"/>
  <c r="M248" i="21"/>
  <c r="V247" i="21"/>
  <c r="M247" i="21"/>
  <c r="V477" i="21"/>
  <c r="M477" i="21"/>
  <c r="V66" i="21"/>
  <c r="M66" i="21"/>
  <c r="V65" i="21"/>
  <c r="M65" i="21"/>
  <c r="V415" i="21"/>
  <c r="M415" i="21"/>
  <c r="U129" i="21"/>
  <c r="V129" i="21" s="1"/>
  <c r="M129" i="21"/>
  <c r="U128" i="21"/>
  <c r="V128" i="21" s="1"/>
  <c r="M128" i="21"/>
  <c r="U439" i="21"/>
  <c r="V439" i="21" s="1"/>
  <c r="M439" i="21"/>
  <c r="U130" i="21"/>
  <c r="V130" i="21" s="1"/>
  <c r="M130" i="21"/>
  <c r="U126" i="21"/>
  <c r="V126" i="21" s="1"/>
  <c r="M126" i="21"/>
  <c r="V125" i="21"/>
  <c r="U125" i="21"/>
  <c r="M125" i="21"/>
  <c r="U438" i="21"/>
  <c r="V438" i="21" s="1"/>
  <c r="M438" i="21"/>
  <c r="V127" i="21"/>
  <c r="U127" i="21"/>
  <c r="M127" i="21"/>
  <c r="U56" i="21"/>
  <c r="V56" i="21" s="1"/>
  <c r="M56" i="21"/>
  <c r="U55" i="21"/>
  <c r="V55" i="21" s="1"/>
  <c r="M55" i="21"/>
  <c r="U412" i="21"/>
  <c r="V412" i="21" s="1"/>
  <c r="M412" i="21"/>
  <c r="U160" i="21"/>
  <c r="V160" i="21" s="1"/>
  <c r="M160" i="21"/>
  <c r="U57" i="21"/>
  <c r="V57" i="21" s="1"/>
  <c r="M57" i="21"/>
  <c r="V58" i="21"/>
  <c r="U58" i="21"/>
  <c r="M58" i="21"/>
  <c r="V60" i="21"/>
  <c r="M60" i="21"/>
  <c r="V59" i="21"/>
  <c r="M59" i="21"/>
  <c r="V413" i="21"/>
  <c r="M413" i="21"/>
  <c r="U344" i="21"/>
  <c r="V344" i="21" s="1"/>
  <c r="M344" i="21"/>
  <c r="U343" i="21"/>
  <c r="V343" i="21" s="1"/>
  <c r="M343" i="21"/>
  <c r="U507" i="21"/>
  <c r="V507" i="21" s="1"/>
  <c r="M507" i="21"/>
  <c r="V349" i="21"/>
  <c r="U349" i="21"/>
  <c r="M349" i="21"/>
  <c r="U350" i="21"/>
  <c r="V350" i="21" s="1"/>
  <c r="M350" i="21"/>
  <c r="V345" i="21"/>
  <c r="U345" i="21"/>
  <c r="M345" i="21"/>
  <c r="U346" i="21"/>
  <c r="V346" i="21" s="1"/>
  <c r="M346" i="21"/>
  <c r="U348" i="21"/>
  <c r="V348" i="21" s="1"/>
  <c r="M348" i="21"/>
  <c r="U347" i="21"/>
  <c r="V347" i="21" s="1"/>
  <c r="M347" i="21"/>
  <c r="U508" i="21"/>
  <c r="V508" i="21" s="1"/>
  <c r="M508" i="21"/>
  <c r="U50" i="21"/>
  <c r="V50" i="21" s="1"/>
  <c r="M50" i="21"/>
  <c r="V49" i="21"/>
  <c r="U49" i="21"/>
  <c r="M49" i="21"/>
  <c r="U410" i="21"/>
  <c r="V410" i="21" s="1"/>
  <c r="M410" i="21"/>
  <c r="V159" i="21"/>
  <c r="U159" i="21"/>
  <c r="M159" i="21"/>
  <c r="U52" i="21"/>
  <c r="V52" i="21" s="1"/>
  <c r="M52" i="21"/>
  <c r="U51" i="21"/>
  <c r="V51" i="21" s="1"/>
  <c r="M51" i="21"/>
  <c r="V352" i="21"/>
  <c r="M352" i="21"/>
  <c r="V351" i="21"/>
  <c r="M351" i="21"/>
  <c r="V509" i="21"/>
  <c r="M509" i="21"/>
  <c r="V356" i="21"/>
  <c r="M356" i="21"/>
  <c r="V353" i="21"/>
  <c r="M353" i="21"/>
  <c r="V355" i="21"/>
  <c r="M355" i="21"/>
  <c r="V354" i="21"/>
  <c r="M354" i="21"/>
  <c r="V510" i="21"/>
  <c r="M510" i="21"/>
  <c r="V54" i="21"/>
  <c r="M54" i="21"/>
  <c r="V53" i="21"/>
  <c r="M53" i="21"/>
  <c r="V411" i="21"/>
  <c r="M411" i="21"/>
  <c r="U153" i="21"/>
  <c r="V153" i="21" s="1"/>
  <c r="M153" i="21"/>
  <c r="V152" i="21"/>
  <c r="U152" i="21"/>
  <c r="M152" i="21"/>
  <c r="U447" i="21"/>
  <c r="V447" i="21" s="1"/>
  <c r="M447" i="21"/>
  <c r="U154" i="21"/>
  <c r="V154" i="21" s="1"/>
  <c r="M154" i="21"/>
  <c r="U150" i="21"/>
  <c r="V150" i="21" s="1"/>
  <c r="M150" i="21"/>
  <c r="U149" i="21"/>
  <c r="V149" i="21" s="1"/>
  <c r="M149" i="21"/>
  <c r="U446" i="21"/>
  <c r="V446" i="21" s="1"/>
  <c r="M446" i="21"/>
  <c r="V151" i="21"/>
  <c r="U151" i="21"/>
  <c r="M151" i="21"/>
  <c r="U104" i="21"/>
  <c r="V104" i="21" s="1"/>
  <c r="M104" i="21"/>
  <c r="V103" i="21"/>
  <c r="U103" i="21"/>
  <c r="M103" i="21"/>
  <c r="U428" i="21"/>
  <c r="V428" i="21" s="1"/>
  <c r="M428" i="21"/>
  <c r="U168" i="21"/>
  <c r="V168" i="21" s="1"/>
  <c r="M168" i="21"/>
  <c r="U106" i="21"/>
  <c r="V106" i="21" s="1"/>
  <c r="M106" i="21"/>
  <c r="U105" i="21"/>
  <c r="V105" i="21" s="1"/>
  <c r="M105" i="21"/>
  <c r="V108" i="21"/>
  <c r="M108" i="21"/>
  <c r="V107" i="21"/>
  <c r="M107" i="21"/>
  <c r="V429" i="21"/>
  <c r="M429" i="21"/>
  <c r="U319" i="21"/>
  <c r="V319" i="21" s="1"/>
  <c r="M319" i="21"/>
  <c r="U320" i="21"/>
  <c r="V320" i="21" s="1"/>
  <c r="M320" i="21"/>
  <c r="U323" i="21"/>
  <c r="V323" i="21" s="1"/>
  <c r="M323" i="21"/>
  <c r="U324" i="21"/>
  <c r="V324" i="21" s="1"/>
  <c r="M324" i="21"/>
  <c r="U322" i="21"/>
  <c r="V322" i="21" s="1"/>
  <c r="M322" i="21"/>
  <c r="V321" i="21"/>
  <c r="U321" i="21"/>
  <c r="M321" i="21"/>
  <c r="U500" i="21"/>
  <c r="V500" i="21" s="1"/>
  <c r="M500" i="21"/>
  <c r="V318" i="21"/>
  <c r="U318" i="21"/>
  <c r="M318" i="21"/>
  <c r="U317" i="21"/>
  <c r="V317" i="21" s="1"/>
  <c r="M317" i="21"/>
  <c r="U499" i="21"/>
  <c r="V499" i="21" s="1"/>
  <c r="M499" i="21"/>
  <c r="U98" i="21"/>
  <c r="V98" i="21" s="1"/>
  <c r="M98" i="21"/>
  <c r="U97" i="21"/>
  <c r="V97" i="21" s="1"/>
  <c r="M97" i="21"/>
  <c r="U426" i="21"/>
  <c r="V426" i="21" s="1"/>
  <c r="M426" i="21"/>
  <c r="V167" i="21"/>
  <c r="U167" i="21"/>
  <c r="M167" i="21"/>
  <c r="U99" i="21"/>
  <c r="V99" i="21" s="1"/>
  <c r="M99" i="21"/>
  <c r="V100" i="21"/>
  <c r="U100" i="21"/>
  <c r="M100" i="21"/>
  <c r="V327" i="21"/>
  <c r="M327" i="21"/>
  <c r="V330" i="21"/>
  <c r="M330" i="21"/>
  <c r="V329" i="21"/>
  <c r="M329" i="21"/>
  <c r="V328" i="21"/>
  <c r="M328" i="21"/>
  <c r="V502" i="21"/>
  <c r="M502" i="21"/>
  <c r="V326" i="21"/>
  <c r="M326" i="21"/>
  <c r="V325" i="21"/>
  <c r="M325" i="21"/>
  <c r="V501" i="21"/>
  <c r="M501" i="21"/>
  <c r="V102" i="21"/>
  <c r="M102" i="21"/>
  <c r="V101" i="21"/>
  <c r="M101" i="21"/>
  <c r="V427" i="21"/>
  <c r="M427" i="21"/>
  <c r="U198" i="21"/>
  <c r="V198" i="21" s="1"/>
  <c r="M198" i="21"/>
  <c r="V197" i="21"/>
  <c r="U197" i="21"/>
  <c r="M197" i="21"/>
  <c r="U459" i="21"/>
  <c r="V459" i="21" s="1"/>
  <c r="M459" i="21"/>
  <c r="V202" i="21"/>
  <c r="U202" i="21"/>
  <c r="M202" i="21"/>
  <c r="U201" i="21"/>
  <c r="V201" i="21" s="1"/>
  <c r="M201" i="21"/>
  <c r="U461" i="21"/>
  <c r="V461" i="21" s="1"/>
  <c r="M461" i="21"/>
  <c r="U190" i="21"/>
  <c r="V190" i="21" s="1"/>
  <c r="M190" i="21"/>
  <c r="U189" i="21"/>
  <c r="V189" i="21" s="1"/>
  <c r="M189" i="21"/>
  <c r="U455" i="21"/>
  <c r="V455" i="21" s="1"/>
  <c r="M455" i="21"/>
  <c r="V188" i="21"/>
  <c r="U188" i="21"/>
  <c r="M188" i="21"/>
  <c r="U187" i="21"/>
  <c r="V187" i="21" s="1"/>
  <c r="M187" i="21"/>
  <c r="V454" i="21"/>
  <c r="U454" i="21"/>
  <c r="M454" i="21"/>
  <c r="U192" i="21"/>
  <c r="V192" i="21" s="1"/>
  <c r="M192" i="21"/>
  <c r="U191" i="21"/>
  <c r="V191" i="21" s="1"/>
  <c r="M191" i="21"/>
  <c r="U456" i="21"/>
  <c r="V456" i="21" s="1"/>
  <c r="M456" i="21"/>
  <c r="U196" i="21"/>
  <c r="V196" i="21" s="1"/>
  <c r="M196" i="21"/>
  <c r="U195" i="21"/>
  <c r="V195" i="21" s="1"/>
  <c r="M195" i="21"/>
  <c r="V458" i="21"/>
  <c r="U458" i="21"/>
  <c r="M458" i="21"/>
  <c r="U186" i="21"/>
  <c r="V186" i="21" s="1"/>
  <c r="M186" i="21"/>
  <c r="V185" i="21"/>
  <c r="U185" i="21"/>
  <c r="M185" i="21"/>
  <c r="U453" i="21"/>
  <c r="V453" i="21" s="1"/>
  <c r="M453" i="21"/>
  <c r="U184" i="21"/>
  <c r="V184" i="21" s="1"/>
  <c r="M184" i="21"/>
  <c r="U183" i="21"/>
  <c r="V183" i="21" s="1"/>
  <c r="M183" i="21"/>
  <c r="U452" i="21"/>
  <c r="V452" i="21" s="1"/>
  <c r="M452" i="21"/>
  <c r="U12" i="21"/>
  <c r="V12" i="21" s="1"/>
  <c r="M12" i="21"/>
  <c r="U11" i="21"/>
  <c r="V11" i="21" s="1"/>
  <c r="M11" i="21"/>
  <c r="U391" i="21"/>
  <c r="V391" i="21" s="1"/>
  <c r="M391" i="21"/>
  <c r="V34" i="21"/>
  <c r="U34" i="21"/>
  <c r="M34" i="21"/>
  <c r="U33" i="21"/>
  <c r="V33" i="21" s="1"/>
  <c r="M33" i="21"/>
  <c r="V402" i="21"/>
  <c r="U402" i="21"/>
  <c r="M402" i="21"/>
  <c r="U385" i="21"/>
  <c r="V385" i="21" s="1"/>
  <c r="M385" i="21"/>
  <c r="U384" i="21"/>
  <c r="V384" i="21" s="1"/>
  <c r="M384" i="21"/>
  <c r="U386" i="21"/>
  <c r="V386" i="21" s="1"/>
  <c r="M386" i="21"/>
  <c r="U32" i="21"/>
  <c r="V32" i="21" s="1"/>
  <c r="M32" i="21"/>
  <c r="U31" i="21"/>
  <c r="V31" i="21" s="1"/>
  <c r="M31" i="21"/>
  <c r="V401" i="21"/>
  <c r="U401" i="21"/>
  <c r="M401" i="21"/>
  <c r="U36" i="21"/>
  <c r="V36" i="21" s="1"/>
  <c r="M36" i="21"/>
  <c r="V35" i="21"/>
  <c r="U35" i="21"/>
  <c r="M35" i="21"/>
  <c r="U403" i="21"/>
  <c r="V403" i="21" s="1"/>
  <c r="M403" i="21"/>
  <c r="U333" i="21"/>
  <c r="V333" i="21" s="1"/>
  <c r="M333" i="21"/>
  <c r="U336" i="21"/>
  <c r="V336" i="21" s="1"/>
  <c r="M336" i="21"/>
  <c r="U335" i="21"/>
  <c r="V335" i="21" s="1"/>
  <c r="M335" i="21"/>
  <c r="U334" i="21"/>
  <c r="V334" i="21" s="1"/>
  <c r="M334" i="21"/>
  <c r="V504" i="21"/>
  <c r="U504" i="21"/>
  <c r="M504" i="21"/>
  <c r="U332" i="21"/>
  <c r="V332" i="21" s="1"/>
  <c r="M332" i="21"/>
  <c r="V331" i="21"/>
  <c r="U331" i="21"/>
  <c r="M331" i="21"/>
  <c r="U503" i="21"/>
  <c r="V503" i="21" s="1"/>
  <c r="M503" i="21"/>
  <c r="U8" i="21"/>
  <c r="V8" i="21" s="1"/>
  <c r="M8" i="21"/>
  <c r="U7" i="21"/>
  <c r="V7" i="21" s="1"/>
  <c r="M7" i="21"/>
  <c r="U389" i="21"/>
  <c r="V389" i="21" s="1"/>
  <c r="M389" i="21"/>
  <c r="U216" i="21"/>
  <c r="V216" i="21" s="1"/>
  <c r="M216" i="21"/>
  <c r="V215" i="21"/>
  <c r="U215" i="21"/>
  <c r="M215" i="21"/>
  <c r="U468" i="21"/>
  <c r="V468" i="21" s="1"/>
  <c r="M468" i="21"/>
  <c r="V214" i="21"/>
  <c r="U214" i="21"/>
  <c r="M214" i="21"/>
  <c r="U213" i="21"/>
  <c r="V213" i="21" s="1"/>
  <c r="M213" i="21"/>
  <c r="U467" i="21"/>
  <c r="V467" i="21" s="1"/>
  <c r="M467" i="21"/>
  <c r="U364" i="21"/>
  <c r="V364" i="21" s="1"/>
  <c r="M364" i="21"/>
  <c r="U370" i="21"/>
  <c r="V370" i="21" s="1"/>
  <c r="M370" i="21"/>
  <c r="U369" i="21"/>
  <c r="V369" i="21" s="1"/>
  <c r="M369" i="21"/>
  <c r="V368" i="21"/>
  <c r="U368" i="21"/>
  <c r="M368" i="21"/>
  <c r="U514" i="21"/>
  <c r="V514" i="21" s="1"/>
  <c r="M514" i="21"/>
  <c r="V363" i="21"/>
  <c r="U363" i="21"/>
  <c r="M363" i="21"/>
  <c r="U362" i="21"/>
  <c r="V362" i="21" s="1"/>
  <c r="M362" i="21"/>
  <c r="U512" i="21"/>
  <c r="V512" i="21" s="1"/>
  <c r="M512" i="21"/>
  <c r="U361" i="21"/>
  <c r="V361" i="21" s="1"/>
  <c r="M361" i="21"/>
  <c r="U367" i="21"/>
  <c r="V367" i="21" s="1"/>
  <c r="M367" i="21"/>
  <c r="U366" i="21"/>
  <c r="V366" i="21" s="1"/>
  <c r="M366" i="21"/>
  <c r="V365" i="21"/>
  <c r="U365" i="21"/>
  <c r="M365" i="21"/>
  <c r="U513" i="21"/>
  <c r="V513" i="21" s="1"/>
  <c r="M513" i="21"/>
  <c r="V360" i="21"/>
  <c r="U360" i="21"/>
  <c r="M360" i="21"/>
  <c r="U359" i="21"/>
  <c r="V359" i="21" s="1"/>
  <c r="M359" i="21"/>
  <c r="U511" i="21"/>
  <c r="V511" i="21" s="1"/>
  <c r="M511" i="21"/>
  <c r="U40" i="21"/>
  <c r="V40" i="21" s="1"/>
  <c r="M40" i="21"/>
  <c r="U39" i="21"/>
  <c r="V39" i="21" s="1"/>
  <c r="M39" i="21"/>
  <c r="U405" i="21"/>
  <c r="V405" i="21" s="1"/>
  <c r="M405" i="21"/>
  <c r="V181" i="21"/>
  <c r="U181" i="21"/>
  <c r="M181" i="21"/>
  <c r="U182" i="21"/>
  <c r="V182" i="21" s="1"/>
  <c r="M182" i="21"/>
  <c r="V229" i="21"/>
  <c r="U229" i="21"/>
  <c r="M229" i="21"/>
  <c r="U231" i="21"/>
  <c r="V231" i="21" s="1"/>
  <c r="M231" i="21"/>
  <c r="U230" i="21"/>
  <c r="V230" i="21" s="1"/>
  <c r="M230" i="21"/>
  <c r="U472" i="21"/>
  <c r="V472" i="21" s="1"/>
  <c r="M472" i="21"/>
  <c r="U232" i="21"/>
  <c r="V232" i="21" s="1"/>
  <c r="M232" i="21"/>
  <c r="U228" i="21"/>
  <c r="V228" i="21" s="1"/>
  <c r="M228" i="21"/>
  <c r="U227" i="21"/>
  <c r="V227" i="21" s="1"/>
  <c r="M227" i="21"/>
  <c r="U471" i="21"/>
  <c r="V471" i="21" s="1"/>
  <c r="M471" i="21"/>
  <c r="U38" i="21"/>
  <c r="V38" i="21" s="1"/>
  <c r="M38" i="21"/>
  <c r="U37" i="21"/>
  <c r="V37" i="21" s="1"/>
  <c r="M37" i="21"/>
  <c r="V404" i="21"/>
  <c r="U404" i="21"/>
  <c r="M404" i="21"/>
  <c r="U179" i="21"/>
  <c r="V179" i="21" s="1"/>
  <c r="M179" i="21"/>
  <c r="U180" i="21"/>
  <c r="V180" i="21" s="1"/>
  <c r="M180" i="21"/>
  <c r="U26" i="21"/>
  <c r="V26" i="21" s="1"/>
  <c r="M26" i="21"/>
  <c r="V25" i="21"/>
  <c r="U25" i="21"/>
  <c r="M25" i="21"/>
  <c r="U398" i="21"/>
  <c r="V398" i="21" s="1"/>
  <c r="M398" i="21"/>
  <c r="U14" i="21"/>
  <c r="V14" i="21" s="1"/>
  <c r="M14" i="21"/>
  <c r="U13" i="21"/>
  <c r="V13" i="21" s="1"/>
  <c r="M13" i="21"/>
  <c r="U392" i="21"/>
  <c r="V392" i="21" s="1"/>
  <c r="M392" i="21"/>
  <c r="U20" i="21"/>
  <c r="V20" i="21" s="1"/>
  <c r="M20" i="21"/>
  <c r="U19" i="21"/>
  <c r="V19" i="21" s="1"/>
  <c r="M19" i="21"/>
  <c r="U395" i="21"/>
  <c r="V395" i="21" s="1"/>
  <c r="M395" i="21"/>
  <c r="U16" i="21"/>
  <c r="V16" i="21" s="1"/>
  <c r="M16" i="21"/>
  <c r="U15" i="21"/>
  <c r="V15" i="21" s="1"/>
  <c r="M15" i="21"/>
  <c r="U393" i="21"/>
  <c r="V393" i="21" s="1"/>
  <c r="M393" i="21"/>
  <c r="U48" i="21"/>
  <c r="V48" i="21" s="1"/>
  <c r="M48" i="21"/>
  <c r="V47" i="21"/>
  <c r="U47" i="21"/>
  <c r="M47" i="21"/>
  <c r="U409" i="21"/>
  <c r="V409" i="21" s="1"/>
  <c r="M409" i="21"/>
  <c r="U158" i="21"/>
  <c r="V158" i="21" s="1"/>
  <c r="M158" i="21"/>
  <c r="U42" i="21"/>
  <c r="V42" i="21" s="1"/>
  <c r="M42" i="21"/>
  <c r="V41" i="21"/>
  <c r="U41" i="21"/>
  <c r="M41" i="21"/>
  <c r="U406" i="21"/>
  <c r="V406" i="21" s="1"/>
  <c r="M406" i="21"/>
  <c r="U157" i="21"/>
  <c r="V157" i="21" s="1"/>
  <c r="M157" i="21"/>
  <c r="U24" i="21"/>
  <c r="V24" i="21" s="1"/>
  <c r="M24" i="21"/>
  <c r="U23" i="21"/>
  <c r="V23" i="21" s="1"/>
  <c r="M23" i="21"/>
  <c r="U397" i="21"/>
  <c r="V397" i="21" s="1"/>
  <c r="M397" i="21"/>
  <c r="U18" i="21"/>
  <c r="V18" i="21" s="1"/>
  <c r="M18" i="21"/>
  <c r="U17" i="21"/>
  <c r="V17" i="21" s="1"/>
  <c r="M17" i="21"/>
  <c r="U394" i="21"/>
  <c r="V394" i="21" s="1"/>
  <c r="M394" i="21"/>
  <c r="U287" i="21"/>
  <c r="V287" i="21" s="1"/>
  <c r="M287" i="21"/>
  <c r="U290" i="21"/>
  <c r="V290" i="21" s="1"/>
  <c r="M290" i="21"/>
  <c r="U289" i="21"/>
  <c r="V289" i="21" s="1"/>
  <c r="M289" i="21"/>
  <c r="V288" i="21"/>
  <c r="U288" i="21"/>
  <c r="M288" i="21"/>
  <c r="U490" i="21"/>
  <c r="V490" i="21" s="1"/>
  <c r="M490" i="21"/>
  <c r="U286" i="21"/>
  <c r="V286" i="21" s="1"/>
  <c r="M286" i="21"/>
  <c r="U285" i="21"/>
  <c r="V285" i="21" s="1"/>
  <c r="M285" i="21"/>
  <c r="V489" i="21"/>
  <c r="U489" i="21"/>
  <c r="M489" i="21"/>
  <c r="U46" i="21"/>
  <c r="V46" i="21" s="1"/>
  <c r="M46" i="21"/>
  <c r="U45" i="21"/>
  <c r="V45" i="21" s="1"/>
  <c r="M45" i="21"/>
  <c r="U408" i="21"/>
  <c r="V408" i="21" s="1"/>
  <c r="M408" i="21"/>
  <c r="U156" i="21"/>
  <c r="V156" i="21" s="1"/>
  <c r="M156" i="21"/>
  <c r="U293" i="21"/>
  <c r="V293" i="21" s="1"/>
  <c r="M293" i="21"/>
  <c r="U296" i="21"/>
  <c r="V296" i="21" s="1"/>
  <c r="M296" i="21"/>
  <c r="U295" i="21"/>
  <c r="V295" i="21" s="1"/>
  <c r="M295" i="21"/>
  <c r="U294" i="21"/>
  <c r="V294" i="21" s="1"/>
  <c r="M294" i="21"/>
  <c r="U492" i="21"/>
  <c r="V492" i="21" s="1"/>
  <c r="M492" i="21"/>
  <c r="U292" i="21"/>
  <c r="V292" i="21" s="1"/>
  <c r="M292" i="21"/>
  <c r="U291" i="21"/>
  <c r="V291" i="21" s="1"/>
  <c r="M291" i="21"/>
  <c r="U491" i="21"/>
  <c r="V491" i="21" s="1"/>
  <c r="M491" i="21"/>
  <c r="U200" i="21"/>
  <c r="V200" i="21" s="1"/>
  <c r="M200" i="21"/>
  <c r="U199" i="21"/>
  <c r="V199" i="21" s="1"/>
  <c r="M199" i="21"/>
  <c r="U460" i="21"/>
  <c r="V460" i="21" s="1"/>
  <c r="M460" i="21"/>
  <c r="V124" i="21"/>
  <c r="U124" i="21"/>
  <c r="M124" i="21"/>
  <c r="U123" i="21"/>
  <c r="V123" i="21" s="1"/>
  <c r="M123" i="21"/>
  <c r="U437" i="21"/>
  <c r="V437" i="21" s="1"/>
  <c r="M437" i="21"/>
  <c r="U225" i="21"/>
  <c r="V225" i="21" s="1"/>
  <c r="M225" i="21"/>
  <c r="U226" i="21"/>
  <c r="V226" i="21" s="1"/>
  <c r="M226" i="21"/>
  <c r="U194" i="21"/>
  <c r="V194" i="21" s="1"/>
  <c r="M194" i="21"/>
  <c r="U193" i="21"/>
  <c r="V193" i="21" s="1"/>
  <c r="M193" i="21"/>
  <c r="U457" i="21"/>
  <c r="V457" i="21" s="1"/>
  <c r="M457" i="21"/>
  <c r="U122" i="21"/>
  <c r="V122" i="21" s="1"/>
  <c r="M122" i="21"/>
  <c r="U121" i="21"/>
  <c r="V121" i="21" s="1"/>
  <c r="M121" i="21"/>
  <c r="U436" i="21"/>
  <c r="V436" i="21" s="1"/>
  <c r="M436" i="21"/>
  <c r="U220" i="21"/>
  <c r="V220" i="21" s="1"/>
  <c r="M220" i="21"/>
  <c r="U357" i="21"/>
  <c r="V357" i="21" s="1"/>
  <c r="M357" i="21"/>
  <c r="U219" i="21"/>
  <c r="V219" i="21" s="1"/>
  <c r="M219" i="21"/>
  <c r="U222" i="21"/>
  <c r="V222" i="21" s="1"/>
  <c r="M222" i="21"/>
  <c r="U221" i="21"/>
  <c r="V221" i="21" s="1"/>
  <c r="M221" i="21"/>
  <c r="V470" i="21"/>
  <c r="U470" i="21"/>
  <c r="M470" i="21"/>
  <c r="U224" i="21"/>
  <c r="V224" i="21" s="1"/>
  <c r="M224" i="21"/>
  <c r="U223" i="21"/>
  <c r="V223" i="21" s="1"/>
  <c r="M223" i="21"/>
  <c r="U358" i="21"/>
  <c r="V358" i="21" s="1"/>
  <c r="M358" i="21"/>
  <c r="U218" i="21"/>
  <c r="V218" i="21" s="1"/>
  <c r="M218" i="21"/>
  <c r="U217" i="21"/>
  <c r="V217" i="21" s="1"/>
  <c r="M217" i="21"/>
  <c r="U469" i="21"/>
  <c r="V469" i="21" s="1"/>
  <c r="M469" i="21"/>
  <c r="U44" i="21"/>
  <c r="V44" i="21" s="1"/>
  <c r="M44" i="21"/>
  <c r="U43" i="21"/>
  <c r="V43" i="21" s="1"/>
  <c r="M43" i="21"/>
  <c r="U407" i="21"/>
  <c r="V407" i="21" s="1"/>
  <c r="M407" i="21"/>
  <c r="U155" i="21"/>
  <c r="V155" i="21" s="1"/>
  <c r="M155" i="21"/>
  <c r="U30" i="21"/>
  <c r="V30" i="21" s="1"/>
  <c r="M30" i="21"/>
  <c r="U29" i="21"/>
  <c r="V29" i="21" s="1"/>
  <c r="M29" i="21"/>
  <c r="U400" i="21"/>
  <c r="V400" i="21" s="1"/>
  <c r="M400" i="21"/>
  <c r="U28" i="21"/>
  <c r="V28" i="21" s="1"/>
  <c r="M28" i="21"/>
  <c r="U27" i="21"/>
  <c r="V27" i="21" s="1"/>
  <c r="M27" i="21"/>
  <c r="V399" i="21"/>
  <c r="U399" i="21"/>
  <c r="M399" i="21"/>
  <c r="U269" i="21"/>
  <c r="V269" i="21" s="1"/>
  <c r="M269" i="21"/>
  <c r="U271" i="21"/>
  <c r="V271" i="21" s="1"/>
  <c r="M271" i="21"/>
  <c r="U270" i="21"/>
  <c r="V270" i="21" s="1"/>
  <c r="M270" i="21"/>
  <c r="U484" i="21"/>
  <c r="V484" i="21" s="1"/>
  <c r="M484" i="21"/>
  <c r="U272" i="21"/>
  <c r="V272" i="21" s="1"/>
  <c r="M272" i="21"/>
  <c r="U268" i="21"/>
  <c r="V268" i="21" s="1"/>
  <c r="M268" i="21"/>
  <c r="U267" i="21"/>
  <c r="V267" i="21" s="1"/>
  <c r="M267" i="21"/>
  <c r="U483" i="21"/>
  <c r="V483" i="21" s="1"/>
  <c r="M483" i="21"/>
  <c r="U6" i="21"/>
  <c r="V6" i="21" s="1"/>
  <c r="M6" i="21"/>
  <c r="U5" i="21"/>
  <c r="V5" i="21" s="1"/>
  <c r="M5" i="21"/>
  <c r="U388" i="21"/>
  <c r="V388" i="21" s="1"/>
  <c r="M388" i="21"/>
  <c r="U4" i="21"/>
  <c r="V4" i="21" s="1"/>
  <c r="M4" i="21"/>
  <c r="U3" i="21"/>
  <c r="V3" i="21" s="1"/>
  <c r="M3" i="21"/>
  <c r="U387" i="21"/>
  <c r="V387" i="21" s="1"/>
  <c r="M387" i="21"/>
  <c r="U170" i="21"/>
  <c r="V170" i="21" s="1"/>
  <c r="O170" i="21"/>
  <c r="M170" i="21"/>
  <c r="U169" i="21"/>
  <c r="V169" i="21" s="1"/>
  <c r="O169" i="21"/>
  <c r="M169" i="21"/>
  <c r="U448" i="21"/>
  <c r="V448" i="21" s="1"/>
  <c r="O448" i="21"/>
  <c r="M448" i="21"/>
  <c r="U171" i="21"/>
  <c r="V171" i="21" s="1"/>
  <c r="O171" i="21"/>
  <c r="M171" i="21"/>
  <c r="U173" i="21"/>
  <c r="V173" i="21" s="1"/>
  <c r="O173" i="21"/>
  <c r="M173" i="21"/>
  <c r="U172" i="21"/>
  <c r="V172" i="21" s="1"/>
  <c r="O172" i="21"/>
  <c r="M172" i="21"/>
  <c r="U449" i="21"/>
  <c r="V449" i="21" s="1"/>
  <c r="O449" i="21"/>
  <c r="M449" i="21"/>
  <c r="U174" i="21"/>
  <c r="V174" i="21" s="1"/>
  <c r="O174" i="21"/>
  <c r="M174" i="21"/>
  <c r="U275" i="21"/>
  <c r="V275" i="21" s="1"/>
  <c r="M275" i="21"/>
  <c r="V277" i="21"/>
  <c r="U277" i="21"/>
  <c r="M277" i="21"/>
  <c r="U276" i="21"/>
  <c r="V276" i="21" s="1"/>
  <c r="M276" i="21"/>
  <c r="U486" i="21"/>
  <c r="V486" i="21" s="1"/>
  <c r="M486" i="21"/>
  <c r="U278" i="21"/>
  <c r="V278" i="21" s="1"/>
  <c r="M278" i="21"/>
  <c r="U274" i="21"/>
  <c r="V274" i="21" s="1"/>
  <c r="M274" i="21"/>
  <c r="U273" i="21"/>
  <c r="V273" i="21" s="1"/>
  <c r="M273" i="21"/>
  <c r="U485" i="21"/>
  <c r="V485" i="21" s="1"/>
  <c r="M485" i="21"/>
  <c r="U178" i="21"/>
  <c r="V178" i="21" s="1"/>
  <c r="O178" i="21"/>
  <c r="M178" i="21"/>
  <c r="U177" i="21"/>
  <c r="V177" i="21" s="1"/>
  <c r="O177" i="21"/>
  <c r="M177" i="21"/>
  <c r="U451" i="21"/>
  <c r="V451" i="21" s="1"/>
  <c r="O451" i="21"/>
  <c r="M451" i="21"/>
  <c r="U281" i="21"/>
  <c r="V281" i="21" s="1"/>
  <c r="M281" i="21"/>
  <c r="V283" i="21"/>
  <c r="U283" i="21"/>
  <c r="M283" i="21"/>
  <c r="U282" i="21"/>
  <c r="V282" i="21" s="1"/>
  <c r="M282" i="21"/>
  <c r="U488" i="21"/>
  <c r="V488" i="21" s="1"/>
  <c r="M488" i="21"/>
  <c r="U284" i="21"/>
  <c r="V284" i="21" s="1"/>
  <c r="M284" i="21"/>
  <c r="U280" i="21"/>
  <c r="V280" i="21" s="1"/>
  <c r="M280" i="21"/>
  <c r="U279" i="21"/>
  <c r="V279" i="21" s="1"/>
  <c r="M279" i="21"/>
  <c r="U487" i="21"/>
  <c r="V487" i="21" s="1"/>
  <c r="M487" i="21"/>
  <c r="U176" i="21"/>
  <c r="V176" i="21" s="1"/>
  <c r="O176" i="21"/>
  <c r="M176" i="21"/>
  <c r="U175" i="21"/>
  <c r="V175" i="21" s="1"/>
  <c r="O175" i="21"/>
  <c r="M175" i="21"/>
  <c r="U450" i="21"/>
  <c r="V450" i="21" s="1"/>
  <c r="O450" i="21"/>
  <c r="M450" i="21"/>
  <c r="U509" i="2"/>
  <c r="V509" i="2" s="1"/>
  <c r="U508" i="2"/>
  <c r="V508" i="2" s="1"/>
  <c r="U507" i="2"/>
  <c r="V507" i="2" s="1"/>
  <c r="U506" i="2"/>
  <c r="V506" i="2" s="1"/>
  <c r="D23" i="8"/>
  <c r="H51" i="12" l="1"/>
  <c r="I51" i="12" s="1"/>
  <c r="I50" i="12"/>
  <c r="E36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U373" i="19"/>
  <c r="V373" i="19" s="1"/>
  <c r="U204" i="19"/>
  <c r="V204" i="19" s="1"/>
  <c r="M204" i="19"/>
  <c r="U203" i="19"/>
  <c r="V203" i="19" s="1"/>
  <c r="M203" i="19"/>
  <c r="U452" i="19"/>
  <c r="V452" i="19" s="1"/>
  <c r="M452" i="19"/>
  <c r="U206" i="19"/>
  <c r="V206" i="19" s="1"/>
  <c r="M206" i="19"/>
  <c r="U205" i="19"/>
  <c r="V205" i="19" s="1"/>
  <c r="M205" i="19"/>
  <c r="U453" i="19"/>
  <c r="V453" i="19" s="1"/>
  <c r="M453" i="19"/>
  <c r="U110" i="19"/>
  <c r="V110" i="19" s="1"/>
  <c r="M110" i="19"/>
  <c r="U109" i="19"/>
  <c r="V109" i="19" s="1"/>
  <c r="M109" i="19"/>
  <c r="U420" i="19"/>
  <c r="V420" i="19" s="1"/>
  <c r="M420" i="19"/>
  <c r="U116" i="19"/>
  <c r="V116" i="19" s="1"/>
  <c r="M116" i="19"/>
  <c r="U115" i="19"/>
  <c r="V115" i="19" s="1"/>
  <c r="M115" i="19"/>
  <c r="U423" i="19"/>
  <c r="V423" i="19" s="1"/>
  <c r="M423" i="19"/>
  <c r="U114" i="19"/>
  <c r="V114" i="19" s="1"/>
  <c r="M114" i="19"/>
  <c r="U113" i="19"/>
  <c r="V113" i="19" s="1"/>
  <c r="M113" i="19"/>
  <c r="U422" i="19"/>
  <c r="V422" i="19" s="1"/>
  <c r="M422" i="19"/>
  <c r="U333" i="19"/>
  <c r="V333" i="19" s="1"/>
  <c r="M333" i="19"/>
  <c r="U336" i="19"/>
  <c r="V336" i="19" s="1"/>
  <c r="M336" i="19"/>
  <c r="U335" i="19"/>
  <c r="V335" i="19" s="1"/>
  <c r="M335" i="19"/>
  <c r="U334" i="19"/>
  <c r="V334" i="19" s="1"/>
  <c r="M334" i="19"/>
  <c r="U493" i="19"/>
  <c r="V493" i="19" s="1"/>
  <c r="M493" i="19"/>
  <c r="U332" i="19"/>
  <c r="V332" i="19" s="1"/>
  <c r="M332" i="19"/>
  <c r="U331" i="19"/>
  <c r="V331" i="19" s="1"/>
  <c r="M331" i="19"/>
  <c r="U492" i="19"/>
  <c r="V492" i="19" s="1"/>
  <c r="M492" i="19"/>
  <c r="U112" i="19"/>
  <c r="V112" i="19" s="1"/>
  <c r="M112" i="19"/>
  <c r="U111" i="19"/>
  <c r="V111" i="19" s="1"/>
  <c r="M111" i="19"/>
  <c r="U421" i="19"/>
  <c r="V421" i="19" s="1"/>
  <c r="M421" i="19"/>
  <c r="U22" i="19"/>
  <c r="V22" i="19" s="1"/>
  <c r="M22" i="19"/>
  <c r="U21" i="19"/>
  <c r="V21" i="19" s="1"/>
  <c r="M21" i="19"/>
  <c r="V386" i="19"/>
  <c r="U386" i="19"/>
  <c r="M386" i="19"/>
  <c r="U293" i="19"/>
  <c r="V293" i="19" s="1"/>
  <c r="M293" i="19"/>
  <c r="U296" i="19"/>
  <c r="V296" i="19" s="1"/>
  <c r="M296" i="19"/>
  <c r="U295" i="19"/>
  <c r="V295" i="19" s="1"/>
  <c r="M295" i="19"/>
  <c r="V294" i="19"/>
  <c r="U294" i="19"/>
  <c r="M294" i="19"/>
  <c r="U481" i="19"/>
  <c r="V481" i="19" s="1"/>
  <c r="M481" i="19"/>
  <c r="U292" i="19"/>
  <c r="V292" i="19" s="1"/>
  <c r="M292" i="19"/>
  <c r="U291" i="19"/>
  <c r="V291" i="19" s="1"/>
  <c r="M291" i="19"/>
  <c r="U480" i="19"/>
  <c r="V480" i="19" s="1"/>
  <c r="M480" i="19"/>
  <c r="U10" i="19"/>
  <c r="V10" i="19" s="1"/>
  <c r="M10" i="19"/>
  <c r="U9" i="19"/>
  <c r="V9" i="19" s="1"/>
  <c r="M9" i="19"/>
  <c r="U380" i="19"/>
  <c r="V380" i="19" s="1"/>
  <c r="M380" i="19"/>
  <c r="U229" i="19"/>
  <c r="V229" i="19" s="1"/>
  <c r="M229" i="19"/>
  <c r="U231" i="19"/>
  <c r="V231" i="19" s="1"/>
  <c r="M231" i="19"/>
  <c r="U230" i="19"/>
  <c r="V230" i="19" s="1"/>
  <c r="M230" i="19"/>
  <c r="U461" i="19"/>
  <c r="V461" i="19" s="1"/>
  <c r="M461" i="19"/>
  <c r="U232" i="19"/>
  <c r="V232" i="19" s="1"/>
  <c r="M232" i="19"/>
  <c r="U120" i="19"/>
  <c r="V120" i="19" s="1"/>
  <c r="M120" i="19"/>
  <c r="U119" i="19"/>
  <c r="V119" i="19" s="1"/>
  <c r="M119" i="19"/>
  <c r="U425" i="19"/>
  <c r="V425" i="19" s="1"/>
  <c r="M425" i="19"/>
  <c r="U118" i="19"/>
  <c r="V118" i="19" s="1"/>
  <c r="M118" i="19"/>
  <c r="U117" i="19"/>
  <c r="V117" i="19" s="1"/>
  <c r="M117" i="19"/>
  <c r="U424" i="19"/>
  <c r="V424" i="19" s="1"/>
  <c r="M424" i="19"/>
  <c r="U228" i="19"/>
  <c r="V228" i="19" s="1"/>
  <c r="M228" i="19"/>
  <c r="U227" i="19"/>
  <c r="V227" i="19" s="1"/>
  <c r="M227" i="19"/>
  <c r="U460" i="19"/>
  <c r="V460" i="19" s="1"/>
  <c r="M460" i="19"/>
  <c r="U372" i="19"/>
  <c r="V372" i="19" s="1"/>
  <c r="M372" i="19"/>
  <c r="U371" i="19"/>
  <c r="V371" i="19" s="1"/>
  <c r="M371" i="19"/>
  <c r="U505" i="19"/>
  <c r="V505" i="19" s="1"/>
  <c r="M505" i="19"/>
  <c r="U368" i="19"/>
  <c r="V368" i="19" s="1"/>
  <c r="M368" i="19"/>
  <c r="U367" i="19"/>
  <c r="V367" i="19" s="1"/>
  <c r="M367" i="19"/>
  <c r="U503" i="19"/>
  <c r="V503" i="19" s="1"/>
  <c r="M503" i="19"/>
  <c r="U370" i="19"/>
  <c r="V370" i="19" s="1"/>
  <c r="M370" i="19"/>
  <c r="U369" i="19"/>
  <c r="V369" i="19" s="1"/>
  <c r="M369" i="19"/>
  <c r="U504" i="19"/>
  <c r="V504" i="19" s="1"/>
  <c r="M504" i="19"/>
  <c r="U366" i="19"/>
  <c r="V366" i="19" s="1"/>
  <c r="M366" i="19"/>
  <c r="U365" i="19"/>
  <c r="V365" i="19" s="1"/>
  <c r="M365" i="19"/>
  <c r="U502" i="19"/>
  <c r="V502" i="19" s="1"/>
  <c r="M502" i="19"/>
  <c r="U253" i="19"/>
  <c r="V253" i="19" s="1"/>
  <c r="M253" i="19"/>
  <c r="U254" i="19"/>
  <c r="V254" i="19" s="1"/>
  <c r="M254" i="19"/>
  <c r="U147" i="19"/>
  <c r="V147" i="19" s="1"/>
  <c r="M147" i="19"/>
  <c r="U146" i="19"/>
  <c r="V146" i="19" s="1"/>
  <c r="M146" i="19"/>
  <c r="U435" i="19"/>
  <c r="V435" i="19" s="1"/>
  <c r="M435" i="19"/>
  <c r="U148" i="19"/>
  <c r="V148" i="19" s="1"/>
  <c r="M148" i="19"/>
  <c r="U144" i="19"/>
  <c r="V144" i="19" s="1"/>
  <c r="M144" i="19"/>
  <c r="U143" i="19"/>
  <c r="V143" i="19" s="1"/>
  <c r="M143" i="19"/>
  <c r="U434" i="19"/>
  <c r="V434" i="19" s="1"/>
  <c r="M434" i="19"/>
  <c r="U145" i="19"/>
  <c r="V145" i="19" s="1"/>
  <c r="M145" i="19"/>
  <c r="V92" i="19"/>
  <c r="U92" i="19"/>
  <c r="M92" i="19"/>
  <c r="U91" i="19"/>
  <c r="V91" i="19" s="1"/>
  <c r="M91" i="19"/>
  <c r="U414" i="19"/>
  <c r="V414" i="19" s="1"/>
  <c r="M414" i="19"/>
  <c r="U166" i="19"/>
  <c r="V166" i="19" s="1"/>
  <c r="M166" i="19"/>
  <c r="U93" i="19"/>
  <c r="V93" i="19" s="1"/>
  <c r="M93" i="19"/>
  <c r="U94" i="19"/>
  <c r="V94" i="19" s="1"/>
  <c r="M94" i="19"/>
  <c r="U96" i="19"/>
  <c r="V96" i="19" s="1"/>
  <c r="M96" i="19"/>
  <c r="U95" i="19"/>
  <c r="V95" i="19" s="1"/>
  <c r="M95" i="19"/>
  <c r="U415" i="19"/>
  <c r="V415" i="19" s="1"/>
  <c r="M415" i="19"/>
  <c r="U249" i="19"/>
  <c r="V249" i="19" s="1"/>
  <c r="M249" i="19"/>
  <c r="U250" i="19"/>
  <c r="V250" i="19" s="1"/>
  <c r="M250" i="19"/>
  <c r="U252" i="19"/>
  <c r="V252" i="19" s="1"/>
  <c r="M252" i="19"/>
  <c r="U251" i="19"/>
  <c r="V251" i="19" s="1"/>
  <c r="M251" i="19"/>
  <c r="U467" i="19"/>
  <c r="V467" i="19" s="1"/>
  <c r="M467" i="19"/>
  <c r="U248" i="19"/>
  <c r="V248" i="19" s="1"/>
  <c r="M248" i="19"/>
  <c r="U247" i="19"/>
  <c r="V247" i="19" s="1"/>
  <c r="M247" i="19"/>
  <c r="V466" i="19"/>
  <c r="U466" i="19"/>
  <c r="M466" i="19"/>
  <c r="U86" i="19"/>
  <c r="V86" i="19" s="1"/>
  <c r="M86" i="19"/>
  <c r="U85" i="19"/>
  <c r="V85" i="19" s="1"/>
  <c r="M85" i="19"/>
  <c r="U412" i="19"/>
  <c r="V412" i="19" s="1"/>
  <c r="M412" i="19"/>
  <c r="U165" i="19"/>
  <c r="V165" i="19" s="1"/>
  <c r="M165" i="19"/>
  <c r="U88" i="19"/>
  <c r="V88" i="19" s="1"/>
  <c r="M88" i="19"/>
  <c r="U87" i="19"/>
  <c r="V87" i="19" s="1"/>
  <c r="M87" i="19"/>
  <c r="U259" i="19"/>
  <c r="V259" i="19" s="1"/>
  <c r="M259" i="19"/>
  <c r="U258" i="19"/>
  <c r="V258" i="19" s="1"/>
  <c r="M258" i="19"/>
  <c r="U469" i="19"/>
  <c r="V469" i="19" s="1"/>
  <c r="M469" i="19"/>
  <c r="V257" i="19"/>
  <c r="M257" i="19"/>
  <c r="V260" i="19"/>
  <c r="M260" i="19"/>
  <c r="V256" i="19"/>
  <c r="M256" i="19"/>
  <c r="V255" i="19"/>
  <c r="M255" i="19"/>
  <c r="V468" i="19"/>
  <c r="M468" i="19"/>
  <c r="V90" i="19"/>
  <c r="M90" i="19"/>
  <c r="V89" i="19"/>
  <c r="M89" i="19"/>
  <c r="V413" i="19"/>
  <c r="M413" i="19"/>
  <c r="U141" i="19"/>
  <c r="V141" i="19" s="1"/>
  <c r="M141" i="19"/>
  <c r="U140" i="19"/>
  <c r="V140" i="19" s="1"/>
  <c r="M140" i="19"/>
  <c r="U433" i="19"/>
  <c r="V433" i="19" s="1"/>
  <c r="M433" i="19"/>
  <c r="U142" i="19"/>
  <c r="V142" i="19" s="1"/>
  <c r="M142" i="19"/>
  <c r="U138" i="19"/>
  <c r="V138" i="19" s="1"/>
  <c r="M138" i="19"/>
  <c r="U137" i="19"/>
  <c r="V137" i="19" s="1"/>
  <c r="M137" i="19"/>
  <c r="U432" i="19"/>
  <c r="V432" i="19" s="1"/>
  <c r="M432" i="19"/>
  <c r="U139" i="19"/>
  <c r="V139" i="19" s="1"/>
  <c r="M139" i="19"/>
  <c r="U80" i="19"/>
  <c r="V80" i="19" s="1"/>
  <c r="M80" i="19"/>
  <c r="U79" i="19"/>
  <c r="V79" i="19" s="1"/>
  <c r="M79" i="19"/>
  <c r="U410" i="19"/>
  <c r="V410" i="19" s="1"/>
  <c r="M410" i="19"/>
  <c r="U164" i="19"/>
  <c r="V164" i="19" s="1"/>
  <c r="M164" i="19"/>
  <c r="U82" i="19"/>
  <c r="V82" i="19" s="1"/>
  <c r="M82" i="19"/>
  <c r="U81" i="19"/>
  <c r="V81" i="19" s="1"/>
  <c r="M81" i="19"/>
  <c r="V84" i="19"/>
  <c r="M84" i="19"/>
  <c r="V83" i="19"/>
  <c r="M83" i="19"/>
  <c r="V411" i="19"/>
  <c r="M411" i="19"/>
  <c r="U299" i="19"/>
  <c r="V299" i="19" s="1"/>
  <c r="M299" i="19"/>
  <c r="U300" i="19"/>
  <c r="V300" i="19" s="1"/>
  <c r="M300" i="19"/>
  <c r="V303" i="19"/>
  <c r="U303" i="19"/>
  <c r="M303" i="19"/>
  <c r="U304" i="19"/>
  <c r="V304" i="19" s="1"/>
  <c r="M304" i="19"/>
  <c r="U302" i="19"/>
  <c r="V302" i="19" s="1"/>
  <c r="M302" i="19"/>
  <c r="U301" i="19"/>
  <c r="V301" i="19" s="1"/>
  <c r="M301" i="19"/>
  <c r="U483" i="19"/>
  <c r="V483" i="19" s="1"/>
  <c r="M483" i="19"/>
  <c r="U298" i="19"/>
  <c r="V298" i="19" s="1"/>
  <c r="M298" i="19"/>
  <c r="U297" i="19"/>
  <c r="V297" i="19" s="1"/>
  <c r="M297" i="19"/>
  <c r="U482" i="19"/>
  <c r="V482" i="19" s="1"/>
  <c r="M482" i="19"/>
  <c r="U74" i="19"/>
  <c r="V74" i="19" s="1"/>
  <c r="M74" i="19"/>
  <c r="U73" i="19"/>
  <c r="V73" i="19" s="1"/>
  <c r="M73" i="19"/>
  <c r="U408" i="19"/>
  <c r="V408" i="19" s="1"/>
  <c r="M408" i="19"/>
  <c r="U163" i="19"/>
  <c r="V163" i="19" s="1"/>
  <c r="M163" i="19"/>
  <c r="U76" i="19"/>
  <c r="V76" i="19" s="1"/>
  <c r="M76" i="19"/>
  <c r="U75" i="19"/>
  <c r="V75" i="19" s="1"/>
  <c r="M75" i="19"/>
  <c r="V307" i="19"/>
  <c r="M307" i="19"/>
  <c r="V310" i="19"/>
  <c r="M310" i="19"/>
  <c r="V309" i="19"/>
  <c r="M309" i="19"/>
  <c r="V308" i="19"/>
  <c r="M308" i="19"/>
  <c r="V485" i="19"/>
  <c r="M485" i="19"/>
  <c r="V306" i="19"/>
  <c r="M306" i="19"/>
  <c r="V305" i="19"/>
  <c r="M305" i="19"/>
  <c r="V484" i="19"/>
  <c r="M484" i="19"/>
  <c r="V78" i="19"/>
  <c r="M78" i="19"/>
  <c r="V77" i="19"/>
  <c r="M77" i="19"/>
  <c r="V409" i="19"/>
  <c r="M409" i="19"/>
  <c r="U135" i="19"/>
  <c r="V135" i="19" s="1"/>
  <c r="M135" i="19"/>
  <c r="U134" i="19"/>
  <c r="V134" i="19" s="1"/>
  <c r="M134" i="19"/>
  <c r="U431" i="19"/>
  <c r="V431" i="19" s="1"/>
  <c r="M431" i="19"/>
  <c r="U136" i="19"/>
  <c r="V136" i="19" s="1"/>
  <c r="M136" i="19"/>
  <c r="U132" i="19"/>
  <c r="V132" i="19" s="1"/>
  <c r="M132" i="19"/>
  <c r="U131" i="19"/>
  <c r="V131" i="19" s="1"/>
  <c r="M131" i="19"/>
  <c r="U430" i="19"/>
  <c r="V430" i="19" s="1"/>
  <c r="M430" i="19"/>
  <c r="U133" i="19"/>
  <c r="V133" i="19" s="1"/>
  <c r="M133" i="19"/>
  <c r="V68" i="19"/>
  <c r="U68" i="19"/>
  <c r="M68" i="19"/>
  <c r="U67" i="19"/>
  <c r="V67" i="19" s="1"/>
  <c r="M67" i="19"/>
  <c r="U406" i="19"/>
  <c r="V406" i="19" s="1"/>
  <c r="M406" i="19"/>
  <c r="U162" i="19"/>
  <c r="V162" i="19" s="1"/>
  <c r="M162" i="19"/>
  <c r="U70" i="19"/>
  <c r="V70" i="19" s="1"/>
  <c r="M70" i="19"/>
  <c r="U69" i="19"/>
  <c r="V69" i="19" s="1"/>
  <c r="M69" i="19"/>
  <c r="V72" i="19"/>
  <c r="M72" i="19"/>
  <c r="V71" i="19"/>
  <c r="M71" i="19"/>
  <c r="V407" i="19"/>
  <c r="M407" i="19"/>
  <c r="U235" i="19"/>
  <c r="V235" i="19" s="1"/>
  <c r="M235" i="19"/>
  <c r="U236" i="19"/>
  <c r="V236" i="19" s="1"/>
  <c r="M236" i="19"/>
  <c r="U238" i="19"/>
  <c r="V238" i="19" s="1"/>
  <c r="M238" i="19"/>
  <c r="U237" i="19"/>
  <c r="V237" i="19" s="1"/>
  <c r="M237" i="19"/>
  <c r="U463" i="19"/>
  <c r="V463" i="19" s="1"/>
  <c r="M463" i="19"/>
  <c r="U239" i="19"/>
  <c r="V239" i="19" s="1"/>
  <c r="M239" i="19"/>
  <c r="U240" i="19"/>
  <c r="V240" i="19" s="1"/>
  <c r="M240" i="19"/>
  <c r="U234" i="19"/>
  <c r="V234" i="19" s="1"/>
  <c r="M234" i="19"/>
  <c r="U233" i="19"/>
  <c r="V233" i="19" s="1"/>
  <c r="M233" i="19"/>
  <c r="U462" i="19"/>
  <c r="V462" i="19" s="1"/>
  <c r="M462" i="19"/>
  <c r="U62" i="19"/>
  <c r="V62" i="19" s="1"/>
  <c r="M62" i="19"/>
  <c r="U61" i="19"/>
  <c r="V61" i="19" s="1"/>
  <c r="M61" i="19"/>
  <c r="U404" i="19"/>
  <c r="V404" i="19" s="1"/>
  <c r="M404" i="19"/>
  <c r="U161" i="19"/>
  <c r="V161" i="19" s="1"/>
  <c r="M161" i="19"/>
  <c r="U63" i="19"/>
  <c r="V63" i="19" s="1"/>
  <c r="M63" i="19"/>
  <c r="U64" i="19"/>
  <c r="V64" i="19" s="1"/>
  <c r="M64" i="19"/>
  <c r="V243" i="19"/>
  <c r="M243" i="19"/>
  <c r="U245" i="19"/>
  <c r="V245" i="19" s="1"/>
  <c r="M245" i="19"/>
  <c r="U244" i="19"/>
  <c r="V244" i="19" s="1"/>
  <c r="M244" i="19"/>
  <c r="U465" i="19"/>
  <c r="V465" i="19" s="1"/>
  <c r="M465" i="19"/>
  <c r="U246" i="19"/>
  <c r="V246" i="19" s="1"/>
  <c r="M246" i="19"/>
  <c r="V242" i="19"/>
  <c r="M242" i="19"/>
  <c r="V241" i="19"/>
  <c r="M241" i="19"/>
  <c r="V464" i="19"/>
  <c r="M464" i="19"/>
  <c r="V66" i="19"/>
  <c r="M66" i="19"/>
  <c r="V65" i="19"/>
  <c r="M65" i="19"/>
  <c r="V405" i="19"/>
  <c r="M405" i="19"/>
  <c r="U129" i="19"/>
  <c r="V129" i="19" s="1"/>
  <c r="M129" i="19"/>
  <c r="U128" i="19"/>
  <c r="V128" i="19" s="1"/>
  <c r="M128" i="19"/>
  <c r="U429" i="19"/>
  <c r="V429" i="19" s="1"/>
  <c r="M429" i="19"/>
  <c r="U130" i="19"/>
  <c r="V130" i="19" s="1"/>
  <c r="M130" i="19"/>
  <c r="U126" i="19"/>
  <c r="V126" i="19" s="1"/>
  <c r="M126" i="19"/>
  <c r="U125" i="19"/>
  <c r="V125" i="19" s="1"/>
  <c r="M125" i="19"/>
  <c r="U428" i="19"/>
  <c r="V428" i="19" s="1"/>
  <c r="M428" i="19"/>
  <c r="U127" i="19"/>
  <c r="V127" i="19" s="1"/>
  <c r="M127" i="19"/>
  <c r="U56" i="19"/>
  <c r="V56" i="19" s="1"/>
  <c r="M56" i="19"/>
  <c r="U55" i="19"/>
  <c r="V55" i="19" s="1"/>
  <c r="M55" i="19"/>
  <c r="U402" i="19"/>
  <c r="V402" i="19" s="1"/>
  <c r="M402" i="19"/>
  <c r="U160" i="19"/>
  <c r="V160" i="19" s="1"/>
  <c r="M160" i="19"/>
  <c r="U57" i="19"/>
  <c r="V57" i="19" s="1"/>
  <c r="M57" i="19"/>
  <c r="U58" i="19"/>
  <c r="V58" i="19" s="1"/>
  <c r="M58" i="19"/>
  <c r="V60" i="19"/>
  <c r="M60" i="19"/>
  <c r="V59" i="19"/>
  <c r="M59" i="19"/>
  <c r="V403" i="19"/>
  <c r="M403" i="19"/>
  <c r="U338" i="19"/>
  <c r="V338" i="19" s="1"/>
  <c r="M338" i="19"/>
  <c r="U337" i="19"/>
  <c r="V337" i="19" s="1"/>
  <c r="M337" i="19"/>
  <c r="V494" i="19"/>
  <c r="U494" i="19"/>
  <c r="M494" i="19"/>
  <c r="U343" i="19"/>
  <c r="V343" i="19" s="1"/>
  <c r="M343" i="19"/>
  <c r="U344" i="19"/>
  <c r="V344" i="19" s="1"/>
  <c r="M344" i="19"/>
  <c r="U339" i="19"/>
  <c r="V339" i="19" s="1"/>
  <c r="M339" i="19"/>
  <c r="U340" i="19"/>
  <c r="V340" i="19" s="1"/>
  <c r="M340" i="19"/>
  <c r="U342" i="19"/>
  <c r="V342" i="19" s="1"/>
  <c r="M342" i="19"/>
  <c r="U341" i="19"/>
  <c r="V341" i="19" s="1"/>
  <c r="M341" i="19"/>
  <c r="U495" i="19"/>
  <c r="V495" i="19" s="1"/>
  <c r="M495" i="19"/>
  <c r="U50" i="19"/>
  <c r="V50" i="19" s="1"/>
  <c r="M50" i="19"/>
  <c r="U49" i="19"/>
  <c r="V49" i="19" s="1"/>
  <c r="M49" i="19"/>
  <c r="U400" i="19"/>
  <c r="V400" i="19" s="1"/>
  <c r="M400" i="19"/>
  <c r="U159" i="19"/>
  <c r="V159" i="19" s="1"/>
  <c r="M159" i="19"/>
  <c r="U52" i="19"/>
  <c r="V52" i="19" s="1"/>
  <c r="M52" i="19"/>
  <c r="U51" i="19"/>
  <c r="V51" i="19" s="1"/>
  <c r="M51" i="19"/>
  <c r="V346" i="19"/>
  <c r="M346" i="19"/>
  <c r="V345" i="19"/>
  <c r="M345" i="19"/>
  <c r="V496" i="19"/>
  <c r="M496" i="19"/>
  <c r="V350" i="19"/>
  <c r="M350" i="19"/>
  <c r="V347" i="19"/>
  <c r="M347" i="19"/>
  <c r="V349" i="19"/>
  <c r="M349" i="19"/>
  <c r="V348" i="19"/>
  <c r="M348" i="19"/>
  <c r="V497" i="19"/>
  <c r="M497" i="19"/>
  <c r="V54" i="19"/>
  <c r="M54" i="19"/>
  <c r="V53" i="19"/>
  <c r="M53" i="19"/>
  <c r="V401" i="19"/>
  <c r="M401" i="19"/>
  <c r="U153" i="19"/>
  <c r="V153" i="19" s="1"/>
  <c r="M153" i="19"/>
  <c r="U152" i="19"/>
  <c r="V152" i="19" s="1"/>
  <c r="M152" i="19"/>
  <c r="U437" i="19"/>
  <c r="V437" i="19" s="1"/>
  <c r="M437" i="19"/>
  <c r="U154" i="19"/>
  <c r="V154" i="19" s="1"/>
  <c r="M154" i="19"/>
  <c r="U150" i="19"/>
  <c r="V150" i="19" s="1"/>
  <c r="M150" i="19"/>
  <c r="U149" i="19"/>
  <c r="V149" i="19" s="1"/>
  <c r="M149" i="19"/>
  <c r="U436" i="19"/>
  <c r="V436" i="19" s="1"/>
  <c r="M436" i="19"/>
  <c r="U151" i="19"/>
  <c r="V151" i="19" s="1"/>
  <c r="M151" i="19"/>
  <c r="U104" i="19"/>
  <c r="V104" i="19" s="1"/>
  <c r="M104" i="19"/>
  <c r="U103" i="19"/>
  <c r="V103" i="19" s="1"/>
  <c r="M103" i="19"/>
  <c r="U418" i="19"/>
  <c r="V418" i="19" s="1"/>
  <c r="M418" i="19"/>
  <c r="U168" i="19"/>
  <c r="V168" i="19" s="1"/>
  <c r="M168" i="19"/>
  <c r="U106" i="19"/>
  <c r="V106" i="19" s="1"/>
  <c r="M106" i="19"/>
  <c r="U105" i="19"/>
  <c r="V105" i="19" s="1"/>
  <c r="M105" i="19"/>
  <c r="V108" i="19"/>
  <c r="M108" i="19"/>
  <c r="V107" i="19"/>
  <c r="M107" i="19"/>
  <c r="V419" i="19"/>
  <c r="M419" i="19"/>
  <c r="U313" i="19"/>
  <c r="V313" i="19" s="1"/>
  <c r="M313" i="19"/>
  <c r="U314" i="19"/>
  <c r="V314" i="19" s="1"/>
  <c r="M314" i="19"/>
  <c r="U317" i="19"/>
  <c r="V317" i="19" s="1"/>
  <c r="M317" i="19"/>
  <c r="U318" i="19"/>
  <c r="V318" i="19" s="1"/>
  <c r="M318" i="19"/>
  <c r="U316" i="19"/>
  <c r="V316" i="19" s="1"/>
  <c r="M316" i="19"/>
  <c r="U315" i="19"/>
  <c r="V315" i="19" s="1"/>
  <c r="M315" i="19"/>
  <c r="U487" i="19"/>
  <c r="V487" i="19" s="1"/>
  <c r="M487" i="19"/>
  <c r="U312" i="19"/>
  <c r="V312" i="19" s="1"/>
  <c r="M312" i="19"/>
  <c r="U311" i="19"/>
  <c r="V311" i="19" s="1"/>
  <c r="M311" i="19"/>
  <c r="U486" i="19"/>
  <c r="V486" i="19" s="1"/>
  <c r="M486" i="19"/>
  <c r="U98" i="19"/>
  <c r="V98" i="19" s="1"/>
  <c r="M98" i="19"/>
  <c r="U97" i="19"/>
  <c r="V97" i="19" s="1"/>
  <c r="M97" i="19"/>
  <c r="U416" i="19"/>
  <c r="V416" i="19" s="1"/>
  <c r="M416" i="19"/>
  <c r="U167" i="19"/>
  <c r="V167" i="19" s="1"/>
  <c r="M167" i="19"/>
  <c r="U99" i="19"/>
  <c r="V99" i="19" s="1"/>
  <c r="M99" i="19"/>
  <c r="U100" i="19"/>
  <c r="V100" i="19" s="1"/>
  <c r="M100" i="19"/>
  <c r="V321" i="19"/>
  <c r="M321" i="19"/>
  <c r="V324" i="19"/>
  <c r="M324" i="19"/>
  <c r="V323" i="19"/>
  <c r="M323" i="19"/>
  <c r="V322" i="19"/>
  <c r="M322" i="19"/>
  <c r="V489" i="19"/>
  <c r="M489" i="19"/>
  <c r="V320" i="19"/>
  <c r="M320" i="19"/>
  <c r="V319" i="19"/>
  <c r="M319" i="19"/>
  <c r="V488" i="19"/>
  <c r="M488" i="19"/>
  <c r="V102" i="19"/>
  <c r="M102" i="19"/>
  <c r="V101" i="19"/>
  <c r="M101" i="19"/>
  <c r="V417" i="19"/>
  <c r="M417" i="19"/>
  <c r="U198" i="19"/>
  <c r="V198" i="19" s="1"/>
  <c r="M198" i="19"/>
  <c r="U197" i="19"/>
  <c r="V197" i="19" s="1"/>
  <c r="M197" i="19"/>
  <c r="U449" i="19"/>
  <c r="V449" i="19" s="1"/>
  <c r="M449" i="19"/>
  <c r="U202" i="19"/>
  <c r="V202" i="19" s="1"/>
  <c r="M202" i="19"/>
  <c r="U201" i="19"/>
  <c r="V201" i="19" s="1"/>
  <c r="M201" i="19"/>
  <c r="U451" i="19"/>
  <c r="V451" i="19" s="1"/>
  <c r="M451" i="19"/>
  <c r="U190" i="19"/>
  <c r="V190" i="19" s="1"/>
  <c r="M190" i="19"/>
  <c r="U189" i="19"/>
  <c r="V189" i="19" s="1"/>
  <c r="M189" i="19"/>
  <c r="U445" i="19"/>
  <c r="V445" i="19" s="1"/>
  <c r="M445" i="19"/>
  <c r="U188" i="19"/>
  <c r="V188" i="19" s="1"/>
  <c r="M188" i="19"/>
  <c r="U187" i="19"/>
  <c r="V187" i="19" s="1"/>
  <c r="M187" i="19"/>
  <c r="U444" i="19"/>
  <c r="V444" i="19" s="1"/>
  <c r="M444" i="19"/>
  <c r="U192" i="19"/>
  <c r="V192" i="19" s="1"/>
  <c r="M192" i="19"/>
  <c r="U191" i="19"/>
  <c r="V191" i="19" s="1"/>
  <c r="M191" i="19"/>
  <c r="U446" i="19"/>
  <c r="V446" i="19" s="1"/>
  <c r="M446" i="19"/>
  <c r="U196" i="19"/>
  <c r="V196" i="19" s="1"/>
  <c r="M196" i="19"/>
  <c r="U195" i="19"/>
  <c r="V195" i="19" s="1"/>
  <c r="M195" i="19"/>
  <c r="U448" i="19"/>
  <c r="V448" i="19" s="1"/>
  <c r="M448" i="19"/>
  <c r="U186" i="19"/>
  <c r="V186" i="19" s="1"/>
  <c r="M186" i="19"/>
  <c r="U185" i="19"/>
  <c r="V185" i="19" s="1"/>
  <c r="M185" i="19"/>
  <c r="U443" i="19"/>
  <c r="V443" i="19" s="1"/>
  <c r="M443" i="19"/>
  <c r="U184" i="19"/>
  <c r="V184" i="19" s="1"/>
  <c r="M184" i="19"/>
  <c r="U183" i="19"/>
  <c r="V183" i="19" s="1"/>
  <c r="M183" i="19"/>
  <c r="U442" i="19"/>
  <c r="V442" i="19" s="1"/>
  <c r="M442" i="19"/>
  <c r="U12" i="19"/>
  <c r="V12" i="19" s="1"/>
  <c r="M12" i="19"/>
  <c r="U11" i="19"/>
  <c r="V11" i="19" s="1"/>
  <c r="M11" i="19"/>
  <c r="U381" i="19"/>
  <c r="V381" i="19" s="1"/>
  <c r="M381" i="19"/>
  <c r="U34" i="19"/>
  <c r="V34" i="19" s="1"/>
  <c r="M34" i="19"/>
  <c r="U33" i="19"/>
  <c r="V33" i="19" s="1"/>
  <c r="M33" i="19"/>
  <c r="U392" i="19"/>
  <c r="V392" i="19" s="1"/>
  <c r="M392" i="19"/>
  <c r="U375" i="19"/>
  <c r="V375" i="19" s="1"/>
  <c r="M375" i="19"/>
  <c r="U374" i="19"/>
  <c r="V374" i="19" s="1"/>
  <c r="M374" i="19"/>
  <c r="U376" i="19"/>
  <c r="V376" i="19" s="1"/>
  <c r="M376" i="19"/>
  <c r="U32" i="19"/>
  <c r="V32" i="19" s="1"/>
  <c r="M32" i="19"/>
  <c r="U31" i="19"/>
  <c r="V31" i="19" s="1"/>
  <c r="M31" i="19"/>
  <c r="U391" i="19"/>
  <c r="V391" i="19" s="1"/>
  <c r="M391" i="19"/>
  <c r="U36" i="19"/>
  <c r="V36" i="19" s="1"/>
  <c r="M36" i="19"/>
  <c r="U35" i="19"/>
  <c r="V35" i="19" s="1"/>
  <c r="M35" i="19"/>
  <c r="U393" i="19"/>
  <c r="V393" i="19" s="1"/>
  <c r="M393" i="19"/>
  <c r="U327" i="19"/>
  <c r="V327" i="19" s="1"/>
  <c r="M327" i="19"/>
  <c r="U330" i="19"/>
  <c r="V330" i="19" s="1"/>
  <c r="M330" i="19"/>
  <c r="U329" i="19"/>
  <c r="V329" i="19" s="1"/>
  <c r="M329" i="19"/>
  <c r="U328" i="19"/>
  <c r="V328" i="19" s="1"/>
  <c r="M328" i="19"/>
  <c r="U491" i="19"/>
  <c r="V491" i="19" s="1"/>
  <c r="M491" i="19"/>
  <c r="U326" i="19"/>
  <c r="V326" i="19" s="1"/>
  <c r="M326" i="19"/>
  <c r="U325" i="19"/>
  <c r="V325" i="19" s="1"/>
  <c r="M325" i="19"/>
  <c r="U490" i="19"/>
  <c r="V490" i="19" s="1"/>
  <c r="M490" i="19"/>
  <c r="U8" i="19"/>
  <c r="V8" i="19" s="1"/>
  <c r="M8" i="19"/>
  <c r="U7" i="19"/>
  <c r="V7" i="19" s="1"/>
  <c r="M7" i="19"/>
  <c r="U379" i="19"/>
  <c r="V379" i="19" s="1"/>
  <c r="M379" i="19"/>
  <c r="U210" i="19"/>
  <c r="V210" i="19" s="1"/>
  <c r="M210" i="19"/>
  <c r="U209" i="19"/>
  <c r="V209" i="19" s="1"/>
  <c r="M209" i="19"/>
  <c r="U455" i="19"/>
  <c r="V455" i="19" s="1"/>
  <c r="M455" i="19"/>
  <c r="U208" i="19"/>
  <c r="V208" i="19" s="1"/>
  <c r="M208" i="19"/>
  <c r="U207" i="19"/>
  <c r="V207" i="19" s="1"/>
  <c r="M207" i="19"/>
  <c r="U454" i="19"/>
  <c r="V454" i="19" s="1"/>
  <c r="M454" i="19"/>
  <c r="U358" i="19"/>
  <c r="V358" i="19" s="1"/>
  <c r="M358" i="19"/>
  <c r="U364" i="19"/>
  <c r="V364" i="19" s="1"/>
  <c r="M364" i="19"/>
  <c r="U363" i="19"/>
  <c r="V363" i="19" s="1"/>
  <c r="M363" i="19"/>
  <c r="U362" i="19"/>
  <c r="V362" i="19" s="1"/>
  <c r="M362" i="19"/>
  <c r="U501" i="19"/>
  <c r="V501" i="19" s="1"/>
  <c r="M501" i="19"/>
  <c r="U357" i="19"/>
  <c r="V357" i="19" s="1"/>
  <c r="M357" i="19"/>
  <c r="U356" i="19"/>
  <c r="V356" i="19" s="1"/>
  <c r="M356" i="19"/>
  <c r="U499" i="19"/>
  <c r="V499" i="19" s="1"/>
  <c r="M499" i="19"/>
  <c r="U355" i="19"/>
  <c r="V355" i="19" s="1"/>
  <c r="M355" i="19"/>
  <c r="U361" i="19"/>
  <c r="V361" i="19" s="1"/>
  <c r="M361" i="19"/>
  <c r="U360" i="19"/>
  <c r="V360" i="19" s="1"/>
  <c r="M360" i="19"/>
  <c r="U359" i="19"/>
  <c r="V359" i="19" s="1"/>
  <c r="M359" i="19"/>
  <c r="U500" i="19"/>
  <c r="V500" i="19" s="1"/>
  <c r="M500" i="19"/>
  <c r="U354" i="19"/>
  <c r="V354" i="19" s="1"/>
  <c r="M354" i="19"/>
  <c r="U353" i="19"/>
  <c r="V353" i="19" s="1"/>
  <c r="M353" i="19"/>
  <c r="U498" i="19"/>
  <c r="V498" i="19" s="1"/>
  <c r="M498" i="19"/>
  <c r="U40" i="19"/>
  <c r="V40" i="19" s="1"/>
  <c r="M40" i="19"/>
  <c r="U39" i="19"/>
  <c r="V39" i="19" s="1"/>
  <c r="M39" i="19"/>
  <c r="U395" i="19"/>
  <c r="V395" i="19" s="1"/>
  <c r="M395" i="19"/>
  <c r="U181" i="19"/>
  <c r="V181" i="19" s="1"/>
  <c r="M181" i="19"/>
  <c r="U182" i="19"/>
  <c r="V182" i="19" s="1"/>
  <c r="M182" i="19"/>
  <c r="U223" i="19"/>
  <c r="V223" i="19" s="1"/>
  <c r="M223" i="19"/>
  <c r="U225" i="19"/>
  <c r="V225" i="19" s="1"/>
  <c r="M225" i="19"/>
  <c r="U224" i="19"/>
  <c r="V224" i="19" s="1"/>
  <c r="M224" i="19"/>
  <c r="U459" i="19"/>
  <c r="V459" i="19" s="1"/>
  <c r="M459" i="19"/>
  <c r="U226" i="19"/>
  <c r="V226" i="19" s="1"/>
  <c r="M226" i="19"/>
  <c r="U222" i="19"/>
  <c r="V222" i="19" s="1"/>
  <c r="M222" i="19"/>
  <c r="U221" i="19"/>
  <c r="V221" i="19" s="1"/>
  <c r="M221" i="19"/>
  <c r="U458" i="19"/>
  <c r="V458" i="19" s="1"/>
  <c r="M458" i="19"/>
  <c r="U38" i="19"/>
  <c r="V38" i="19" s="1"/>
  <c r="M38" i="19"/>
  <c r="U37" i="19"/>
  <c r="V37" i="19" s="1"/>
  <c r="M37" i="19"/>
  <c r="U394" i="19"/>
  <c r="V394" i="19" s="1"/>
  <c r="M394" i="19"/>
  <c r="U179" i="19"/>
  <c r="V179" i="19" s="1"/>
  <c r="M179" i="19"/>
  <c r="U180" i="19"/>
  <c r="V180" i="19" s="1"/>
  <c r="M180" i="19"/>
  <c r="U26" i="19"/>
  <c r="V26" i="19" s="1"/>
  <c r="M26" i="19"/>
  <c r="U25" i="19"/>
  <c r="V25" i="19" s="1"/>
  <c r="M25" i="19"/>
  <c r="U388" i="19"/>
  <c r="V388" i="19" s="1"/>
  <c r="M388" i="19"/>
  <c r="U14" i="19"/>
  <c r="V14" i="19" s="1"/>
  <c r="M14" i="19"/>
  <c r="U13" i="19"/>
  <c r="V13" i="19" s="1"/>
  <c r="M13" i="19"/>
  <c r="U382" i="19"/>
  <c r="V382" i="19" s="1"/>
  <c r="M382" i="19"/>
  <c r="U20" i="19"/>
  <c r="V20" i="19" s="1"/>
  <c r="M20" i="19"/>
  <c r="U19" i="19"/>
  <c r="V19" i="19" s="1"/>
  <c r="M19" i="19"/>
  <c r="U385" i="19"/>
  <c r="V385" i="19" s="1"/>
  <c r="M385" i="19"/>
  <c r="U16" i="19"/>
  <c r="V16" i="19" s="1"/>
  <c r="M16" i="19"/>
  <c r="U15" i="19"/>
  <c r="V15" i="19" s="1"/>
  <c r="M15" i="19"/>
  <c r="U383" i="19"/>
  <c r="V383" i="19" s="1"/>
  <c r="M383" i="19"/>
  <c r="U48" i="19"/>
  <c r="V48" i="19" s="1"/>
  <c r="M48" i="19"/>
  <c r="U47" i="19"/>
  <c r="V47" i="19" s="1"/>
  <c r="M47" i="19"/>
  <c r="U399" i="19"/>
  <c r="V399" i="19" s="1"/>
  <c r="M399" i="19"/>
  <c r="U158" i="19"/>
  <c r="V158" i="19" s="1"/>
  <c r="M158" i="19"/>
  <c r="U42" i="19"/>
  <c r="V42" i="19" s="1"/>
  <c r="M42" i="19"/>
  <c r="U41" i="19"/>
  <c r="V41" i="19" s="1"/>
  <c r="M41" i="19"/>
  <c r="U396" i="19"/>
  <c r="V396" i="19" s="1"/>
  <c r="M396" i="19"/>
  <c r="U157" i="19"/>
  <c r="V157" i="19" s="1"/>
  <c r="M157" i="19"/>
  <c r="U24" i="19"/>
  <c r="V24" i="19" s="1"/>
  <c r="M24" i="19"/>
  <c r="V23" i="19"/>
  <c r="U23" i="19"/>
  <c r="M23" i="19"/>
  <c r="U387" i="19"/>
  <c r="V387" i="19" s="1"/>
  <c r="M387" i="19"/>
  <c r="U18" i="19"/>
  <c r="V18" i="19" s="1"/>
  <c r="M18" i="19"/>
  <c r="U17" i="19"/>
  <c r="V17" i="19" s="1"/>
  <c r="M17" i="19"/>
  <c r="U384" i="19"/>
  <c r="V384" i="19" s="1"/>
  <c r="M384" i="19"/>
  <c r="U281" i="19"/>
  <c r="V281" i="19" s="1"/>
  <c r="M281" i="19"/>
  <c r="U284" i="19"/>
  <c r="V284" i="19" s="1"/>
  <c r="M284" i="19"/>
  <c r="U283" i="19"/>
  <c r="V283" i="19" s="1"/>
  <c r="M283" i="19"/>
  <c r="U282" i="19"/>
  <c r="V282" i="19" s="1"/>
  <c r="M282" i="19"/>
  <c r="U477" i="19"/>
  <c r="V477" i="19" s="1"/>
  <c r="M477" i="19"/>
  <c r="U280" i="19"/>
  <c r="V280" i="19" s="1"/>
  <c r="M280" i="19"/>
  <c r="U279" i="19"/>
  <c r="V279" i="19" s="1"/>
  <c r="M279" i="19"/>
  <c r="U476" i="19"/>
  <c r="V476" i="19" s="1"/>
  <c r="M476" i="19"/>
  <c r="U46" i="19"/>
  <c r="V46" i="19" s="1"/>
  <c r="M46" i="19"/>
  <c r="U45" i="19"/>
  <c r="V45" i="19" s="1"/>
  <c r="M45" i="19"/>
  <c r="U398" i="19"/>
  <c r="V398" i="19" s="1"/>
  <c r="M398" i="19"/>
  <c r="U156" i="19"/>
  <c r="V156" i="19" s="1"/>
  <c r="M156" i="19"/>
  <c r="U287" i="19"/>
  <c r="V287" i="19" s="1"/>
  <c r="M287" i="19"/>
  <c r="U290" i="19"/>
  <c r="V290" i="19" s="1"/>
  <c r="M290" i="19"/>
  <c r="U289" i="19"/>
  <c r="V289" i="19" s="1"/>
  <c r="M289" i="19"/>
  <c r="U288" i="19"/>
  <c r="V288" i="19" s="1"/>
  <c r="M288" i="19"/>
  <c r="U479" i="19"/>
  <c r="V479" i="19" s="1"/>
  <c r="M479" i="19"/>
  <c r="U286" i="19"/>
  <c r="V286" i="19" s="1"/>
  <c r="M286" i="19"/>
  <c r="U285" i="19"/>
  <c r="V285" i="19" s="1"/>
  <c r="M285" i="19"/>
  <c r="U478" i="19"/>
  <c r="V478" i="19" s="1"/>
  <c r="M478" i="19"/>
  <c r="U200" i="19"/>
  <c r="V200" i="19" s="1"/>
  <c r="M200" i="19"/>
  <c r="U199" i="19"/>
  <c r="V199" i="19" s="1"/>
  <c r="M199" i="19"/>
  <c r="U450" i="19"/>
  <c r="V450" i="19" s="1"/>
  <c r="M450" i="19"/>
  <c r="U124" i="19"/>
  <c r="V124" i="19" s="1"/>
  <c r="M124" i="19"/>
  <c r="U123" i="19"/>
  <c r="V123" i="19" s="1"/>
  <c r="M123" i="19"/>
  <c r="U427" i="19"/>
  <c r="V427" i="19" s="1"/>
  <c r="M427" i="19"/>
  <c r="U219" i="19"/>
  <c r="V219" i="19" s="1"/>
  <c r="M219" i="19"/>
  <c r="V220" i="19"/>
  <c r="U220" i="19"/>
  <c r="M220" i="19"/>
  <c r="U194" i="19"/>
  <c r="V194" i="19" s="1"/>
  <c r="M194" i="19"/>
  <c r="U193" i="19"/>
  <c r="V193" i="19" s="1"/>
  <c r="M193" i="19"/>
  <c r="U447" i="19"/>
  <c r="V447" i="19" s="1"/>
  <c r="M447" i="19"/>
  <c r="U122" i="19"/>
  <c r="V122" i="19" s="1"/>
  <c r="M122" i="19"/>
  <c r="U121" i="19"/>
  <c r="V121" i="19" s="1"/>
  <c r="M121" i="19"/>
  <c r="U426" i="19"/>
  <c r="V426" i="19" s="1"/>
  <c r="M426" i="19"/>
  <c r="U214" i="19"/>
  <c r="V214" i="19" s="1"/>
  <c r="M214" i="19"/>
  <c r="U351" i="19"/>
  <c r="V351" i="19" s="1"/>
  <c r="M351" i="19"/>
  <c r="U213" i="19"/>
  <c r="V213" i="19" s="1"/>
  <c r="M213" i="19"/>
  <c r="U216" i="19"/>
  <c r="V216" i="19" s="1"/>
  <c r="M216" i="19"/>
  <c r="U215" i="19"/>
  <c r="V215" i="19" s="1"/>
  <c r="M215" i="19"/>
  <c r="U457" i="19"/>
  <c r="V457" i="19" s="1"/>
  <c r="M457" i="19"/>
  <c r="U218" i="19"/>
  <c r="V218" i="19" s="1"/>
  <c r="M218" i="19"/>
  <c r="U217" i="19"/>
  <c r="V217" i="19" s="1"/>
  <c r="M217" i="19"/>
  <c r="U352" i="19"/>
  <c r="V352" i="19" s="1"/>
  <c r="M352" i="19"/>
  <c r="U212" i="19"/>
  <c r="V212" i="19" s="1"/>
  <c r="M212" i="19"/>
  <c r="U211" i="19"/>
  <c r="V211" i="19" s="1"/>
  <c r="M211" i="19"/>
  <c r="U456" i="19"/>
  <c r="V456" i="19" s="1"/>
  <c r="M456" i="19"/>
  <c r="U44" i="19"/>
  <c r="V44" i="19" s="1"/>
  <c r="M44" i="19"/>
  <c r="U43" i="19"/>
  <c r="V43" i="19" s="1"/>
  <c r="M43" i="19"/>
  <c r="U397" i="19"/>
  <c r="V397" i="19" s="1"/>
  <c r="M397" i="19"/>
  <c r="U155" i="19"/>
  <c r="V155" i="19" s="1"/>
  <c r="M155" i="19"/>
  <c r="U30" i="19"/>
  <c r="V30" i="19" s="1"/>
  <c r="M30" i="19"/>
  <c r="U29" i="19"/>
  <c r="V29" i="19" s="1"/>
  <c r="M29" i="19"/>
  <c r="U390" i="19"/>
  <c r="V390" i="19" s="1"/>
  <c r="M390" i="19"/>
  <c r="U28" i="19"/>
  <c r="V28" i="19" s="1"/>
  <c r="M28" i="19"/>
  <c r="U27" i="19"/>
  <c r="V27" i="19" s="1"/>
  <c r="M27" i="19"/>
  <c r="U389" i="19"/>
  <c r="V389" i="19" s="1"/>
  <c r="M389" i="19"/>
  <c r="U263" i="19"/>
  <c r="V263" i="19" s="1"/>
  <c r="M263" i="19"/>
  <c r="U265" i="19"/>
  <c r="V265" i="19" s="1"/>
  <c r="M265" i="19"/>
  <c r="U264" i="19"/>
  <c r="V264" i="19" s="1"/>
  <c r="M264" i="19"/>
  <c r="U471" i="19"/>
  <c r="V471" i="19" s="1"/>
  <c r="M471" i="19"/>
  <c r="U266" i="19"/>
  <c r="V266" i="19" s="1"/>
  <c r="M266" i="19"/>
  <c r="U262" i="19"/>
  <c r="V262" i="19" s="1"/>
  <c r="M262" i="19"/>
  <c r="U261" i="19"/>
  <c r="V261" i="19" s="1"/>
  <c r="M261" i="19"/>
  <c r="U470" i="19"/>
  <c r="V470" i="19" s="1"/>
  <c r="M470" i="19"/>
  <c r="U6" i="19"/>
  <c r="V6" i="19" s="1"/>
  <c r="M6" i="19"/>
  <c r="U5" i="19"/>
  <c r="V5" i="19" s="1"/>
  <c r="M5" i="19"/>
  <c r="U378" i="19"/>
  <c r="V378" i="19" s="1"/>
  <c r="M378" i="19"/>
  <c r="U4" i="19"/>
  <c r="V4" i="19" s="1"/>
  <c r="M4" i="19"/>
  <c r="U3" i="19"/>
  <c r="V3" i="19" s="1"/>
  <c r="M3" i="19"/>
  <c r="U377" i="19"/>
  <c r="V377" i="19" s="1"/>
  <c r="M377" i="19"/>
  <c r="U170" i="19"/>
  <c r="V170" i="19" s="1"/>
  <c r="O170" i="19"/>
  <c r="M170" i="19"/>
  <c r="U169" i="19"/>
  <c r="V169" i="19" s="1"/>
  <c r="O169" i="19"/>
  <c r="M169" i="19"/>
  <c r="U438" i="19"/>
  <c r="V438" i="19" s="1"/>
  <c r="O438" i="19"/>
  <c r="M438" i="19"/>
  <c r="U171" i="19"/>
  <c r="V171" i="19" s="1"/>
  <c r="O171" i="19"/>
  <c r="M171" i="19"/>
  <c r="U173" i="19"/>
  <c r="V173" i="19" s="1"/>
  <c r="O173" i="19"/>
  <c r="M173" i="19"/>
  <c r="U172" i="19"/>
  <c r="V172" i="19" s="1"/>
  <c r="O172" i="19"/>
  <c r="M172" i="19"/>
  <c r="U439" i="19"/>
  <c r="V439" i="19" s="1"/>
  <c r="O439" i="19"/>
  <c r="M439" i="19"/>
  <c r="U174" i="19"/>
  <c r="V174" i="19" s="1"/>
  <c r="O174" i="19"/>
  <c r="M174" i="19"/>
  <c r="U269" i="19"/>
  <c r="V269" i="19" s="1"/>
  <c r="M269" i="19"/>
  <c r="U271" i="19"/>
  <c r="V271" i="19" s="1"/>
  <c r="M271" i="19"/>
  <c r="U270" i="19"/>
  <c r="V270" i="19" s="1"/>
  <c r="M270" i="19"/>
  <c r="U473" i="19"/>
  <c r="V473" i="19" s="1"/>
  <c r="M473" i="19"/>
  <c r="U272" i="19"/>
  <c r="V272" i="19" s="1"/>
  <c r="M272" i="19"/>
  <c r="U268" i="19"/>
  <c r="V268" i="19" s="1"/>
  <c r="M268" i="19"/>
  <c r="U267" i="19"/>
  <c r="V267" i="19" s="1"/>
  <c r="M267" i="19"/>
  <c r="U472" i="19"/>
  <c r="V472" i="19" s="1"/>
  <c r="M472" i="19"/>
  <c r="U178" i="19"/>
  <c r="V178" i="19" s="1"/>
  <c r="O178" i="19"/>
  <c r="M178" i="19"/>
  <c r="U177" i="19"/>
  <c r="V177" i="19" s="1"/>
  <c r="O177" i="19"/>
  <c r="M177" i="19"/>
  <c r="U441" i="19"/>
  <c r="V441" i="19" s="1"/>
  <c r="O441" i="19"/>
  <c r="M441" i="19"/>
  <c r="U275" i="19"/>
  <c r="V275" i="19" s="1"/>
  <c r="M275" i="19"/>
  <c r="U277" i="19"/>
  <c r="V277" i="19" s="1"/>
  <c r="M277" i="19"/>
  <c r="U276" i="19"/>
  <c r="V276" i="19" s="1"/>
  <c r="M276" i="19"/>
  <c r="U475" i="19"/>
  <c r="V475" i="19" s="1"/>
  <c r="M475" i="19"/>
  <c r="U278" i="19"/>
  <c r="V278" i="19" s="1"/>
  <c r="M278" i="19"/>
  <c r="U274" i="19"/>
  <c r="V274" i="19" s="1"/>
  <c r="M274" i="19"/>
  <c r="U273" i="19"/>
  <c r="V273" i="19" s="1"/>
  <c r="M273" i="19"/>
  <c r="U474" i="19"/>
  <c r="V474" i="19" s="1"/>
  <c r="M474" i="19"/>
  <c r="U176" i="19"/>
  <c r="V176" i="19" s="1"/>
  <c r="O176" i="19"/>
  <c r="M176" i="19"/>
  <c r="U175" i="19"/>
  <c r="V175" i="19" s="1"/>
  <c r="O175" i="19"/>
  <c r="M175" i="19"/>
  <c r="U440" i="19"/>
  <c r="V440" i="19" s="1"/>
  <c r="O440" i="19"/>
  <c r="M440" i="19"/>
  <c r="H36" i="20" l="1"/>
  <c r="H22" i="15"/>
  <c r="H21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F11" i="17" l="1"/>
  <c r="F13" i="17" l="1"/>
  <c r="F14" i="17" s="1"/>
  <c r="F15" i="17" s="1"/>
  <c r="F16" i="17" s="1"/>
  <c r="I19" i="17"/>
  <c r="C11" i="17"/>
  <c r="H11" i="17" s="1"/>
  <c r="J11" i="17" s="1"/>
  <c r="I11" i="17" l="1"/>
  <c r="H13" i="17"/>
  <c r="F17" i="17"/>
  <c r="F18" i="17" s="1"/>
  <c r="I17" i="17"/>
  <c r="G11" i="17"/>
  <c r="I18" i="17"/>
  <c r="H14" i="17" l="1"/>
  <c r="H15" i="17" s="1"/>
  <c r="H16" i="17" s="1"/>
  <c r="H17" i="17"/>
  <c r="H18" i="17" l="1"/>
  <c r="E36" i="15"/>
  <c r="H20" i="15" l="1"/>
  <c r="H5" i="15"/>
  <c r="U505" i="2"/>
  <c r="V505" i="2" s="1"/>
  <c r="H36" i="15" l="1"/>
  <c r="H14" i="14"/>
  <c r="H15" i="14" s="1"/>
  <c r="C8" i="14"/>
  <c r="E8" i="14" s="1"/>
  <c r="E10" i="14" l="1"/>
  <c r="E11" i="14" s="1"/>
  <c r="E12" i="14" s="1"/>
  <c r="E13" i="14" s="1"/>
  <c r="E14" i="14" l="1"/>
  <c r="E15" i="14" l="1"/>
  <c r="U504" i="2"/>
  <c r="V504" i="2" s="1"/>
  <c r="M504" i="2"/>
  <c r="U503" i="2"/>
  <c r="V503" i="2" s="1"/>
  <c r="M503" i="2"/>
  <c r="U502" i="2"/>
  <c r="V502" i="2" s="1"/>
  <c r="M502" i="2"/>
  <c r="U501" i="2"/>
  <c r="V501" i="2" s="1"/>
  <c r="M501" i="2"/>
  <c r="U500" i="2"/>
  <c r="V500" i="2" s="1"/>
  <c r="M500" i="2"/>
  <c r="U499" i="2"/>
  <c r="V499" i="2" s="1"/>
  <c r="M499" i="2"/>
  <c r="G5" i="8" l="1"/>
  <c r="G4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M496" i="2"/>
  <c r="M479" i="2"/>
  <c r="M110" i="2"/>
  <c r="M30" i="2"/>
  <c r="M54" i="2"/>
  <c r="M131" i="2"/>
  <c r="U584" i="2"/>
  <c r="M584" i="2"/>
  <c r="U583" i="2"/>
  <c r="M583" i="2"/>
  <c r="U582" i="2"/>
  <c r="M582" i="2"/>
  <c r="U581" i="2"/>
  <c r="M581" i="2"/>
  <c r="U580" i="2"/>
  <c r="V580" i="2" s="1"/>
  <c r="M580" i="2"/>
  <c r="U579" i="2"/>
  <c r="M579" i="2"/>
  <c r="U578" i="2"/>
  <c r="M578" i="2"/>
  <c r="U577" i="2"/>
  <c r="M577" i="2"/>
  <c r="U576" i="2"/>
  <c r="M576" i="2"/>
  <c r="U575" i="2"/>
  <c r="M575" i="2"/>
  <c r="U574" i="2"/>
  <c r="M574" i="2"/>
  <c r="U573" i="2"/>
  <c r="M573" i="2"/>
  <c r="U572" i="2"/>
  <c r="M572" i="2"/>
  <c r="U571" i="2"/>
  <c r="M571" i="2"/>
  <c r="U570" i="2"/>
  <c r="M570" i="2"/>
  <c r="U569" i="2"/>
  <c r="M569" i="2"/>
  <c r="U568" i="2"/>
  <c r="M568" i="2"/>
  <c r="U567" i="2"/>
  <c r="M567" i="2"/>
  <c r="U566" i="2"/>
  <c r="M566" i="2"/>
  <c r="U565" i="2"/>
  <c r="M565" i="2"/>
  <c r="U564" i="2"/>
  <c r="M564" i="2"/>
  <c r="U563" i="2"/>
  <c r="M563" i="2"/>
  <c r="U562" i="2"/>
  <c r="M562" i="2"/>
  <c r="U561" i="2"/>
  <c r="M561" i="2"/>
  <c r="U560" i="2"/>
  <c r="M560" i="2"/>
  <c r="U559" i="2"/>
  <c r="M559" i="2"/>
  <c r="U558" i="2"/>
  <c r="M558" i="2"/>
  <c r="U557" i="2"/>
  <c r="M557" i="2"/>
  <c r="U556" i="2"/>
  <c r="M556" i="2"/>
  <c r="U555" i="2"/>
  <c r="M555" i="2"/>
  <c r="U554" i="2"/>
  <c r="M554" i="2"/>
  <c r="U553" i="2"/>
  <c r="M553" i="2"/>
  <c r="U552" i="2"/>
  <c r="M552" i="2"/>
  <c r="U551" i="2"/>
  <c r="M551" i="2"/>
  <c r="U550" i="2"/>
  <c r="M550" i="2"/>
  <c r="U549" i="2"/>
  <c r="M549" i="2"/>
  <c r="U548" i="2"/>
  <c r="M548" i="2"/>
  <c r="U547" i="2"/>
  <c r="M547" i="2"/>
  <c r="U546" i="2"/>
  <c r="M546" i="2"/>
  <c r="U545" i="2"/>
  <c r="M545" i="2"/>
  <c r="U544" i="2"/>
  <c r="M544" i="2"/>
  <c r="U543" i="2"/>
  <c r="M543" i="2"/>
  <c r="U542" i="2"/>
  <c r="M542" i="2"/>
  <c r="U541" i="2"/>
  <c r="M541" i="2"/>
  <c r="U540" i="2"/>
  <c r="M540" i="2"/>
  <c r="U539" i="2"/>
  <c r="M539" i="2"/>
  <c r="U538" i="2"/>
  <c r="M538" i="2"/>
  <c r="U537" i="2"/>
  <c r="M537" i="2"/>
  <c r="U536" i="2"/>
  <c r="M536" i="2"/>
  <c r="U535" i="2"/>
  <c r="M535" i="2"/>
  <c r="U534" i="2"/>
  <c r="M534" i="2"/>
  <c r="U530" i="2"/>
  <c r="M530" i="2"/>
  <c r="U529" i="2"/>
  <c r="V529" i="2" s="1"/>
  <c r="M529" i="2"/>
  <c r="U528" i="2"/>
  <c r="M528" i="2"/>
  <c r="U527" i="2"/>
  <c r="M527" i="2"/>
  <c r="U526" i="2"/>
  <c r="M526" i="2"/>
  <c r="U525" i="2"/>
  <c r="M525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498" i="2"/>
  <c r="M498" i="2"/>
  <c r="U497" i="2"/>
  <c r="V497" i="2" s="1"/>
  <c r="M497" i="2"/>
  <c r="U496" i="2"/>
  <c r="U495" i="2"/>
  <c r="M495" i="2"/>
  <c r="U494" i="2"/>
  <c r="M494" i="2"/>
  <c r="U493" i="2"/>
  <c r="M493" i="2"/>
  <c r="U492" i="2"/>
  <c r="M492" i="2"/>
  <c r="U491" i="2"/>
  <c r="M491" i="2"/>
  <c r="U490" i="2"/>
  <c r="M490" i="2"/>
  <c r="U489" i="2"/>
  <c r="M489" i="2"/>
  <c r="U488" i="2"/>
  <c r="M488" i="2"/>
  <c r="U487" i="2"/>
  <c r="M487" i="2"/>
  <c r="U486" i="2"/>
  <c r="V486" i="2" s="1"/>
  <c r="M486" i="2"/>
  <c r="U485" i="2"/>
  <c r="M485" i="2"/>
  <c r="U484" i="2"/>
  <c r="M484" i="2"/>
  <c r="U483" i="2"/>
  <c r="M483" i="2"/>
  <c r="U482" i="2"/>
  <c r="M482" i="2"/>
  <c r="U481" i="2"/>
  <c r="M481" i="2"/>
  <c r="U480" i="2"/>
  <c r="M480" i="2"/>
  <c r="U479" i="2"/>
  <c r="U478" i="2"/>
  <c r="M478" i="2"/>
  <c r="U477" i="2"/>
  <c r="M477" i="2"/>
  <c r="U476" i="2"/>
  <c r="V476" i="2" s="1"/>
  <c r="M476" i="2"/>
  <c r="U475" i="2"/>
  <c r="M475" i="2"/>
  <c r="U474" i="2"/>
  <c r="V474" i="2" s="1"/>
  <c r="M474" i="2"/>
  <c r="U473" i="2"/>
  <c r="M473" i="2"/>
  <c r="U472" i="2"/>
  <c r="V472" i="2" s="1"/>
  <c r="M472" i="2"/>
  <c r="U471" i="2"/>
  <c r="M471" i="2"/>
  <c r="U470" i="2"/>
  <c r="M470" i="2"/>
  <c r="U469" i="2"/>
  <c r="M469" i="2"/>
  <c r="U468" i="2"/>
  <c r="V468" i="2" s="1"/>
  <c r="M468" i="2"/>
  <c r="U467" i="2"/>
  <c r="M467" i="2"/>
  <c r="U466" i="2"/>
  <c r="V466" i="2" s="1"/>
  <c r="M466" i="2"/>
  <c r="U465" i="2"/>
  <c r="M465" i="2"/>
  <c r="U464" i="2"/>
  <c r="V464" i="2" s="1"/>
  <c r="M464" i="2"/>
  <c r="U463" i="2"/>
  <c r="M463" i="2"/>
  <c r="U462" i="2"/>
  <c r="V462" i="2" s="1"/>
  <c r="M462" i="2"/>
  <c r="U461" i="2"/>
  <c r="M461" i="2"/>
  <c r="U460" i="2"/>
  <c r="V460" i="2" s="1"/>
  <c r="M460" i="2"/>
  <c r="U459" i="2"/>
  <c r="M459" i="2"/>
  <c r="U458" i="2"/>
  <c r="V458" i="2" s="1"/>
  <c r="M458" i="2"/>
  <c r="U457" i="2"/>
  <c r="M457" i="2"/>
  <c r="U456" i="2"/>
  <c r="V456" i="2" s="1"/>
  <c r="M456" i="2"/>
  <c r="U455" i="2"/>
  <c r="M455" i="2"/>
  <c r="U454" i="2"/>
  <c r="V454" i="2" s="1"/>
  <c r="M454" i="2"/>
  <c r="U453" i="2"/>
  <c r="M453" i="2"/>
  <c r="U452" i="2"/>
  <c r="V452" i="2" s="1"/>
  <c r="M452" i="2"/>
  <c r="U451" i="2"/>
  <c r="M451" i="2"/>
  <c r="U450" i="2"/>
  <c r="V450" i="2" s="1"/>
  <c r="M450" i="2"/>
  <c r="U449" i="2"/>
  <c r="M449" i="2"/>
  <c r="U448" i="2"/>
  <c r="V448" i="2" s="1"/>
  <c r="M448" i="2"/>
  <c r="U447" i="2"/>
  <c r="M447" i="2"/>
  <c r="U446" i="2"/>
  <c r="V446" i="2" s="1"/>
  <c r="M446" i="2"/>
  <c r="U445" i="2"/>
  <c r="M445" i="2"/>
  <c r="U444" i="2"/>
  <c r="V444" i="2" s="1"/>
  <c r="M444" i="2"/>
  <c r="U443" i="2"/>
  <c r="M443" i="2"/>
  <c r="U442" i="2"/>
  <c r="V442" i="2" s="1"/>
  <c r="M442" i="2"/>
  <c r="U441" i="2"/>
  <c r="M441" i="2"/>
  <c r="U440" i="2"/>
  <c r="V440" i="2" s="1"/>
  <c r="M440" i="2"/>
  <c r="U439" i="2"/>
  <c r="M439" i="2"/>
  <c r="U438" i="2"/>
  <c r="V438" i="2" s="1"/>
  <c r="M438" i="2"/>
  <c r="U437" i="2"/>
  <c r="M437" i="2"/>
  <c r="U436" i="2"/>
  <c r="V436" i="2" s="1"/>
  <c r="M436" i="2"/>
  <c r="U435" i="2"/>
  <c r="M435" i="2"/>
  <c r="U434" i="2"/>
  <c r="V434" i="2" s="1"/>
  <c r="M434" i="2"/>
  <c r="U433" i="2"/>
  <c r="M433" i="2"/>
  <c r="U432" i="2"/>
  <c r="V432" i="2" s="1"/>
  <c r="M432" i="2"/>
  <c r="U431" i="2"/>
  <c r="V431" i="2" s="1"/>
  <c r="M431" i="2"/>
  <c r="U430" i="2"/>
  <c r="M430" i="2"/>
  <c r="U429" i="2"/>
  <c r="M429" i="2"/>
  <c r="U428" i="2"/>
  <c r="V428" i="2" s="1"/>
  <c r="M428" i="2"/>
  <c r="U427" i="2"/>
  <c r="V427" i="2" s="1"/>
  <c r="M427" i="2"/>
  <c r="U426" i="2"/>
  <c r="V426" i="2" s="1"/>
  <c r="M426" i="2"/>
  <c r="U425" i="2"/>
  <c r="V425" i="2" s="1"/>
  <c r="M425" i="2"/>
  <c r="U424" i="2"/>
  <c r="V424" i="2" s="1"/>
  <c r="M424" i="2"/>
  <c r="U423" i="2"/>
  <c r="M423" i="2"/>
  <c r="U422" i="2"/>
  <c r="V422" i="2" s="1"/>
  <c r="M422" i="2"/>
  <c r="U421" i="2"/>
  <c r="M421" i="2"/>
  <c r="U420" i="2"/>
  <c r="V420" i="2" s="1"/>
  <c r="M420" i="2"/>
  <c r="U419" i="2"/>
  <c r="M419" i="2"/>
  <c r="U418" i="2"/>
  <c r="V418" i="2" s="1"/>
  <c r="M418" i="2"/>
  <c r="U417" i="2"/>
  <c r="M417" i="2"/>
  <c r="U416" i="2"/>
  <c r="M416" i="2"/>
  <c r="U415" i="2"/>
  <c r="V415" i="2" s="1"/>
  <c r="M415" i="2"/>
  <c r="U414" i="2"/>
  <c r="V414" i="2" s="1"/>
  <c r="M414" i="2"/>
  <c r="U413" i="2"/>
  <c r="M413" i="2"/>
  <c r="U412" i="2"/>
  <c r="V412" i="2" s="1"/>
  <c r="M412" i="2"/>
  <c r="U411" i="2"/>
  <c r="V411" i="2" s="1"/>
  <c r="M411" i="2"/>
  <c r="U410" i="2"/>
  <c r="V410" i="2" s="1"/>
  <c r="M410" i="2"/>
  <c r="U409" i="2"/>
  <c r="M409" i="2"/>
  <c r="U408" i="2"/>
  <c r="V408" i="2" s="1"/>
  <c r="M408" i="2"/>
  <c r="U407" i="2"/>
  <c r="V407" i="2" s="1"/>
  <c r="M407" i="2"/>
  <c r="U406" i="2"/>
  <c r="V406" i="2" s="1"/>
  <c r="M406" i="2"/>
  <c r="U405" i="2"/>
  <c r="V405" i="2" s="1"/>
  <c r="M405" i="2"/>
  <c r="U404" i="2"/>
  <c r="V404" i="2" s="1"/>
  <c r="M404" i="2"/>
  <c r="U403" i="2"/>
  <c r="M403" i="2"/>
  <c r="M402" i="2"/>
  <c r="M401" i="2"/>
  <c r="M400" i="2"/>
  <c r="M399" i="2"/>
  <c r="M398" i="2"/>
  <c r="M397" i="2"/>
  <c r="M396" i="2"/>
  <c r="M395" i="2"/>
  <c r="U394" i="2"/>
  <c r="V394" i="2" s="1"/>
  <c r="M394" i="2"/>
  <c r="U393" i="2"/>
  <c r="M393" i="2"/>
  <c r="U392" i="2"/>
  <c r="V392" i="2" s="1"/>
  <c r="M392" i="2"/>
  <c r="U391" i="2"/>
  <c r="M391" i="2"/>
  <c r="U390" i="2"/>
  <c r="V390" i="2" s="1"/>
  <c r="M390" i="2"/>
  <c r="U389" i="2"/>
  <c r="M389" i="2"/>
  <c r="U388" i="2"/>
  <c r="V388" i="2" s="1"/>
  <c r="M388" i="2"/>
  <c r="U387" i="2"/>
  <c r="M387" i="2"/>
  <c r="U386" i="2"/>
  <c r="M386" i="2"/>
  <c r="U385" i="2"/>
  <c r="V385" i="2" s="1"/>
  <c r="M385" i="2"/>
  <c r="U384" i="2"/>
  <c r="V384" i="2" s="1"/>
  <c r="M384" i="2"/>
  <c r="U383" i="2"/>
  <c r="V383" i="2" s="1"/>
  <c r="M383" i="2"/>
  <c r="U382" i="2"/>
  <c r="V382" i="2" s="1"/>
  <c r="M382" i="2"/>
  <c r="U381" i="2"/>
  <c r="V381" i="2" s="1"/>
  <c r="M381" i="2"/>
  <c r="M380" i="2"/>
  <c r="M379" i="2"/>
  <c r="M378" i="2"/>
  <c r="U377" i="2"/>
  <c r="M377" i="2"/>
  <c r="U376" i="2"/>
  <c r="M376" i="2"/>
  <c r="U375" i="2"/>
  <c r="M375" i="2"/>
  <c r="U374" i="2"/>
  <c r="M374" i="2"/>
  <c r="U373" i="2"/>
  <c r="M373" i="2"/>
  <c r="U372" i="2"/>
  <c r="M372" i="2"/>
  <c r="U371" i="2"/>
  <c r="M371" i="2"/>
  <c r="U370" i="2"/>
  <c r="M370" i="2"/>
  <c r="U369" i="2"/>
  <c r="M369" i="2"/>
  <c r="U368" i="2"/>
  <c r="M368" i="2"/>
  <c r="U367" i="2"/>
  <c r="M367" i="2"/>
  <c r="U366" i="2"/>
  <c r="V366" i="2" s="1"/>
  <c r="M366" i="2"/>
  <c r="U365" i="2"/>
  <c r="M365" i="2"/>
  <c r="U364" i="2"/>
  <c r="M364" i="2"/>
  <c r="U363" i="2"/>
  <c r="M363" i="2"/>
  <c r="U362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U350" i="2"/>
  <c r="M350" i="2"/>
  <c r="U349" i="2"/>
  <c r="M349" i="2"/>
  <c r="U348" i="2"/>
  <c r="V348" i="2" s="1"/>
  <c r="M348" i="2"/>
  <c r="U347" i="2"/>
  <c r="V347" i="2" s="1"/>
  <c r="M347" i="2"/>
  <c r="U346" i="2"/>
  <c r="M346" i="2"/>
  <c r="U345" i="2"/>
  <c r="V345" i="2" s="1"/>
  <c r="M345" i="2"/>
  <c r="U344" i="2"/>
  <c r="V344" i="2" s="1"/>
  <c r="M344" i="2"/>
  <c r="U343" i="2"/>
  <c r="V343" i="2" s="1"/>
  <c r="M343" i="2"/>
  <c r="U342" i="2"/>
  <c r="M342" i="2"/>
  <c r="U341" i="2"/>
  <c r="V341" i="2" s="1"/>
  <c r="M341" i="2"/>
  <c r="U340" i="2"/>
  <c r="V340" i="2" s="1"/>
  <c r="M340" i="2"/>
  <c r="U339" i="2"/>
  <c r="V339" i="2" s="1"/>
  <c r="M339" i="2"/>
  <c r="U338" i="2"/>
  <c r="M338" i="2"/>
  <c r="U337" i="2"/>
  <c r="V337" i="2" s="1"/>
  <c r="M337" i="2"/>
  <c r="M336" i="2"/>
  <c r="M335" i="2"/>
  <c r="M334" i="2"/>
  <c r="U333" i="2"/>
  <c r="M333" i="2"/>
  <c r="U332" i="2"/>
  <c r="M332" i="2"/>
  <c r="U331" i="2"/>
  <c r="M331" i="2"/>
  <c r="U330" i="2"/>
  <c r="M330" i="2"/>
  <c r="U329" i="2"/>
  <c r="M329" i="2"/>
  <c r="U328" i="2"/>
  <c r="M328" i="2"/>
  <c r="U327" i="2"/>
  <c r="M327" i="2"/>
  <c r="U326" i="2"/>
  <c r="M326" i="2"/>
  <c r="U325" i="2"/>
  <c r="V325" i="2" s="1"/>
  <c r="M325" i="2"/>
  <c r="U324" i="2"/>
  <c r="M324" i="2"/>
  <c r="U323" i="2"/>
  <c r="M323" i="2"/>
  <c r="U322" i="2"/>
  <c r="M322" i="2"/>
  <c r="U321" i="2"/>
  <c r="M321" i="2"/>
  <c r="U320" i="2"/>
  <c r="M320" i="2"/>
  <c r="U319" i="2"/>
  <c r="M319" i="2"/>
  <c r="U318" i="2"/>
  <c r="M318" i="2"/>
  <c r="M317" i="2"/>
  <c r="U316" i="2"/>
  <c r="V316" i="2" s="1"/>
  <c r="M316" i="2"/>
  <c r="U315" i="2"/>
  <c r="V315" i="2" s="1"/>
  <c r="M315" i="2"/>
  <c r="U314" i="2"/>
  <c r="V314" i="2" s="1"/>
  <c r="M314" i="2"/>
  <c r="U313" i="2"/>
  <c r="V313" i="2" s="1"/>
  <c r="M313" i="2"/>
  <c r="M312" i="2"/>
  <c r="M311" i="2"/>
  <c r="M310" i="2"/>
  <c r="M309" i="2"/>
  <c r="M308" i="2"/>
  <c r="M307" i="2"/>
  <c r="U306" i="2"/>
  <c r="V306" i="2" s="1"/>
  <c r="M306" i="2"/>
  <c r="U305" i="2"/>
  <c r="M305" i="2"/>
  <c r="U304" i="2"/>
  <c r="V304" i="2" s="1"/>
  <c r="M304" i="2"/>
  <c r="U303" i="2"/>
  <c r="V303" i="2" s="1"/>
  <c r="M303" i="2"/>
  <c r="U302" i="2"/>
  <c r="M302" i="2"/>
  <c r="U301" i="2"/>
  <c r="V301" i="2" s="1"/>
  <c r="M301" i="2"/>
  <c r="U300" i="2"/>
  <c r="V300" i="2" s="1"/>
  <c r="M300" i="2"/>
  <c r="U299" i="2"/>
  <c r="V299" i="2" s="1"/>
  <c r="M299" i="2"/>
  <c r="U298" i="2"/>
  <c r="V298" i="2" s="1"/>
  <c r="M298" i="2"/>
  <c r="U297" i="2"/>
  <c r="M297" i="2"/>
  <c r="U296" i="2"/>
  <c r="V296" i="2" s="1"/>
  <c r="M296" i="2"/>
  <c r="U295" i="2"/>
  <c r="M295" i="2"/>
  <c r="U294" i="2"/>
  <c r="V294" i="2" s="1"/>
  <c r="M294" i="2"/>
  <c r="U293" i="2"/>
  <c r="V293" i="2" s="1"/>
  <c r="M293" i="2"/>
  <c r="M292" i="2"/>
  <c r="M291" i="2"/>
  <c r="M290" i="2"/>
  <c r="U289" i="2"/>
  <c r="M289" i="2"/>
  <c r="U288" i="2"/>
  <c r="M288" i="2"/>
  <c r="U287" i="2"/>
  <c r="M287" i="2"/>
  <c r="U286" i="2"/>
  <c r="M286" i="2"/>
  <c r="U285" i="2"/>
  <c r="M285" i="2"/>
  <c r="U284" i="2"/>
  <c r="M284" i="2"/>
  <c r="U283" i="2"/>
  <c r="V283" i="2" s="1"/>
  <c r="M283" i="2"/>
  <c r="U282" i="2"/>
  <c r="M282" i="2"/>
  <c r="U281" i="2"/>
  <c r="M281" i="2"/>
  <c r="U280" i="2"/>
  <c r="M280" i="2"/>
  <c r="U279" i="2"/>
  <c r="M279" i="2"/>
  <c r="U278" i="2"/>
  <c r="M278" i="2"/>
  <c r="U277" i="2"/>
  <c r="M277" i="2"/>
  <c r="U276" i="2"/>
  <c r="V276" i="2" s="1"/>
  <c r="M276" i="2"/>
  <c r="U275" i="2"/>
  <c r="M275" i="2"/>
  <c r="U274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U262" i="2"/>
  <c r="M262" i="2"/>
  <c r="U261" i="2"/>
  <c r="V261" i="2" s="1"/>
  <c r="M261" i="2"/>
  <c r="U260" i="2"/>
  <c r="V260" i="2" s="1"/>
  <c r="M260" i="2"/>
  <c r="U259" i="2"/>
  <c r="V259" i="2" s="1"/>
  <c r="M259" i="2"/>
  <c r="U258" i="2"/>
  <c r="V258" i="2" s="1"/>
  <c r="M258" i="2"/>
  <c r="U257" i="2"/>
  <c r="V257" i="2" s="1"/>
  <c r="M257" i="2"/>
  <c r="U256" i="2"/>
  <c r="V256" i="2" s="1"/>
  <c r="M256" i="2"/>
  <c r="U255" i="2"/>
  <c r="V255" i="2" s="1"/>
  <c r="M255" i="2"/>
  <c r="U254" i="2"/>
  <c r="M254" i="2"/>
  <c r="U253" i="2"/>
  <c r="V253" i="2" s="1"/>
  <c r="M253" i="2"/>
  <c r="U252" i="2"/>
  <c r="V252" i="2" s="1"/>
  <c r="M252" i="2"/>
  <c r="U251" i="2"/>
  <c r="V251" i="2" s="1"/>
  <c r="M251" i="2"/>
  <c r="U250" i="2"/>
  <c r="V250" i="2" s="1"/>
  <c r="M250" i="2"/>
  <c r="U249" i="2"/>
  <c r="V249" i="2" s="1"/>
  <c r="M249" i="2"/>
  <c r="M248" i="2"/>
  <c r="M247" i="2"/>
  <c r="M246" i="2"/>
  <c r="U245" i="2"/>
  <c r="M245" i="2"/>
  <c r="U244" i="2"/>
  <c r="M244" i="2"/>
  <c r="U243" i="2"/>
  <c r="M243" i="2"/>
  <c r="U242" i="2"/>
  <c r="M242" i="2"/>
  <c r="U241" i="2"/>
  <c r="M241" i="2"/>
  <c r="U240" i="2"/>
  <c r="M240" i="2"/>
  <c r="U239" i="2"/>
  <c r="M239" i="2"/>
  <c r="U238" i="2"/>
  <c r="M238" i="2"/>
  <c r="U237" i="2"/>
  <c r="M237" i="2"/>
  <c r="U236" i="2"/>
  <c r="M236" i="2"/>
  <c r="U235" i="2"/>
  <c r="M235" i="2"/>
  <c r="U234" i="2"/>
  <c r="M234" i="2"/>
  <c r="U233" i="2"/>
  <c r="M233" i="2"/>
  <c r="U232" i="2"/>
  <c r="M232" i="2"/>
  <c r="U231" i="2"/>
  <c r="M231" i="2"/>
  <c r="U230" i="2"/>
  <c r="M230" i="2"/>
  <c r="M229" i="2"/>
  <c r="M228" i="2"/>
  <c r="V227" i="2"/>
  <c r="M227" i="2"/>
  <c r="M226" i="2"/>
  <c r="M225" i="2"/>
  <c r="M224" i="2"/>
  <c r="V223" i="2"/>
  <c r="M223" i="2"/>
  <c r="M222" i="2"/>
  <c r="M221" i="2"/>
  <c r="M220" i="2"/>
  <c r="V219" i="2"/>
  <c r="M219" i="2"/>
  <c r="U218" i="2"/>
  <c r="M218" i="2"/>
  <c r="U217" i="2"/>
  <c r="M217" i="2"/>
  <c r="U216" i="2"/>
  <c r="M216" i="2"/>
  <c r="U215" i="2"/>
  <c r="M215" i="2"/>
  <c r="U214" i="2"/>
  <c r="V214" i="2"/>
  <c r="M214" i="2"/>
  <c r="U213" i="2"/>
  <c r="V213" i="2" s="1"/>
  <c r="M213" i="2"/>
  <c r="U212" i="2"/>
  <c r="V212" i="2" s="1"/>
  <c r="M212" i="2"/>
  <c r="U211" i="2"/>
  <c r="V211" i="2" s="1"/>
  <c r="M211" i="2"/>
  <c r="U210" i="2"/>
  <c r="V210" i="2" s="1"/>
  <c r="M210" i="2"/>
  <c r="U209" i="2"/>
  <c r="V209" i="2" s="1"/>
  <c r="M209" i="2"/>
  <c r="U208" i="2"/>
  <c r="V208" i="2" s="1"/>
  <c r="M208" i="2"/>
  <c r="U207" i="2"/>
  <c r="M207" i="2"/>
  <c r="U206" i="2"/>
  <c r="V206" i="2" s="1"/>
  <c r="M206" i="2"/>
  <c r="U205" i="2"/>
  <c r="M205" i="2"/>
  <c r="U204" i="2"/>
  <c r="V204" i="2" s="1"/>
  <c r="M204" i="2"/>
  <c r="U203" i="2"/>
  <c r="V203" i="2" s="1"/>
  <c r="M203" i="2"/>
  <c r="U202" i="2"/>
  <c r="V202" i="2" s="1"/>
  <c r="M202" i="2"/>
  <c r="U201" i="2"/>
  <c r="M201" i="2"/>
  <c r="U200" i="2"/>
  <c r="V200" i="2" s="1"/>
  <c r="M200" i="2"/>
  <c r="U199" i="2"/>
  <c r="V199" i="2" s="1"/>
  <c r="M199" i="2"/>
  <c r="U198" i="2"/>
  <c r="V198" i="2" s="1"/>
  <c r="M198" i="2"/>
  <c r="U197" i="2"/>
  <c r="V197" i="2" s="1"/>
  <c r="M197" i="2"/>
  <c r="U196" i="2"/>
  <c r="M196" i="2"/>
  <c r="U195" i="2"/>
  <c r="V195" i="2" s="1"/>
  <c r="M195" i="2"/>
  <c r="U194" i="2"/>
  <c r="V194" i="2" s="1"/>
  <c r="M194" i="2"/>
  <c r="U193" i="2"/>
  <c r="V193" i="2" s="1"/>
  <c r="M193" i="2"/>
  <c r="U192" i="2"/>
  <c r="V192" i="2" s="1"/>
  <c r="M192" i="2"/>
  <c r="U191" i="2"/>
  <c r="V191" i="2" s="1"/>
  <c r="M191" i="2"/>
  <c r="U190" i="2"/>
  <c r="V190" i="2" s="1"/>
  <c r="M190" i="2"/>
  <c r="U189" i="2"/>
  <c r="V189" i="2" s="1"/>
  <c r="M189" i="2"/>
  <c r="U188" i="2"/>
  <c r="V188" i="2" s="1"/>
  <c r="M188" i="2"/>
  <c r="U187" i="2"/>
  <c r="V187" i="2" s="1"/>
  <c r="M187" i="2"/>
  <c r="U186" i="2"/>
  <c r="V186" i="2" s="1"/>
  <c r="M186" i="2"/>
  <c r="U185" i="2"/>
  <c r="V185" i="2" s="1"/>
  <c r="M185" i="2"/>
  <c r="U184" i="2"/>
  <c r="V184" i="2" s="1"/>
  <c r="M184" i="2"/>
  <c r="U183" i="2"/>
  <c r="V183" i="2" s="1"/>
  <c r="M183" i="2"/>
  <c r="U182" i="2"/>
  <c r="V182" i="2" s="1"/>
  <c r="M182" i="2"/>
  <c r="U181" i="2"/>
  <c r="V181" i="2" s="1"/>
  <c r="M181" i="2"/>
  <c r="U180" i="2"/>
  <c r="V180" i="2" s="1"/>
  <c r="M180" i="2"/>
  <c r="U179" i="2"/>
  <c r="V179" i="2" s="1"/>
  <c r="M179" i="2"/>
  <c r="U178" i="2"/>
  <c r="V178" i="2" s="1"/>
  <c r="M178" i="2"/>
  <c r="U177" i="2"/>
  <c r="V177" i="2" s="1"/>
  <c r="M177" i="2"/>
  <c r="U176" i="2"/>
  <c r="V176" i="2" s="1"/>
  <c r="M176" i="2"/>
  <c r="U175" i="2"/>
  <c r="V175" i="2" s="1"/>
  <c r="M175" i="2"/>
  <c r="U174" i="2"/>
  <c r="V174" i="2" s="1"/>
  <c r="M174" i="2"/>
  <c r="U173" i="2"/>
  <c r="V173" i="2" s="1"/>
  <c r="M173" i="2"/>
  <c r="U172" i="2"/>
  <c r="V172" i="2" s="1"/>
  <c r="M172" i="2"/>
  <c r="U171" i="2"/>
  <c r="M171" i="2"/>
  <c r="U170" i="2"/>
  <c r="V170" i="2" s="1"/>
  <c r="M170" i="2"/>
  <c r="U169" i="2"/>
  <c r="V169" i="2" s="1"/>
  <c r="M169" i="2"/>
  <c r="U168" i="2"/>
  <c r="V168" i="2" s="1"/>
  <c r="M168" i="2"/>
  <c r="U167" i="2"/>
  <c r="V167" i="2" s="1"/>
  <c r="M167" i="2"/>
  <c r="U166" i="2"/>
  <c r="V166" i="2" s="1"/>
  <c r="M166" i="2"/>
  <c r="U165" i="2"/>
  <c r="V165" i="2" s="1"/>
  <c r="M165" i="2"/>
  <c r="U164" i="2"/>
  <c r="V164" i="2" s="1"/>
  <c r="M164" i="2"/>
  <c r="U163" i="2"/>
  <c r="V163" i="2" s="1"/>
  <c r="M163" i="2"/>
  <c r="U162" i="2"/>
  <c r="V162" i="2" s="1"/>
  <c r="M162" i="2"/>
  <c r="U161" i="2"/>
  <c r="M161" i="2"/>
  <c r="U160" i="2"/>
  <c r="V160" i="2" s="1"/>
  <c r="M160" i="2"/>
  <c r="U159" i="2"/>
  <c r="V159" i="2" s="1"/>
  <c r="M159" i="2"/>
  <c r="U158" i="2"/>
  <c r="V158" i="2" s="1"/>
  <c r="M158" i="2"/>
  <c r="U157" i="2"/>
  <c r="V157" i="2" s="1"/>
  <c r="M157" i="2"/>
  <c r="U156" i="2"/>
  <c r="V156" i="2" s="1"/>
  <c r="M156" i="2"/>
  <c r="U155" i="2"/>
  <c r="M155" i="2"/>
  <c r="U154" i="2"/>
  <c r="V154" i="2" s="1"/>
  <c r="M154" i="2"/>
  <c r="U153" i="2"/>
  <c r="V153" i="2" s="1"/>
  <c r="M153" i="2"/>
  <c r="U152" i="2"/>
  <c r="V152" i="2" s="1"/>
  <c r="M152" i="2"/>
  <c r="U151" i="2"/>
  <c r="V151" i="2" s="1"/>
  <c r="M151" i="2"/>
  <c r="U150" i="2"/>
  <c r="V150" i="2" s="1"/>
  <c r="M150" i="2"/>
  <c r="U149" i="2"/>
  <c r="M149" i="2"/>
  <c r="U148" i="2"/>
  <c r="V148" i="2" s="1"/>
  <c r="M148" i="2"/>
  <c r="U147" i="2"/>
  <c r="V147" i="2" s="1"/>
  <c r="M147" i="2"/>
  <c r="U146" i="2"/>
  <c r="V146" i="2" s="1"/>
  <c r="M146" i="2"/>
  <c r="U145" i="2"/>
  <c r="V145" i="2" s="1"/>
  <c r="M145" i="2"/>
  <c r="U144" i="2"/>
  <c r="V144" i="2" s="1"/>
  <c r="M144" i="2"/>
  <c r="U143" i="2"/>
  <c r="V143" i="2" s="1"/>
  <c r="M143" i="2"/>
  <c r="U142" i="2"/>
  <c r="V142" i="2" s="1"/>
  <c r="M142" i="2"/>
  <c r="U141" i="2"/>
  <c r="V141" i="2" s="1"/>
  <c r="M141" i="2"/>
  <c r="U140" i="2"/>
  <c r="V140" i="2" s="1"/>
  <c r="M140" i="2"/>
  <c r="U139" i="2"/>
  <c r="V139" i="2" s="1"/>
  <c r="M139" i="2"/>
  <c r="U138" i="2"/>
  <c r="V138" i="2" s="1"/>
  <c r="M138" i="2"/>
  <c r="U137" i="2"/>
  <c r="V137" i="2" s="1"/>
  <c r="M137" i="2"/>
  <c r="U136" i="2"/>
  <c r="V136" i="2" s="1"/>
  <c r="M136" i="2"/>
  <c r="U135" i="2"/>
  <c r="V135" i="2" s="1"/>
  <c r="M135" i="2"/>
  <c r="U134" i="2"/>
  <c r="V134" i="2" s="1"/>
  <c r="M134" i="2"/>
  <c r="U133" i="2"/>
  <c r="V133" i="2" s="1"/>
  <c r="M133" i="2"/>
  <c r="U132" i="2"/>
  <c r="V132" i="2" s="1"/>
  <c r="M132" i="2"/>
  <c r="U131" i="2"/>
  <c r="V131" i="2" s="1"/>
  <c r="U130" i="2"/>
  <c r="V130" i="2" s="1"/>
  <c r="M130" i="2"/>
  <c r="U129" i="2"/>
  <c r="V129" i="2" s="1"/>
  <c r="M129" i="2"/>
  <c r="U128" i="2"/>
  <c r="V128" i="2" s="1"/>
  <c r="M128" i="2"/>
  <c r="U127" i="2"/>
  <c r="V127" i="2" s="1"/>
  <c r="M127" i="2"/>
  <c r="U126" i="2"/>
  <c r="V126" i="2" s="1"/>
  <c r="M126" i="2"/>
  <c r="U125" i="2"/>
  <c r="V125" i="2" s="1"/>
  <c r="M125" i="2"/>
  <c r="U124" i="2"/>
  <c r="V124" i="2" s="1"/>
  <c r="M124" i="2"/>
  <c r="U123" i="2"/>
  <c r="V123" i="2" s="1"/>
  <c r="M123" i="2"/>
  <c r="U122" i="2"/>
  <c r="V122" i="2" s="1"/>
  <c r="M122" i="2"/>
  <c r="U121" i="2"/>
  <c r="V121" i="2" s="1"/>
  <c r="M121" i="2"/>
  <c r="U120" i="2"/>
  <c r="V120" i="2" s="1"/>
  <c r="M120" i="2"/>
  <c r="U119" i="2"/>
  <c r="V119" i="2" s="1"/>
  <c r="M119" i="2"/>
  <c r="U118" i="2"/>
  <c r="V118" i="2" s="1"/>
  <c r="M118" i="2"/>
  <c r="U117" i="2"/>
  <c r="V117" i="2" s="1"/>
  <c r="M117" i="2"/>
  <c r="U116" i="2"/>
  <c r="M116" i="2"/>
  <c r="U115" i="2"/>
  <c r="V115" i="2" s="1"/>
  <c r="M115" i="2"/>
  <c r="U114" i="2"/>
  <c r="V114" i="2" s="1"/>
  <c r="M114" i="2"/>
  <c r="U113" i="2"/>
  <c r="V113" i="2" s="1"/>
  <c r="M113" i="2"/>
  <c r="U112" i="2"/>
  <c r="M112" i="2"/>
  <c r="U111" i="2"/>
  <c r="V111" i="2" s="1"/>
  <c r="M111" i="2"/>
  <c r="U110" i="2"/>
  <c r="V110" i="2" s="1"/>
  <c r="U109" i="2"/>
  <c r="V109" i="2" s="1"/>
  <c r="M109" i="2"/>
  <c r="U108" i="2"/>
  <c r="V108" i="2" s="1"/>
  <c r="M108" i="2"/>
  <c r="U107" i="2"/>
  <c r="V107" i="2" s="1"/>
  <c r="M107" i="2"/>
  <c r="U106" i="2"/>
  <c r="V106" i="2" s="1"/>
  <c r="M106" i="2"/>
  <c r="U105" i="2"/>
  <c r="V105" i="2" s="1"/>
  <c r="M105" i="2"/>
  <c r="U104" i="2"/>
  <c r="V104" i="2" s="1"/>
  <c r="M104" i="2"/>
  <c r="U103" i="2"/>
  <c r="V103" i="2" s="1"/>
  <c r="M103" i="2"/>
  <c r="U102" i="2"/>
  <c r="V102" i="2" s="1"/>
  <c r="M102" i="2"/>
  <c r="U101" i="2"/>
  <c r="V101" i="2" s="1"/>
  <c r="M101" i="2"/>
  <c r="U100" i="2"/>
  <c r="V100" i="2" s="1"/>
  <c r="M100" i="2"/>
  <c r="U99" i="2"/>
  <c r="V99" i="2" s="1"/>
  <c r="M99" i="2"/>
  <c r="U98" i="2"/>
  <c r="V98" i="2" s="1"/>
  <c r="M98" i="2"/>
  <c r="U97" i="2"/>
  <c r="V97" i="2" s="1"/>
  <c r="M97" i="2"/>
  <c r="U96" i="2"/>
  <c r="V96" i="2" s="1"/>
  <c r="M96" i="2"/>
  <c r="U95" i="2"/>
  <c r="V95" i="2" s="1"/>
  <c r="M95" i="2"/>
  <c r="U94" i="2"/>
  <c r="V94" i="2" s="1"/>
  <c r="M94" i="2"/>
  <c r="U93" i="2"/>
  <c r="V93" i="2" s="1"/>
  <c r="M93" i="2"/>
  <c r="U92" i="2"/>
  <c r="V92" i="2" s="1"/>
  <c r="M92" i="2"/>
  <c r="U91" i="2"/>
  <c r="V91" i="2" s="1"/>
  <c r="M91" i="2"/>
  <c r="U90" i="2"/>
  <c r="V90" i="2" s="1"/>
  <c r="M90" i="2"/>
  <c r="U89" i="2"/>
  <c r="V89" i="2" s="1"/>
  <c r="M89" i="2"/>
  <c r="U88" i="2"/>
  <c r="V88" i="2" s="1"/>
  <c r="M88" i="2"/>
  <c r="U87" i="2"/>
  <c r="V87" i="2" s="1"/>
  <c r="M87" i="2"/>
  <c r="U86" i="2"/>
  <c r="V86" i="2" s="1"/>
  <c r="M86" i="2"/>
  <c r="U85" i="2"/>
  <c r="V85" i="2" s="1"/>
  <c r="M85" i="2"/>
  <c r="U84" i="2"/>
  <c r="V84" i="2" s="1"/>
  <c r="M84" i="2"/>
  <c r="U83" i="2"/>
  <c r="V83" i="2" s="1"/>
  <c r="M83" i="2"/>
  <c r="U82" i="2"/>
  <c r="V82" i="2" s="1"/>
  <c r="M82" i="2"/>
  <c r="U81" i="2"/>
  <c r="V81" i="2" s="1"/>
  <c r="M81" i="2"/>
  <c r="U80" i="2"/>
  <c r="V80" i="2" s="1"/>
  <c r="M80" i="2"/>
  <c r="U79" i="2"/>
  <c r="V79" i="2" s="1"/>
  <c r="M79" i="2"/>
  <c r="U78" i="2"/>
  <c r="V78" i="2" s="1"/>
  <c r="M78" i="2"/>
  <c r="U77" i="2"/>
  <c r="V77" i="2" s="1"/>
  <c r="M77" i="2"/>
  <c r="U76" i="2"/>
  <c r="V76" i="2" s="1"/>
  <c r="M76" i="2"/>
  <c r="U75" i="2"/>
  <c r="V75" i="2" s="1"/>
  <c r="M75" i="2"/>
  <c r="U74" i="2"/>
  <c r="V74" i="2" s="1"/>
  <c r="M74" i="2"/>
  <c r="U73" i="2"/>
  <c r="V73" i="2" s="1"/>
  <c r="M73" i="2"/>
  <c r="U72" i="2"/>
  <c r="V72" i="2" s="1"/>
  <c r="M72" i="2"/>
  <c r="U71" i="2"/>
  <c r="V71" i="2" s="1"/>
  <c r="M71" i="2"/>
  <c r="U70" i="2"/>
  <c r="V70" i="2" s="1"/>
  <c r="M70" i="2"/>
  <c r="U69" i="2"/>
  <c r="V69" i="2" s="1"/>
  <c r="M69" i="2"/>
  <c r="U68" i="2"/>
  <c r="V68" i="2" s="1"/>
  <c r="M68" i="2"/>
  <c r="U67" i="2"/>
  <c r="V67" i="2" s="1"/>
  <c r="M67" i="2"/>
  <c r="U66" i="2"/>
  <c r="V66" i="2" s="1"/>
  <c r="M66" i="2"/>
  <c r="U65" i="2"/>
  <c r="V65" i="2" s="1"/>
  <c r="M65" i="2"/>
  <c r="U64" i="2"/>
  <c r="V64" i="2" s="1"/>
  <c r="M64" i="2"/>
  <c r="U63" i="2"/>
  <c r="V63" i="2" s="1"/>
  <c r="M63" i="2"/>
  <c r="U62" i="2"/>
  <c r="V62" i="2" s="1"/>
  <c r="M62" i="2"/>
  <c r="U61" i="2"/>
  <c r="V61" i="2" s="1"/>
  <c r="M61" i="2"/>
  <c r="U60" i="2"/>
  <c r="V60" i="2" s="1"/>
  <c r="M60" i="2"/>
  <c r="U59" i="2"/>
  <c r="V59" i="2" s="1"/>
  <c r="M59" i="2"/>
  <c r="U58" i="2"/>
  <c r="V58" i="2" s="1"/>
  <c r="M58" i="2"/>
  <c r="U57" i="2"/>
  <c r="V57" i="2" s="1"/>
  <c r="M57" i="2"/>
  <c r="U56" i="2"/>
  <c r="V56" i="2" s="1"/>
  <c r="M56" i="2"/>
  <c r="U55" i="2"/>
  <c r="V55" i="2" s="1"/>
  <c r="M55" i="2"/>
  <c r="U54" i="2"/>
  <c r="V54" i="2" s="1"/>
  <c r="U53" i="2"/>
  <c r="V53" i="2" s="1"/>
  <c r="M53" i="2"/>
  <c r="U52" i="2"/>
  <c r="V52" i="2" s="1"/>
  <c r="M52" i="2"/>
  <c r="U51" i="2"/>
  <c r="V51" i="2" s="1"/>
  <c r="M51" i="2"/>
  <c r="U50" i="2"/>
  <c r="V50" i="2" s="1"/>
  <c r="M50" i="2"/>
  <c r="U49" i="2"/>
  <c r="V49" i="2" s="1"/>
  <c r="M49" i="2"/>
  <c r="U48" i="2"/>
  <c r="V48" i="2" s="1"/>
  <c r="M48" i="2"/>
  <c r="U47" i="2"/>
  <c r="V47" i="2" s="1"/>
  <c r="M47" i="2"/>
  <c r="U46" i="2"/>
  <c r="V46" i="2" s="1"/>
  <c r="M46" i="2"/>
  <c r="U45" i="2"/>
  <c r="V45" i="2" s="1"/>
  <c r="M45" i="2"/>
  <c r="U44" i="2"/>
  <c r="V44" i="2" s="1"/>
  <c r="M44" i="2"/>
  <c r="U43" i="2"/>
  <c r="V43" i="2" s="1"/>
  <c r="M43" i="2"/>
  <c r="U42" i="2"/>
  <c r="V42" i="2" s="1"/>
  <c r="M42" i="2"/>
  <c r="U41" i="2"/>
  <c r="V41" i="2" s="1"/>
  <c r="M41" i="2"/>
  <c r="U40" i="2"/>
  <c r="V40" i="2" s="1"/>
  <c r="M40" i="2"/>
  <c r="U39" i="2"/>
  <c r="V39" i="2" s="1"/>
  <c r="M39" i="2"/>
  <c r="U38" i="2"/>
  <c r="V38" i="2" s="1"/>
  <c r="M38" i="2"/>
  <c r="U37" i="2"/>
  <c r="V37" i="2" s="1"/>
  <c r="M37" i="2"/>
  <c r="U36" i="2"/>
  <c r="V36" i="2" s="1"/>
  <c r="M36" i="2"/>
  <c r="U35" i="2"/>
  <c r="V35" i="2" s="1"/>
  <c r="M35" i="2"/>
  <c r="U34" i="2"/>
  <c r="V34" i="2" s="1"/>
  <c r="M34" i="2"/>
  <c r="U33" i="2"/>
  <c r="V33" i="2" s="1"/>
  <c r="M33" i="2"/>
  <c r="U32" i="2"/>
  <c r="V32" i="2" s="1"/>
  <c r="O32" i="2"/>
  <c r="M32" i="2"/>
  <c r="U31" i="2"/>
  <c r="V31" i="2" s="1"/>
  <c r="O31" i="2"/>
  <c r="M31" i="2"/>
  <c r="U30" i="2"/>
  <c r="V30" i="2" s="1"/>
  <c r="O30" i="2"/>
  <c r="U29" i="2"/>
  <c r="V29" i="2" s="1"/>
  <c r="O29" i="2"/>
  <c r="M29" i="2"/>
  <c r="U28" i="2"/>
  <c r="V28" i="2" s="1"/>
  <c r="O28" i="2"/>
  <c r="M28" i="2"/>
  <c r="U27" i="2"/>
  <c r="V27" i="2" s="1"/>
  <c r="O27" i="2"/>
  <c r="M27" i="2"/>
  <c r="U26" i="2"/>
  <c r="V26" i="2" s="1"/>
  <c r="O26" i="2"/>
  <c r="M26" i="2"/>
  <c r="M25" i="2"/>
  <c r="U25" i="2"/>
  <c r="V25" i="2" s="1"/>
  <c r="O25" i="2"/>
  <c r="U24" i="2"/>
  <c r="V24" i="2" s="1"/>
  <c r="M24" i="2"/>
  <c r="U23" i="2"/>
  <c r="V23" i="2" s="1"/>
  <c r="M23" i="2"/>
  <c r="U22" i="2"/>
  <c r="V22" i="2" s="1"/>
  <c r="M22" i="2"/>
  <c r="U21" i="2"/>
  <c r="V21" i="2" s="1"/>
  <c r="M21" i="2"/>
  <c r="U20" i="2"/>
  <c r="V20" i="2" s="1"/>
  <c r="M20" i="2"/>
  <c r="U19" i="2"/>
  <c r="V19" i="2" s="1"/>
  <c r="M19" i="2"/>
  <c r="U18" i="2"/>
  <c r="V18" i="2" s="1"/>
  <c r="M18" i="2"/>
  <c r="U17" i="2"/>
  <c r="V17" i="2" s="1"/>
  <c r="M17" i="2"/>
  <c r="U16" i="2"/>
  <c r="V16" i="2" s="1"/>
  <c r="O16" i="2"/>
  <c r="M16" i="2"/>
  <c r="U15" i="2"/>
  <c r="V15" i="2" s="1"/>
  <c r="O15" i="2"/>
  <c r="M15" i="2"/>
  <c r="U14" i="2"/>
  <c r="V14" i="2" s="1"/>
  <c r="O14" i="2"/>
  <c r="M14" i="2"/>
  <c r="U13" i="2"/>
  <c r="V13" i="2" s="1"/>
  <c r="M13" i="2"/>
  <c r="U12" i="2"/>
  <c r="V12" i="2" s="1"/>
  <c r="M12" i="2"/>
  <c r="U11" i="2"/>
  <c r="V11" i="2" s="1"/>
  <c r="M11" i="2"/>
  <c r="U10" i="2"/>
  <c r="V10" i="2" s="1"/>
  <c r="M10" i="2"/>
  <c r="U9" i="2"/>
  <c r="V9" i="2" s="1"/>
  <c r="M9" i="2"/>
  <c r="U8" i="2"/>
  <c r="V8" i="2" s="1"/>
  <c r="M8" i="2"/>
  <c r="U7" i="2"/>
  <c r="V7" i="2" s="1"/>
  <c r="M7" i="2"/>
  <c r="U6" i="2"/>
  <c r="V6" i="2" s="1"/>
  <c r="M6" i="2"/>
  <c r="U5" i="2"/>
  <c r="V5" i="2" s="1"/>
  <c r="O5" i="2"/>
  <c r="M5" i="2"/>
  <c r="U4" i="2"/>
  <c r="V4" i="2" s="1"/>
  <c r="O4" i="2"/>
  <c r="M4" i="2"/>
  <c r="U3" i="2"/>
  <c r="V3" i="2" s="1"/>
  <c r="O3" i="2"/>
  <c r="M3" i="2"/>
  <c r="V409" i="2"/>
  <c r="V430" i="2"/>
  <c r="V480" i="2"/>
  <c r="V393" i="2"/>
  <c r="V478" i="2"/>
  <c r="V483" i="2"/>
  <c r="V329" i="2"/>
  <c r="V443" i="2"/>
  <c r="V248" i="2"/>
  <c r="V492" i="2"/>
  <c r="V495" i="2"/>
  <c r="V116" i="2"/>
  <c r="V171" i="2"/>
  <c r="V215" i="2"/>
  <c r="V338" i="2"/>
  <c r="V320" i="2"/>
  <c r="V322" i="2"/>
  <c r="V377" i="2"/>
  <c r="V429" i="2"/>
  <c r="V539" i="2"/>
  <c r="V563" i="2"/>
  <c r="V571" i="2"/>
  <c r="V155" i="2"/>
  <c r="V275" i="2"/>
  <c r="V278" i="2"/>
  <c r="V308" i="2"/>
  <c r="V312" i="2"/>
  <c r="V421" i="2"/>
  <c r="V482" i="2"/>
  <c r="V514" i="2"/>
  <c r="V525" i="2"/>
  <c r="V544" i="2"/>
  <c r="V552" i="2"/>
  <c r="V568" i="2"/>
  <c r="V576" i="2"/>
  <c r="V234" i="2"/>
  <c r="V242" i="2"/>
  <c r="V354" i="2"/>
  <c r="V358" i="2"/>
  <c r="V376" i="2"/>
  <c r="V417" i="2"/>
  <c r="V463" i="2"/>
  <c r="V484" i="2"/>
  <c r="V516" i="2"/>
  <c r="V575" i="2"/>
  <c r="V583" i="2"/>
  <c r="V149" i="2"/>
  <c r="V222" i="2"/>
  <c r="V297" i="2"/>
  <c r="V513" i="2"/>
  <c r="V161" i="2"/>
  <c r="V395" i="2"/>
  <c r="V439" i="2"/>
  <c r="V475" i="2"/>
  <c r="V491" i="2"/>
  <c r="V494" i="2"/>
  <c r="V510" i="2"/>
  <c r="V515" i="2"/>
  <c r="V560" i="2"/>
  <c r="V574" i="2"/>
  <c r="V582" i="2"/>
  <c r="V584" i="2"/>
  <c r="V207" i="2"/>
  <c r="V228" i="2"/>
  <c r="V230" i="2"/>
  <c r="V233" i="2"/>
  <c r="V236" i="2"/>
  <c r="V279" i="2"/>
  <c r="V282" i="2"/>
  <c r="V285" i="2"/>
  <c r="V305" i="2"/>
  <c r="V333" i="2"/>
  <c r="V335" i="2"/>
  <c r="V355" i="2"/>
  <c r="V387" i="2"/>
  <c r="V441" i="2"/>
  <c r="V488" i="2"/>
  <c r="V518" i="2"/>
  <c r="V540" i="2"/>
  <c r="V579" i="2"/>
  <c r="V551" i="2"/>
  <c r="V554" i="2"/>
  <c r="V567" i="2"/>
  <c r="V238" i="2"/>
  <c r="V269" i="2"/>
  <c r="V271" i="2"/>
  <c r="V287" i="2"/>
  <c r="V309" i="2"/>
  <c r="V324" i="2"/>
  <c r="V327" i="2"/>
  <c r="V336" i="2"/>
  <c r="V374" i="2"/>
  <c r="V389" i="2"/>
  <c r="V400" i="2"/>
  <c r="V402" i="2"/>
  <c r="V416" i="2"/>
  <c r="V419" i="2"/>
  <c r="V471" i="2"/>
  <c r="V479" i="2"/>
  <c r="V548" i="2"/>
  <c r="V553" i="2"/>
  <c r="V217" i="2"/>
  <c r="V232" i="2"/>
  <c r="V265" i="2"/>
  <c r="V281" i="2"/>
  <c r="V321" i="2"/>
  <c r="V334" i="2"/>
  <c r="V378" i="2"/>
  <c r="V396" i="2"/>
  <c r="V413" i="2"/>
  <c r="V473" i="2"/>
  <c r="V542" i="2"/>
  <c r="V556" i="2"/>
  <c r="V564" i="2"/>
  <c r="V541" i="2"/>
  <c r="V112" i="2"/>
  <c r="V245" i="2"/>
  <c r="V247" i="2"/>
  <c r="V272" i="2"/>
  <c r="V323" i="2"/>
  <c r="V349" i="2"/>
  <c r="V362" i="2"/>
  <c r="V370" i="2"/>
  <c r="V373" i="2"/>
  <c r="V375" i="2"/>
  <c r="V459" i="2"/>
  <c r="V461" i="2"/>
  <c r="V536" i="2"/>
  <c r="V549" i="2"/>
  <c r="V566" i="2"/>
  <c r="V569" i="2"/>
  <c r="V572" i="2"/>
  <c r="V201" i="2"/>
  <c r="V243" i="2"/>
  <c r="V262" i="2"/>
  <c r="V266" i="2"/>
  <c r="V268" i="2"/>
  <c r="V291" i="2"/>
  <c r="V302" i="2"/>
  <c r="V317" i="2"/>
  <c r="V342" i="2"/>
  <c r="V359" i="2"/>
  <c r="V361" i="2"/>
  <c r="V364" i="2"/>
  <c r="V380" i="2"/>
  <c r="V386" i="2"/>
  <c r="V397" i="2"/>
  <c r="V447" i="2"/>
  <c r="V493" i="2"/>
  <c r="V521" i="2"/>
  <c r="V527" i="2"/>
  <c r="V559" i="2"/>
  <c r="V562" i="2"/>
  <c r="V578" i="2"/>
  <c r="V218" i="2"/>
  <c r="V231" i="2"/>
  <c r="V237" i="2"/>
  <c r="V240" i="2"/>
  <c r="V270" i="2"/>
  <c r="V280" i="2"/>
  <c r="V286" i="2"/>
  <c r="V289" i="2"/>
  <c r="V311" i="2"/>
  <c r="V328" i="2"/>
  <c r="V331" i="2"/>
  <c r="V352" i="2"/>
  <c r="V363" i="2"/>
  <c r="V401" i="2"/>
  <c r="V435" i="2"/>
  <c r="V449" i="2"/>
  <c r="V467" i="2"/>
  <c r="V470" i="2"/>
  <c r="V481" i="2"/>
  <c r="V487" i="2"/>
  <c r="V490" i="2"/>
  <c r="V498" i="2"/>
  <c r="V512" i="2"/>
  <c r="V526" i="2"/>
  <c r="V547" i="2"/>
  <c r="V550" i="2"/>
  <c r="V565" i="2"/>
  <c r="V581" i="2"/>
  <c r="V220" i="2"/>
  <c r="V224" i="2"/>
  <c r="V226" i="2"/>
  <c r="V274" i="2"/>
  <c r="V277" i="2"/>
  <c r="V307" i="2"/>
  <c r="V319" i="2"/>
  <c r="V330" i="2"/>
  <c r="V350" i="2"/>
  <c r="V356" i="2"/>
  <c r="V369" i="2"/>
  <c r="V372" i="2"/>
  <c r="V403" i="2"/>
  <c r="V437" i="2"/>
  <c r="V455" i="2"/>
  <c r="V469" i="2"/>
  <c r="V511" i="2"/>
  <c r="V535" i="2"/>
  <c r="V538" i="2"/>
  <c r="V239" i="2"/>
  <c r="V263" i="2"/>
  <c r="V267" i="2"/>
  <c r="V288" i="2"/>
  <c r="V318" i="2"/>
  <c r="V360" i="2"/>
  <c r="V371" i="2"/>
  <c r="V391" i="2"/>
  <c r="V398" i="2"/>
  <c r="V423" i="2"/>
  <c r="V457" i="2"/>
  <c r="V489" i="2"/>
  <c r="V517" i="2"/>
  <c r="V520" i="2"/>
  <c r="V537" i="2"/>
  <c r="V555" i="2"/>
  <c r="V558" i="2"/>
  <c r="V561" i="2"/>
  <c r="V577" i="2"/>
  <c r="V196" i="2"/>
  <c r="V445" i="2"/>
  <c r="V477" i="2"/>
  <c r="V519" i="2"/>
  <c r="V543" i="2"/>
  <c r="V546" i="2"/>
  <c r="V557" i="2"/>
  <c r="V570" i="2"/>
  <c r="V205" i="2"/>
  <c r="V216" i="2"/>
  <c r="V221" i="2"/>
  <c r="V225" i="2"/>
  <c r="V246" i="2"/>
  <c r="V273" i="2"/>
  <c r="V290" i="2"/>
  <c r="V292" i="2"/>
  <c r="V295" i="2"/>
  <c r="V326" i="2"/>
  <c r="V346" i="2"/>
  <c r="V357" i="2"/>
  <c r="V365" i="2"/>
  <c r="V368" i="2"/>
  <c r="V379" i="2"/>
  <c r="V433" i="2"/>
  <c r="V451" i="2"/>
  <c r="V465" i="2"/>
  <c r="V496" i="2"/>
  <c r="V528" i="2"/>
  <c r="V534" i="2"/>
  <c r="V545" i="2"/>
  <c r="V573" i="2"/>
  <c r="V229" i="2"/>
  <c r="V235" i="2"/>
  <c r="V241" i="2"/>
  <c r="V244" i="2"/>
  <c r="V254" i="2"/>
  <c r="V264" i="2"/>
  <c r="V284" i="2"/>
  <c r="V310" i="2"/>
  <c r="V332" i="2"/>
  <c r="V351" i="2"/>
  <c r="V353" i="2"/>
  <c r="V367" i="2"/>
  <c r="V399" i="2"/>
  <c r="V453" i="2"/>
  <c r="V485" i="2"/>
  <c r="V530" i="2"/>
  <c r="G23" i="8" l="1"/>
</calcChain>
</file>

<file path=xl/sharedStrings.xml><?xml version="1.0" encoding="utf-8"?>
<sst xmlns="http://schemas.openxmlformats.org/spreadsheetml/2006/main" count="35688" uniqueCount="1588">
  <si>
    <t>UT_LEVEL_CODE_30_DSCR</t>
  </si>
  <si>
    <t>IBM_SW_PILLAR_CODE</t>
  </si>
  <si>
    <t>IBM_SW_FAM_CODE</t>
  </si>
  <si>
    <t>IBM_PROD_ID</t>
  </si>
  <si>
    <t>IBM_PROD_ID_DSCR</t>
  </si>
  <si>
    <t>WWIDE_PROD_CODE_DSCR</t>
  </si>
  <si>
    <t>Eligible Part List Price</t>
  </si>
  <si>
    <t>Eligible Part #</t>
  </si>
  <si>
    <t>Eligible Part Description</t>
  </si>
  <si>
    <t>Eligible Part Parent Lic + S&amp;S Part #</t>
  </si>
  <si>
    <t>CU_DSCR</t>
  </si>
  <si>
    <t>AppPoint for upgrade</t>
  </si>
  <si>
    <t>Upgrade Price Metric Conversion</t>
  </si>
  <si>
    <t>MAS AppPoint (Ltd, Base, Prm)</t>
  </si>
  <si>
    <t>Price Metric Conversion</t>
  </si>
  <si>
    <t>Parent Lic + S&amp;S Part # US List Price</t>
  </si>
  <si>
    <t>Part Type</t>
  </si>
  <si>
    <t>Offering name</t>
  </si>
  <si>
    <t>Core/IS/Add-ons/Anywhere</t>
  </si>
  <si>
    <t>AUTHORIZED</t>
  </si>
  <si>
    <t>Add-on Parts</t>
  </si>
  <si>
    <t>Enterprise Asset Management</t>
  </si>
  <si>
    <t>MAXIMO</t>
  </si>
  <si>
    <t>MXA ANYWHERE</t>
  </si>
  <si>
    <t>5725M39</t>
  </si>
  <si>
    <t>IBM Maximo Anywhere</t>
  </si>
  <si>
    <t>Maximo Anywhere</t>
  </si>
  <si>
    <t>E0K39LL</t>
  </si>
  <si>
    <t>IBM MAXIMO ANYWHERE ADD-ON AUTHORIZED USER ANNUAL SW SUBSCRIPTION &amp; SUPPORT RENEWAL</t>
  </si>
  <si>
    <t>D17CCLL</t>
  </si>
  <si>
    <t>Authorized User</t>
  </si>
  <si>
    <t>Renewal</t>
  </si>
  <si>
    <t>IBM MAXIMO ANYWHERE ADD-ON AUTHORIZED USER LICENSE + SW SUBSCRIPTION &amp; SUPPORT 12 MONTHS</t>
  </si>
  <si>
    <t>License + S&amp;S</t>
  </si>
  <si>
    <t>D17CDLL</t>
  </si>
  <si>
    <t>IBM MAXIMO ANYWHERE ADD-ON AUTHORIZED USER SW SUBSCRIPTION &amp; SUPPORT REINSTATEMENT 12 MONTHS</t>
  </si>
  <si>
    <t>Reinstatement</t>
  </si>
  <si>
    <t>E0N3QLL</t>
  </si>
  <si>
    <t>IBM MAXIMO ANYWHERE ADD-ON CONCURRENT USER ANNUAL SW SUBSCRIPTION &amp; SUPPORT RENEWAL 12 MONTHS</t>
  </si>
  <si>
    <t>D1QBGLL</t>
  </si>
  <si>
    <t>Concurrent User</t>
  </si>
  <si>
    <t>IBM MAXIMO ANYWHERE ADD-ON CONCURRENT USER LICENSE + SW SUBSCRIPTION &amp; SUPPORT 12 MONTHS</t>
  </si>
  <si>
    <t>ANYWHERE</t>
  </si>
  <si>
    <t>D1QBHLL</t>
  </si>
  <si>
    <t>IBM MAXIMO ANYWHERE ADD-ON CONCURRENT USER SW SUBSCRIPTION &amp; SUPPORT REINSTATEMENT 12 MONTHS</t>
  </si>
  <si>
    <t>D1QBMLL</t>
  </si>
  <si>
    <t>IBM MAXIMO ANYWHERE ADD-ON CONCURRENT USER LINUX ON Z SYSTEM TRADE UP FROM 3 MAXIMO ANYWHERE ADD-ON AUTHORIZED USER ON Z SYSTEM + SW SUBSCRIPTION &amp; SUPPORT 12 MONTHS</t>
  </si>
  <si>
    <t>D1QBKLL</t>
  </si>
  <si>
    <t>Trade-Up</t>
  </si>
  <si>
    <t>E0N3RLL</t>
  </si>
  <si>
    <t>IBM MAXIMO ANYWHERE ADD-ON CONCURRENT USER LINUX Z SYSTEM ANNUAL SW SUBSCRIPTION &amp; SUPPORT RENEWAL</t>
  </si>
  <si>
    <t>IBM MAXIMO ANYWHERE ADD-ON CONCURRENT USER LINUX Z SYSTEM SW SUBSCRIPTION &amp; SUPPORT 12 MONTHS</t>
  </si>
  <si>
    <t>D1QBLLL</t>
  </si>
  <si>
    <t>IBM MAXIMO ANYWHERE ADD-ON CONCURRENT USER LINUX Z SYSTEM SW SUBSCRIPTION &amp; SUPPORT REINSTATEMENT 12 MONTHS</t>
  </si>
  <si>
    <t>D1QBILL</t>
  </si>
  <si>
    <t>IBM MAXIMO ANYWHERE ADD-ON CONCURRENT USER TRADE UP FROM 3 MAXIMO ANYWHERE ADD-ON AUTHORIZED USER + SW SUBSCRIPTION &amp; SUPPORT 12 MONTHS</t>
  </si>
  <si>
    <t>E0K3ALL</t>
  </si>
  <si>
    <t>IBM MAXIMO ANYWHERE ADD-ON FOR LINUX ON SYSTEM Z AUTHORIZED USER ANNUAL SW SUBSCRIPTION &amp; SUPPORT RENEWAL</t>
  </si>
  <si>
    <t>D17CELL</t>
  </si>
  <si>
    <t>IBM MAXIMO ANYWHERE ADD-ON FOR LINUX ON SYSTEM Z AUTHORIZED USER LICENSE + SW SUBSCRIPTION &amp; SUPPORT 12 MONTHS</t>
  </si>
  <si>
    <t>D17CFLL</t>
  </si>
  <si>
    <t>IBM MAXIMO ANYWHERE ADD-ON FOR LINUX ON SYSTEM Z AUTHORIZED USER SW SUBSCRIPTION &amp; SUPPORT REINSTATEMENT 12 MONTHS</t>
  </si>
  <si>
    <t>E0N3NLL</t>
  </si>
  <si>
    <t>IBM MAXIMO ANYWHERE CONCURRENT USER ANNUAL SW SUBSCRIPTION &amp; SUPPORT RENEWAL 12 MONTHS</t>
  </si>
  <si>
    <t>D1QB8LL</t>
  </si>
  <si>
    <t>IBM MAXIMO ANYWHERE CONCURRENT USER LICENSE + SW SUBSCRIPTION &amp; SUPPORT 12 MONTHS</t>
  </si>
  <si>
    <t>D1QB9LL</t>
  </si>
  <si>
    <t>IBM MAXIMO ANYWHERE CONCURRENT USER SW SUBSCRIPTION &amp; SUPPORT REINSTATEMENT 12 MONTHS</t>
  </si>
  <si>
    <t>D1QBELL</t>
  </si>
  <si>
    <t>IBM MAXIMO ANYWHERE CONCURRENT USER LINUX ON Z SYSTEM TRADE UP FROM 3 MAXIMO ANYWHERE AUTHORIZED USER ON Z SYSTEM + SW SUBSCRIPTION &amp; SUPPORT 12 MONTHS</t>
  </si>
  <si>
    <t>E0N3PLL</t>
  </si>
  <si>
    <t>IBM MAXIMO ANYWHERE CONCURRENT USER LINUX Z SYSTEM ANNUAL SW SUBSCRIPTION &amp; SUPPORT RENEWAL</t>
  </si>
  <si>
    <t>D1QBCLL</t>
  </si>
  <si>
    <t>IBM MAXIMO ANYWHERE CONCURRENT USER LINUX Z SYSTEM SW SUBSCRIPTION &amp; SUPPORT 12 MONTHS</t>
  </si>
  <si>
    <t>D1QBDLL</t>
  </si>
  <si>
    <t>IBM MAXIMO ANYWHERE CONCURRENT USER LINUX Z SYSTEM SW SUBSCRIPTION &amp; SUPPORT REINSTATEMENT 12 MONTHS</t>
  </si>
  <si>
    <t>D1QBALL</t>
  </si>
  <si>
    <t>IBM MAXIMO ANYWHERE CONCURRENT USER TRADE UP FROM 3 MAXIMO ANYWHERE AUTHORIZED USER + SW SUBSCRIPTION &amp; SUPPORT 12 MONTHS</t>
  </si>
  <si>
    <t>D10SCLL</t>
  </si>
  <si>
    <t>IBM MAXIMO ANYWHERE FOR LINUX ON SYSTEM Z AUTHORIZED USER FROM MAXIMO EVERYPLACE FOR LINUX ON SYSTEM Z AUTHORIZED USER TRADE UP LICENSE + SW SUBSCRIPTION &amp; SUPPORT 12 MONTHS</t>
  </si>
  <si>
    <t>E0I3ZLL</t>
  </si>
  <si>
    <t>IBM MAXIMO ANYWHERE FOR LINUX ON SYSTEM Z AUTHORIZED USER ANNUAL SW SUBSCRIPTION &amp; SUPPORT RENEWAL</t>
  </si>
  <si>
    <t>D10SALL</t>
  </si>
  <si>
    <t>IBM MAXIMO ANYWHERE FOR LINUX ON SYSTEM Z AUTHORIZED USER LICENSE + SW SUBSCRIPTION &amp; SUPPORT 12 MONTHS</t>
  </si>
  <si>
    <t>D10SBLL</t>
  </si>
  <si>
    <t>IBM MAXIMO ANYWHERE FOR LINUX ON SYSTEM Z AUTHORIZED USER SW SUBSCRIPTION &amp; SUPPORT REINSTATE 12 MONTHS</t>
  </si>
  <si>
    <t>D10RBLL</t>
  </si>
  <si>
    <t>IBM MAXIMO ANYWHERE PER AUTHORIZED USER FROM MAXIMO EVERYPLACE AUTHORIZED USER TRADE UP LICENSE + SW SUBSCRIPTION &amp; SUPPORT 12 MONTHS</t>
  </si>
  <si>
    <t>E0I3NLL</t>
  </si>
  <si>
    <t>IBM MAXIMO ANYWHERE PER AUTHORIZED USER ANNUAL SW SUBSCRIPTION &amp; SUPPORT RENEWAL</t>
  </si>
  <si>
    <t>D10R9LL</t>
  </si>
  <si>
    <t>IBM MAXIMO ANYWHERE PER AUTHORIZED USER LICENSE + SW SUBSCRIPTION &amp; SUPPORT 12 MONTHS</t>
  </si>
  <si>
    <t>D10RALL</t>
  </si>
  <si>
    <t>IBM MAXIMO ANYWHERE PER AUTHORIZED USER SW SUBSCRIPTION &amp; SUPPORT REINSTATE 12 MONTHS</t>
  </si>
  <si>
    <t>MXA CONFIG</t>
  </si>
  <si>
    <t>5724U28</t>
  </si>
  <si>
    <t>IBM Maximo Asset Configuration Manager</t>
  </si>
  <si>
    <t>Maximo Asset Configuration Manager</t>
  </si>
  <si>
    <t>E04QNLL</t>
  </si>
  <si>
    <t>IBM MAXIMO ASSET CONFIGURATION MANAGER ASSET ANNUAL SW SUBSCRIPTION &amp; SUPPORT RENEWAL</t>
  </si>
  <si>
    <t>D03WULL</t>
  </si>
  <si>
    <t>Asset</t>
  </si>
  <si>
    <t>Manual Input required</t>
  </si>
  <si>
    <t>IBM MAXIMO ASSET CONFIGURATION MANAGER ASSET LICENSE + SW SUBSCRIPTION &amp; SUPPORT 12 MONTHS</t>
  </si>
  <si>
    <t>D03WVLL</t>
  </si>
  <si>
    <t>IBM MAXIMO ASSET CONFIGURATION MANAGER ASSET SW SUBSCRIPTION &amp; SUPPORT REINSTATEMENT 12 MONTHS</t>
  </si>
  <si>
    <t>E04QQLL</t>
  </si>
  <si>
    <t>IBM MAXIMO ASSET CONFIGURATION MANAGER AUTHORIZED USER ANNUAL SW SUBSCRIPTION &amp; SUPPORT RENEWAL</t>
  </si>
  <si>
    <t>D03WYLL</t>
  </si>
  <si>
    <t>IBM MAXIMO ASSET CONFIGURATION MANAGER AUTHORIZED USER LICENSE + SW SUBSCRIPTION &amp; SUPPORT 12 MONTHS</t>
  </si>
  <si>
    <t>D03WZLL</t>
  </si>
  <si>
    <t>IBM MAXIMO ASSET CONFIGURATION MANAGER AUTHORIZED USER SW SUBSCRIPTION &amp; SUPPORT REINSTATEMENT 12 MONTHS</t>
  </si>
  <si>
    <t>E0N3LLL</t>
  </si>
  <si>
    <t>IBM MAXIMO ASSET CONFIGURATION MANAGER CONCURRENT USER ANNUAL SW SUBSCRIPTION &amp; SUPPORT RENEWAL 12 MONTHS</t>
  </si>
  <si>
    <t>D1QB0LL</t>
  </si>
  <si>
    <t>IBM MAXIMO ASSET CONFIGURATION MANAGER CONCURRENT USER LICENSE + SW SUBSCRIPTION &amp; SUPPORT 12 MONTHS</t>
  </si>
  <si>
    <t>D1QB1LL</t>
  </si>
  <si>
    <t>IBM MAXIMO ASSET CONFIGURATION MANAGER CONCURRENT USER SW SUBSCRIPTION &amp; SUPPORT REINSTATEMENT 12 MONTHS</t>
  </si>
  <si>
    <t>D1QB6LL</t>
  </si>
  <si>
    <t>IBM MAXIMO ASSET CONFIGURATION MANAGER CONCURRENT USER LINUX ON Z SYSTEM TRADE UP FROM 3 MAXIMO ASSET CONFIGURATION MANAGER AUTHORIZED USER ON Z SYSTEM + SW SUBSCRIPTION &amp; SUPPORT 12 MONTHS</t>
  </si>
  <si>
    <t>D1QB4LL</t>
  </si>
  <si>
    <t>E0N3MLL</t>
  </si>
  <si>
    <t>IBM MAXIMO ASSET CONFIGURATION MANAGER CONCURRENT USER LINUX Z SYSTEM ANNUAL SW SUBSCRIPTION &amp; SUPPORT RENEWAL</t>
  </si>
  <si>
    <t>IBM MAXIMO ASSET CONFIGURATION MANAGER CONCURRENT USER LINUX Z SYSTEM + SW SUBSCRIPTION &amp; SUPPORT 12 MONTHS</t>
  </si>
  <si>
    <t>D1QB5LL</t>
  </si>
  <si>
    <t>IBM MAXIMO ASSET CONFIGURATION MANAGER CONCURRENT USER LINUX Z SYSTEM SW SUBSCRIPTION &amp; SUPPORT REINSTATEMENT 12 MONTHS</t>
  </si>
  <si>
    <t>D1QB2LL</t>
  </si>
  <si>
    <t>IBM MAXIMO ASSET CONFIGURATION MANAGER CONCURRENT USER TRADE UP FROM 3 MAXIMO ASSET CONFIGURATION MANAGER AUTHORIZED USER + SW SUBSCRIPTION &amp; SUPPORT 12 MONTHS</t>
  </si>
  <si>
    <t>E05USLL</t>
  </si>
  <si>
    <t>IBM MAXIMO ASSET CONFIGURATION MANAGER FOR LINUX ON SYSTEM Z ASSET SW SUBSCRIPTION &amp; SUPPORT RENEWAL</t>
  </si>
  <si>
    <t>D06GFLL</t>
  </si>
  <si>
    <t>IBM MAXIMO ASSET CONFIGURATION MANAGER FOR LINUX ON SYSTEM Z ASSET LICENSE + SW SUBSCRIPTION &amp; SUPPORT 12 MONTHS</t>
  </si>
  <si>
    <t>D06GGLL</t>
  </si>
  <si>
    <t>IBM MAXIMO ASSET CONFIGURATION MANAGER FOR LINUX ON SYSTEM Z ASSET SW SUBSCRIPTION &amp; SUPPORT REINSTATEMENT 12 MONTHS</t>
  </si>
  <si>
    <t>E05UYLL</t>
  </si>
  <si>
    <t>IBM MAXIMO ASSET CONFIGURATION MANAGER FOR LINUX ON SYSTEM Z AUTHORIZED USER SW SUBSCRIPTION &amp; SUPPORT RENEWAL</t>
  </si>
  <si>
    <t>D06GWLL</t>
  </si>
  <si>
    <t>IBM MAXIMO ASSET CONFIGURATION MANAGER FOR LINUX ON SYSTEM Z AUTHORIZED USER LICENSE + SW SUBSCRIPTION &amp; SUPPORT 12 MONTHS</t>
  </si>
  <si>
    <t>D06GXLL</t>
  </si>
  <si>
    <t>IBM MAXIMO ASSET CONFIGURATION MANAGER FOR LINUX ON SYSTEM Z AUTHORIZED USER SW SUBSCRIPTION &amp; SUPPORT REINSTATEMENT 12 MONTHS</t>
  </si>
  <si>
    <t>MX CORE</t>
  </si>
  <si>
    <t>5724U18</t>
  </si>
  <si>
    <t>IBM Maximo Asset Management</t>
  </si>
  <si>
    <t>Maximo Asset Management</t>
  </si>
  <si>
    <t>D0T0NLL</t>
  </si>
  <si>
    <t>IBM MAXIMO ASSET MANAGEMENT AUTHORIZED USER FROM MAXIMO ASSET MANAGEMENT LIMITED USE AUTHORIZED USER TRADE UP LICENCE + SW SUBSCRIPTION &amp; SUPPORT 12 MONTHS</t>
  </si>
  <si>
    <t>D0GYALL</t>
  </si>
  <si>
    <t>E0AUULL</t>
  </si>
  <si>
    <t>IBM MAXIMO ASSET MANAGEMENT AUTHORIZED USER ANNUAL SW SUBSCRIPTION &amp; SUPPORT RENEWAL</t>
  </si>
  <si>
    <t>IBM MAXIMO ASSET MANAGEMENT AUTHORIZED USER LICENSE + SW SUBSCRIPTION &amp; SUPPORT 12 MONTHS</t>
  </si>
  <si>
    <t>D0GYBLL</t>
  </si>
  <si>
    <t>IBM MAXIMO ASSET MANAGEMENT AUTHORIZED USER SW SUBSCRIPTION &amp; SUPPORT REINSTATEMENT 12 MONTHS</t>
  </si>
  <si>
    <t>E0N2NLL</t>
  </si>
  <si>
    <t>IBM MAXIMO ASSET MANAGEMENT CONCURRENT USER ANNUAL SW SUBSCRIPTION &amp; SUPPORT RENEWAL 12 MONTHS</t>
  </si>
  <si>
    <t>D1Q6ELL</t>
  </si>
  <si>
    <t>IBM MAXIMO ASSET MANAGEMENT CONCURRENT USER LICENSE + SW SUBSCRIPTION &amp; SUPPORT 12 MONTHS</t>
  </si>
  <si>
    <t>D1Q6FLL</t>
  </si>
  <si>
    <t>IBM MAXIMO ASSET MANAGEMENT CONCURRENT USER SW SUBSCRIPTION &amp; SUPPORT REINSTATEMENT 12 MONTHS</t>
  </si>
  <si>
    <t>D1SVWLL</t>
  </si>
  <si>
    <t>IBM MAXIMO ASSET MANAGEMENT CONCURRENT USER LINUX ON SYSTEM Z TRADE UP FROM 3 MAXIMO ASSET MANAGEMENT LIMITED USER ON SYSTEM Z</t>
  </si>
  <si>
    <t>D1Q6JLL</t>
  </si>
  <si>
    <t>D1Q6LLL</t>
  </si>
  <si>
    <t>IBM MAXIMO ASSET MANAGEMENT CONCURRENT USER LINUX ON Z SYSTEM TRADE UP FROM 3 MAXIMO ASSET MANAGEMENT AUTHORIZED USER ON Z SYSTEM + SW SUBSCRIPTION &amp; SUPPORT 12 MONTHS</t>
  </si>
  <si>
    <t>D1Q6MLL</t>
  </si>
  <si>
    <t>IBM MAXIMO ASSET MANAGEMENT CONCURRENT USER LINUX ON Z SYSTEM TRADE UP FROM MAXIMO ASSET MANAGEMENT EXPRESS USE CONCURRENT USER LINUX ON Z SYSTEM + SW SUBSCRIPTION &amp; SUPPORT 12 MONTHS</t>
  </si>
  <si>
    <t>E0N2PLL</t>
  </si>
  <si>
    <t>IBM MAXIMO ASSET MANAGEMENT CONCURRENT USER LINUX Z SYSTEM ANNUAL SW SUBSCRIPTION &amp; SUPPORT RENEWAL</t>
  </si>
  <si>
    <t>IBM MAXIMO ASSET MANAGEMENT CONCURRENT USER LINUX Z SYSTEM + SW SUBSCRIPTION &amp; SUPPORT 12 MONTHS</t>
  </si>
  <si>
    <t>D1Q6KLL</t>
  </si>
  <si>
    <t>IBM MAXIMO ASSET MANAGEMENT CONCURRENT USER LINUX Z SYSTEM SW SUBSCRIPTION &amp; SUPPORT REINSTATEMENT 12 MONTHS</t>
  </si>
  <si>
    <t>D1Q6GLL</t>
  </si>
  <si>
    <t>IBM MAXIMO ASSET MANAGEMENT CONCURRENT USER TRADE UP FROM 3 MAXIMO ASSET MANAGEMENT AUTHORIZED USER + SW SUBSCRIPTION &amp; SUPPORT 12 MONTHS</t>
  </si>
  <si>
    <t>D1SVVLL</t>
  </si>
  <si>
    <t>IBM MAXIMO ASSET MANAGEMENT CONCURRENT USER TRADE UP FROM 3 MAXIMO ASSET MANAGEMENT LIMITED USER</t>
  </si>
  <si>
    <t>D1Q6HLL</t>
  </si>
  <si>
    <t>IBM MAXIMO ASSET MANAGEMENT CONCURRENT USER TRADE UP FROM MAXIMO ASSET MANAGEMENT EXPRESS USE CONCURRENT USER + SW SUBSCRIPTION &amp; SUPPORT 12 MONTHS</t>
  </si>
  <si>
    <t>E0ED7LL</t>
  </si>
  <si>
    <t>IBM MAXIMO ASSET MANAGEMENT EXPRESS USE AUTHORIZED USER ANNUAL SW SUBSCRIPTION &amp; SUPPORT RENEWAL</t>
  </si>
  <si>
    <t>D0S8KLL</t>
  </si>
  <si>
    <t>IBM MAXIMO ASSET MANAGEMENT EXPRESS USE AUTHORIZED USER LICENCE + SW SUBSCRIPTION &amp; SUPPORT 12 MONTHS</t>
  </si>
  <si>
    <t>D0S8LLL</t>
  </si>
  <si>
    <t>IBM MAXIMO ASSET MANAGEMENT EXPRESS USE AUTHORIZED USER SW SUBSCRIPTION &amp; SUPPORT REINSTATEMENT 12 MONTHS</t>
  </si>
  <si>
    <t>E0LM7LL</t>
  </si>
  <si>
    <t>IBM MAXIMO ASSET MANAGEMENT EXPRESS USE CONCURRENT USER ANNUAL SW SUBSCRIPTION &amp; SUPPORT RENEWAL</t>
  </si>
  <si>
    <t>D1GVCLL</t>
  </si>
  <si>
    <t>IBM MAXIMO ASSET MANAGEMENT EXPRESS USE CONCURRENT USER LICENCE + SW SUBSCRIPTION &amp; SUPPORT 12 MONTHS</t>
  </si>
  <si>
    <t>D1GVDLL</t>
  </si>
  <si>
    <t>IBM MAXIMO ASSET MANAGEMENT EXPRESS USE CONCURRENT USER SW SUBSCRIPTION &amp; SUPPORT REINSTATEMENT 12 MONTHS</t>
  </si>
  <si>
    <t>D1Q6VLL</t>
  </si>
  <si>
    <t>IBM MAXIMO ASSET MANAGEMENT EXPRESS USE CONCURRENT USER LINUX ON Z SYSTEM TRADE UP FROM 3 MAXIMO ASSET MANAGEMENT EXPRESS USE AUTHORIZED USER LINUX ON Z SYSTEM + SW SUBSCRIPTION &amp; SUPPORT 12 MONTHS</t>
  </si>
  <si>
    <t>D1GVLLL</t>
  </si>
  <si>
    <t>D1Q6RLL</t>
  </si>
  <si>
    <t>IBM MAXIMO ASSET MANAGEMENT EXPRESS USE CONCURRENT USER TRADE UP FROM 3 MAXIMO ASSET MANAGEMENT EXPRESS USE AUTHORIZED USER + SW SUBSCRIPTION &amp; SUPPORT 12 MONTHS</t>
  </si>
  <si>
    <t>E0ED8LL</t>
  </si>
  <si>
    <t>IBM MAXIMO ASSET MANAGEMENT EXPRESS USE FOR LINUX ON SYSTEM Z AUTHORIZED USER ANNUAL SW SUBSCRIPTION &amp; SUPPORT RENEWAL</t>
  </si>
  <si>
    <t>D0S8MLL</t>
  </si>
  <si>
    <t>IBM MAXIMO ASSET MANAGEMENT EXPRESS USE FOR LINUX ON SYSTEM Z AUTHORIZED USER LICENCE + SW SUBSCRIPTION &amp; SUPPORT 12 MONTHS</t>
  </si>
  <si>
    <t>D0S8NLL</t>
  </si>
  <si>
    <t>IBM MAXIMO ASSET MANAGEMENT EXPRESS USE FOR LINUX ON SYSTEM Z AUTHORIZED USER SW SUBSCRIPTION &amp; SUPPORT REINSTATEMENT 12 MONTHS</t>
  </si>
  <si>
    <t>E0LMALL</t>
  </si>
  <si>
    <t>IBM MAXIMO ASSET MANAGEMENT EXPRESS USE FOR LINUX ON SYSTEM Z CONCURRENT USER ANNUAL SW SUBSCRIPTION &amp; SUPPORT RENEWAL</t>
  </si>
  <si>
    <t>IBM MAXIMO ASSET MANAGEMENT EXPRESS USE FOR LINUX ON SYSTEM Z CONCURRENT USER LICENCE + SW SUBSCRIPTION &amp; SUPPORT 12 MONTHS</t>
  </si>
  <si>
    <t>D1GVPLL</t>
  </si>
  <si>
    <t>IBM MAXIMO ASSET MANAGEMENT EXPRESS USE FOR LINUX ON SYSTEM Z CONCURRENT USER SW SUBSCRIPTION &amp; SUPPORT REINSTATEMENT 12 MONTHS</t>
  </si>
  <si>
    <t>MXS INTERNAL</t>
  </si>
  <si>
    <t>E0N7ZLL</t>
  </si>
  <si>
    <t>IBM MAXIMO ASSET MANAGEMENT FOR INTERNAL SERVICE PROVIDERS CONCURRENT USER ANNUAL SW SUBSCRIPTION &amp; SUPPORT RENEWAL</t>
  </si>
  <si>
    <t>D1R6CLL</t>
  </si>
  <si>
    <t>INTERNAL SERVICE PROVIDERS</t>
  </si>
  <si>
    <t>IBM MAXIMO ASSET MANAGEMENT FOR INTERNAL SERVICE PROVIDERS CONCURRENT USER LICENSE + SW SUBSCRIPTION &amp; SUPPORT 12 MONTHS</t>
  </si>
  <si>
    <t>D1R6DLL</t>
  </si>
  <si>
    <t>IBM MAXIMO ASSET MANAGEMENT FOR INTERNAL SERVICE PROVIDERS CONCURRENT USER SW SUBSCRIPTION &amp; SUPPORT REINSTATEMENT 12 MONTHS</t>
  </si>
  <si>
    <t>E0N80LL</t>
  </si>
  <si>
    <t>IBM MAXIMO ASSET MANAGEMENT FOR INTERNAL SERVICE PROVIDERS CONCURRENT USER LINUX Z SYSTEM ANNUAL SW SUBSCRIPTION &amp; SUPPORT RENEWAL</t>
  </si>
  <si>
    <t>D1R6GLL</t>
  </si>
  <si>
    <t>IBM MAXIMO ASSET MANAGEMENT FOR INTERNAL SERVICE PROVIDERS CONCURRENT USER LICENSE LINUX Z SYSTEM + SW SUBSCRIPTION &amp; SUPPORT 12 MONTHS</t>
  </si>
  <si>
    <t>D1R6HLL</t>
  </si>
  <si>
    <t>IBM MAXIMO ASSET MANAGEMENT FOR INTERNAL SERVICE PROVIDERS CONCURRENT USER LINUX Z SYSTEM SW SUBSCRIPTION &amp; SUPPORT REINSTATEMENT 12 MONTHS</t>
  </si>
  <si>
    <t>D1R6ILL</t>
  </si>
  <si>
    <t>IBM MAXIMO ASSET MANAGEMENT FOR INTERNAL SERVICE PROVIDERS CONCURRENT USER LINUX Z SYSTEM TRADE UP FROM 3 MAX ASSET MANAGEMENT FOR INTERNAL SERVICE PROVIDERS AUTHORIZED USER LINUX Z SYSTEM + SW SUBSCRIPTION &amp; SUPPORT 12 MONTHS</t>
  </si>
  <si>
    <t>D1R6ELL</t>
  </si>
  <si>
    <t>IBM MAXIMO ASSET MANAGEMENT FOR INTERNAL SERVICE PROVIDERS CONCURRENT USER TRADE UP FROM 3 MAX ASSET MANAGEMENT FOR INTERNAL SERVICE PROVIDERS AUTHORIZED USER + SW SUBSCRIPTION &amp; SUPPORT 12 MONTHS</t>
  </si>
  <si>
    <t>D0T0QLL</t>
  </si>
  <si>
    <t>IBM MAXIMO ASSET MANAGEMENT FOR LINUX ON SYSTEM Z AUTHORIZED USER FROM MAXIMO ASSET MANAGEMENT LIMITED USE FOR LINUX ON SYSTEM Z AUTHORIZED USER TRADE UP LICENCE + SW SUBSCRIPTION &amp; SUPPORT 12 MONTHS</t>
  </si>
  <si>
    <t>D0GYHLL</t>
  </si>
  <si>
    <t>E0AUXLL</t>
  </si>
  <si>
    <t>IBM MAXIMO ASSET MANAGEMENT FOR LINUX ON SYSTEM Z AUTHORIZED USER ANNUAL SW SUBSCRIPTION &amp; SUPPORT RENEWAL</t>
  </si>
  <si>
    <t>IBM MAXIMO ASSET MANAGEMENT FOR LINUX ON SYSTEM Z AUTHORIZED USER LICENSE + SW SUBSCRIPTION &amp; SUPPORT 12 MONTHS</t>
  </si>
  <si>
    <t>D0GYILL</t>
  </si>
  <si>
    <t>IBM MAXIMO ASSET MANAGEMENT FOR LINUX ON SYSTEM Z AUTHORIZED USER SW SUBSCRIPTION &amp; SUPPORT REINSTATEMENT 12 MONTHS</t>
  </si>
  <si>
    <t>MXS EAM</t>
  </si>
  <si>
    <t>E0N7XLL</t>
  </si>
  <si>
    <t>IBM MAXIMO ASSET MANAGEMENT FOR MANAGED SERVICE PROVIDERS CONCURRENT USER ANNUAL SW SUBSCRIPTION &amp; SUPPORT RENEWAL</t>
  </si>
  <si>
    <t>D1R64LL</t>
  </si>
  <si>
    <t>MANAGED SERVICE PROVIDERS</t>
  </si>
  <si>
    <t>MSP</t>
  </si>
  <si>
    <t>IBM MAXIMO ASSET MANAGEMENT FOR MANAGED SERVICE PROVIDERS CONCURRENT USER LICENSE + SW SUBSCRIPTION &amp; SUPPORT 12 MONTHS</t>
  </si>
  <si>
    <t>D1R65LL</t>
  </si>
  <si>
    <t>IBM TIVOLI MAXIMO ASSET MANAGEMENT MANAGED SERVICE PROVIDERS CONCURRENT USER SW SUBSCRIPTION &amp; SUPPORT REINSTATEMENT 12 MONTHS</t>
  </si>
  <si>
    <t>E0N7YLL</t>
  </si>
  <si>
    <t>IBM MAXIMO ASSET MANAGEMENT FOR MANAGED SERVICE PROVIDERS CONCURRENT USER LINUX Z SYSTEM ANNUAL SW SUBSCRIPTION &amp; SUPPORT RENEWAL</t>
  </si>
  <si>
    <t>D1R68LL</t>
  </si>
  <si>
    <t>IBM MAXIMO ASSET MANAGEMENT FOR MANAGED SERVICE PROVIDERS CONCURRENT USER LICENSE LINUX Z SYSTEM + SW SUBSCRIPTION &amp; SUPPORT 12 MONTHS</t>
  </si>
  <si>
    <t>D1R69LL</t>
  </si>
  <si>
    <t>IBM MAXIMO ASSET MANAGEMENT FOR MANAGED SERVICE PROVIDERS CONCURRENT USER LINUX Z SYSTEM SW SUBSCRIPTION &amp; SUPPORT REINSTATEMENT 12 MONTHS</t>
  </si>
  <si>
    <t>D1R6ALL</t>
  </si>
  <si>
    <t>IBM MAXIMO ASSET MANAGEMENT FOR MANAGED SERVICE PROVIDERS CONCURRENT USER LINUX Z SYSTEM TRADE UP FROM 3 MAX ASSET MANAGEMENT FOR MANAGED SERVICE PROVIDERS AUTHORIZED USER LINUX Z SYSTEM + SW SUBSCRIPTION &amp; SUPPORT 12 MONTHS</t>
  </si>
  <si>
    <t>D1R66LL</t>
  </si>
  <si>
    <t>IBM MAXIMO ASSET MANAGEMENT FOR MANAGED SERVICE PROVIDERS CONCURRENT USER TRADE UP FROM 3 MAX ASSET MANAGEMENT FOR MANAGED SERVICE PROVIDERS AUTHORIZED USER + SW SUBSCRIPTION &amp; SUPPORT 12 MONTHS</t>
  </si>
  <si>
    <t>E05B5LL</t>
  </si>
  <si>
    <t>IBM TIVOLI MAXIMO ASSET MANAGEMENT INTERNAL SERVICE PROVIDERS AUTHORIZED USER ANNUAL SW SUBSCRIPTION &amp; SUPPORT RENEWAL</t>
  </si>
  <si>
    <t>D04Y0LL</t>
  </si>
  <si>
    <t>IBM MAXIMO ASSET MANAGEMENT INTERNAL SERVICE PROVIDERS AUTHORIZED USER LICENSE + SW SUBSCRIPTION &amp; SUPPORT 12 MONTHS</t>
  </si>
  <si>
    <t>D04Y1LL</t>
  </si>
  <si>
    <t>IBM MAXIMO ASSET MANAGEMENT INTERNAL SERVICE PROVIDERS AUTHORIZED USER SW SUBSCRIPTION &amp; SUPPORT REINSTATEMENT 12 MONTHS</t>
  </si>
  <si>
    <t>E05UFLL</t>
  </si>
  <si>
    <t>IBM MAXIMO ASSET MANAGEMENT INTERNAL SERVICE PROVIDERS FOR LINUX ON SYSTEM Z AUTHORIZED USER SW SUBSCRIPTION &amp; SUPPORT RENEWAL</t>
  </si>
  <si>
    <t>D06FPLL</t>
  </si>
  <si>
    <t>IBM MAXIMO ASSET MANAGEMENT INTERNAL SERVICE PROVIDERS FOR LINUX ON SYSTEM Z AUTHORIZED USER LICENSE + SW SUBSCRIPTION &amp; SUPPORT 12 MONTHS</t>
  </si>
  <si>
    <t>D06FQLL</t>
  </si>
  <si>
    <t>IBM MAXIMO ASSET MANAGEMENT INTERNAL SERVICE PROVIDERS FOR LINUX ON SYSTEM Z AUTHORIZED USER SW SUBSCRIPTION &amp; SUPPORT REINSTATEMENT 12 MONTHS</t>
  </si>
  <si>
    <t>D0T0SLL</t>
  </si>
  <si>
    <t>IBM MAXIMO ASSET MANAGEMENT LIMITED USE AUTHORIZED USER FROM MAXIMO ASSET MANAGEMENT EXPRESS USE AUTHORIZED USER TRADE UP LICENCE + SW SUBSCRIPTION &amp; SUPPORT 12 MONTHS</t>
  </si>
  <si>
    <t>D0GY8LL</t>
  </si>
  <si>
    <t>E0AUTLL</t>
  </si>
  <si>
    <t>IBM MAXIMO ASSET MANAGEMENT LIMITED USE AUTHORIZED USER ANNUAL SW SUBSCRIPTION &amp; SUPPORT RENEWAL</t>
  </si>
  <si>
    <t>IBM MAXIMO ASSET MANAGEMENT LIMITED USE AUTHORIZED USER LICENSE + SW SUBSCRIPTION &amp; SUPPORT 12 MONTHS</t>
  </si>
  <si>
    <t>D0GY9LL</t>
  </si>
  <si>
    <t>IBM MAXIMO ASSET MANAGEMENT LIMITED USE AUTHORIZED USER SW SUBSCRIPTION &amp; SUPPORT REINSTATEMENT 12 MONTHS</t>
  </si>
  <si>
    <t>D0T0TLL</t>
  </si>
  <si>
    <t>IBM MAXIMO ASSET MANAGEMENT LIMITED USE FOR LINUX ON SYSTEM Z AUTHORIZED USER FROM MAXIMO ASSET MANAGEMENT EXPRESS USE FOR LINUX ON SYSTEM Z AUTHORIZED USER TRADE UP LICENCE + SW SUBSCRIPTION &amp; SUPPORT 12 MONTHS</t>
  </si>
  <si>
    <t>D0GYKLL</t>
  </si>
  <si>
    <t>E0AUYLL</t>
  </si>
  <si>
    <t>IBM MAXIMO ASSET MANAGEMENT LIMITED USE FOR LINUX ON SYSTEM Z AUTHORIZED USER ANNUAL SW SUBSCRIPTION &amp; SUPPORT RENEWAL</t>
  </si>
  <si>
    <t>IBM MAXIMO ASSET MANAGEMENT LIMITED USE FOR LINUX ON SYSTEM Z AUTHORIZED USER LICENSE + SW SUBSCRIPTION &amp; SUPPORT 12 MONTHS</t>
  </si>
  <si>
    <t>D0GYLLL</t>
  </si>
  <si>
    <t>IBM MAXIMO ASSET MANAGEMENT LIMITED USE FOR LINUX ON SYSTEM Z AUTHORIZED USER SW SUBSCRIPTION &amp; SUPPORT REINSTATEMENT 12 MONTHS</t>
  </si>
  <si>
    <t>E05B3LL</t>
  </si>
  <si>
    <t>IBM MAXIMO ASSET MANAGEMENT MANAGED SERVICE PROVIDERS AUTHORIZED USER SW SUBSCRIPTION &amp; SUPPORT RENEWAL</t>
  </si>
  <si>
    <t>D04XWLL</t>
  </si>
  <si>
    <t>IBM MAXIMO ASSET MANAGEMENT MANAGED SERVICE PROVIDERS AUTHORIZED USER LICENSE + SW SUBSCRIPTION &amp; SUPPORT 12 MONTHS</t>
  </si>
  <si>
    <t>D04XXLL</t>
  </si>
  <si>
    <t>IBM MAXIMO ASSET MANAGEMENT MANAGED SERVICE PROVIDERS AUTHORIZED USER SW SUBSCRIPTION &amp; SUPPORT REINSTATEMENT 12 MONTHS</t>
  </si>
  <si>
    <t>E05UCLL</t>
  </si>
  <si>
    <t>IBM MAXIMO ASSET MANAGEMENT MANAGED SERVICE PROVIDERS FOR LINUX ON SYSTEM Z AUTHORIZED USER SW SUBSCRIPTION &amp; SUPPORT RENEWAL</t>
  </si>
  <si>
    <t>D06FILL</t>
  </si>
  <si>
    <t>IBM MAXIMO ASSET MANAGEMENT MANAGED SERVICE PROVIDERS FOR LINUX ON SYSTEM Z AUTHORIZED USER LICENSE + SW SUBSCRIPTION &amp; SUPPORT 12 MONTHS</t>
  </si>
  <si>
    <t>D06FJLL</t>
  </si>
  <si>
    <t>IBM MAXIMO ASSET MANAGEMENT MANAGED SERVICE PROVIDERS FOR LINUX ON SYSTEM Z AUTHORIZED USER SW SUBSCRIPTION &amp; SUPPORT REINSTATEMENT 12 MONTHS</t>
  </si>
  <si>
    <t>E05B1LL</t>
  </si>
  <si>
    <t>IBM MAXIMO ASSET MANAGEMENT MANAGED SERVICE PROVIDERS LIMITED USE AUTHORIZED USER SW SUBSCRIPTION &amp; SUPPORT RENEWAL</t>
  </si>
  <si>
    <t>D04XSLL</t>
  </si>
  <si>
    <t>IBM MAXIMO ASSET MANAGEMENT MANAGED SERVICE PROVIDERS LIMITED USE AUTHORIZED USER LICENSE + SW SUBSCRIPTION &amp; SUPPORT 12 MONTHS</t>
  </si>
  <si>
    <t>D04XTLL</t>
  </si>
  <si>
    <t>IBM MAXIMO ASSET MANAGEMENT MANAGED SERVICE PROVIDERS LIMITED USE AUTHORIZED USER SW SUBSCRIPTION &amp; SUPPORT REINSTATEMENT 12 MONTHS</t>
  </si>
  <si>
    <t>E05UHLL</t>
  </si>
  <si>
    <t>IBM MAXIMO ASSET MANAGEMENT MANAGED SERVICE PROVIDERS LIMITED USE FOR LINUX ON SYSTEM Z AUTHORIZED USER SW SUBSCRIPTION &amp; SUPPORT RENEWAL</t>
  </si>
  <si>
    <t>D06FULL</t>
  </si>
  <si>
    <t>IBM MAXIMO ASSET MANAGEMENT MANAGED SERVICE PROVIDERS LIMITED USE FOR LINUX ON SYSTEM Z AUTHORIZED USER LICENSE + SW SUBSCRIPTION &amp; SUPPORT 12 MONTHS</t>
  </si>
  <si>
    <t>D06FVLL</t>
  </si>
  <si>
    <t>IBM MAXIMO ASSET MANAGEMENT MANAGED SERVICE PROVIDERS LIMITED USE FOR LINUX ON SYSTEM Z AUTHORIZED USER SW SUBSCRIPTION &amp; SUPPORT REINSTATEMENT 12 MONTHS</t>
  </si>
  <si>
    <t>MXA SCHEDUL</t>
  </si>
  <si>
    <t>D17I6LL</t>
  </si>
  <si>
    <t>IBM MAXIMO ASSET MANAGEMENT SCHEDULER AUTHORIZED USER FROM IBM MAXIMO ADAPTER FOR MICROSOFT PROJECT AUTHORIZED USER TRADE UP LICENCE + SW SUBSCRIPTION &amp; SUPPORT 12 MONTHS</t>
  </si>
  <si>
    <t>D0AYULL</t>
  </si>
  <si>
    <t>D17I5LL</t>
  </si>
  <si>
    <t>IBM MAXIMO ASSET MANAGEMENT SCHEDULER AUTHORIZED USER FROM IBM MAXIMO ADAPTER FOR PRIMAVERA AUTHORIZED USER TRADE UP LICENCE + SW SUBSCRIPTION &amp; SUPPORT 12 MONTHS</t>
  </si>
  <si>
    <t>E07QSLL</t>
  </si>
  <si>
    <t>IBM MAXIMO ASSET MANAGEMENT SCHEDULER AUTHORIZED USER ANNUAL SW SUBSCRIPTION &amp; SUPPORT RENEWAL</t>
  </si>
  <si>
    <t>IBM MAXIMO ASSET MANAGEMENT SCHEDULER AUTHORIZED USER LICENSE + SW SUBSCRIPTION &amp; SUPPORT 12 MONTHS</t>
  </si>
  <si>
    <t>D0AYVLL</t>
  </si>
  <si>
    <t>IBM MAXIMO ASSET MANAGEMENT SCHEDULER AUTHORIZED USER SW SUBSCRIPTION &amp; SUPPORT REINSTATEMENT 12 MONTHS</t>
  </si>
  <si>
    <t>E0N2SLL</t>
  </si>
  <si>
    <t>IBM MAXIMO ASSET MANAGEMENT SCHEDULER CONCURRENT USER ANNUAL SW SUBSCRIPTION &amp; SUPPORT RENEWAL 12 MONTHS</t>
  </si>
  <si>
    <t>D1Q6XLL</t>
  </si>
  <si>
    <t>IBM MAXIMO ASSET MANAGEMENT SCHEDULER CONCURRENT USER LICENSE + SW SUBSCRIPTION &amp; SUPPORT 12 MONTHS</t>
  </si>
  <si>
    <t>D1Q6YLL</t>
  </si>
  <si>
    <t>IBM MAXIMO ASSET MANAGEMENT SCHEDULER CONCURRENT USER SW SUBSCRIPTION &amp; SUPPORT REINSTATEMENT 12 MONTHS</t>
  </si>
  <si>
    <t>D1Q73LL</t>
  </si>
  <si>
    <t>IBM MAXIMO ASSET MANAGEMENT SCHEDULER CONCURRENT USER LINUX ON Z SYSTEM TRADE UP FROM 3 MAXIMO ASSET MANAGEMENT SCHEDULER AUTHORIZED USER LINUX ON Z SYSTEM + SW SUBSCRIPTION &amp; SUPPORT 12 MONTHS</t>
  </si>
  <si>
    <t>E0N2TLL</t>
  </si>
  <si>
    <t>IBM MAXIMO ASSET MANAGEMENT SCHEDULER CONCURRENT USER LINUX Z SYSTEM ANNUAL SW SUBSCRIPTION &amp; SUPPORT RENEWAL</t>
  </si>
  <si>
    <t>D1Q71LL</t>
  </si>
  <si>
    <t>IBM MAXIMO ASSET MANAGEMENT SCHEDULER CONCURRENT USER LINUX Z SYSTEM + SW SUBSCRIPTION &amp; SUPPORT 12 MONTHS</t>
  </si>
  <si>
    <t>D1Q72LL</t>
  </si>
  <si>
    <t>IBM MAXIMO ASSET MANAGEMENT SCHEDULER CONCURRENT USER LINUX Z SYSTEM SW SUBSCRIPTION &amp; SUPPORT REINSTATEMENT 12 MONTHS</t>
  </si>
  <si>
    <t>D1Q6ZLL</t>
  </si>
  <si>
    <t>IBM MAXIMO ASSET MANAGEMENT SCHEDULER CONCURRENT USER TRADE UP FROM 3 MAXIMO ASSET MANAGEMENT SCHEDULER AUTHORIZED USER + SW SUBSCRIPTION &amp; SUPPORT 12 MONTHS</t>
  </si>
  <si>
    <t>D17I8LL</t>
  </si>
  <si>
    <t>IBM MAXIMO ASSET MANAGEMENT SCHEDULER FOR LINUX ON SYSTEM Z AUTHORIZED USER FROM IBM MAXIMO ADPTER FOR MICROSOFT PROJCT FOR LINUX ON SYSTM Z AUTHORIZED USER TRADE UP LIC + SW S&amp;S 12 MO</t>
  </si>
  <si>
    <t>D0AYWLL</t>
  </si>
  <si>
    <t>D17I7LL</t>
  </si>
  <si>
    <t>IBM MAXIMO ASSET MANAGEMENT SCHEDULER FOR LINUX ON SYSTEM Z AUTHORIZED USER FROM IBM MAXIMO ADPTER FOR PRIMAVERA FOR LINUX ON SYSTEM Z AUTHORIZED USER TRADE UP LIC + SW S&amp;S 12 MO</t>
  </si>
  <si>
    <t>E07QTLL</t>
  </si>
  <si>
    <t>IBM MAXIMO ASSET MANAGEMENT SCHEDULER FOR LINUX ON SYSTEM Z AUTHORIZED USER ANNUAL SW SUBSCRIPTION &amp; SUPPORT RENEWAL</t>
  </si>
  <si>
    <t>IBM MAXIMO ASSET MANAGEMENT SCHEDULER FOR LINUX ON SYSTEM Z AUTHORIZED USER LICENSE + SW SUBSCRIPTION &amp; SUPPORT 12 MONTHS</t>
  </si>
  <si>
    <t>D0AYXLL</t>
  </si>
  <si>
    <t>IBM MAXIMO ASSET MANAGEMENT SCHEDULER FOR LINUX ON SYSTEM Z AUTHORIZED USER SW SUBSCRIPTION &amp; SUPPORT REINSTATEMENT 12 MONTHS</t>
  </si>
  <si>
    <t>MXA SCH PLS</t>
  </si>
  <si>
    <t>Max Asst Mgmt Schd Plus</t>
  </si>
  <si>
    <t>E0NSDLL</t>
  </si>
  <si>
    <t>IBM MAXIMO ASSET MANAGEMENT SCHEDULER PLUS PER AUTHORIZED USER ANNUAL SW SUBSCRIPTION &amp; SUPPORT RENEWAL</t>
  </si>
  <si>
    <t>D1UE3LL</t>
  </si>
  <si>
    <t>IBM MAXIMO ASSET MANAGEMENT SCHEDULER PLUS PER AUTHORIZED USER LICENSE + SW SUBSCRIPTION &amp; SUPPORT 12 MONTHS</t>
  </si>
  <si>
    <t>D1UE4LL</t>
  </si>
  <si>
    <t>IBM MAXIMO ASSET MANAGEMENT SCHEDULER PLUS PER AUTHORIZED USER SW SUBSCRIPTION &amp; SUPPORT REINSTATEMENT 12 MONTHS</t>
  </si>
  <si>
    <t>E0NSFLL</t>
  </si>
  <si>
    <t>IBM MAXIMO ASSET MANAGEMENT SCHEDULER PLUS PER AUTHORIZED USER LINUX Z SYSTEM ANNUAL SW SUBSCRIPTION &amp; SUPPORT RENEWAL</t>
  </si>
  <si>
    <t>D1UE9LL</t>
  </si>
  <si>
    <t>IBM MAXIMO ASSET MANAGEMENT SCHEDULER PLUS PER AUTHORIZED USER LINUX Z SYSTEM LICENSE + SW SUBSCRIPTION &amp; SUPPORT 12 MONTHS</t>
  </si>
  <si>
    <t>D1UEALL</t>
  </si>
  <si>
    <t>IBM MAXIMO ASSET MANAGEMENT SCHEDULER PLUS PER AUTHORIZED USER LINUX Z SYSTEM SW SUBSCRIPTION &amp; SUPPORT REINSTATEMENT 12 MONTHS</t>
  </si>
  <si>
    <t>D1UEBLL</t>
  </si>
  <si>
    <t>IBM MAXIMO ASSET MANAGEMENT SCHEDULER PLUS PER AUTHORIZED USER LINUX Z SYSTEM TRADE UP FROM IBM MAXIMO ASSET MANAGEMENT SCHEDULER PER AUTHORIZED USER LINUX Z SYSTEM + SW SUBSCRIPTION</t>
  </si>
  <si>
    <t>D1UE5LL</t>
  </si>
  <si>
    <t>IBM MAXIMO ASSET MANAGEMENT SCHEDULER PLUS PER AUTHORIZED USER TRADE UP FROM IBM MAXIMO ASSET MANAGEMENT SCHEDULER PER AUTHORIZED USER + SW SUBSCRIPTION &amp; SUPPORT 12 MONTHS</t>
  </si>
  <si>
    <t>E0NSELL</t>
  </si>
  <si>
    <t>IBM MAXIMO ASSET MANAGEMENT SCHEDULER PLUS PER CONCURRENT USER ANNUAL SW SUBSCRIPTION &amp; SUPPORT RENEWAL</t>
  </si>
  <si>
    <t>D1UE6LL</t>
  </si>
  <si>
    <t>IBM MAXIMO ASSET MANAGEMENT SCHEDULER PLUS PER CONCURRENT USER LICENSE + SW SUBSCRIPTION &amp; SUPPORT 12 MONTHS</t>
  </si>
  <si>
    <t>D1UE7LL</t>
  </si>
  <si>
    <t>IBM MAXIMO ASSET MANAGEMENT SCHEDULER PLUS PER CONCURRENT USER SW SUBSCRIPTION &amp; SUPPORT REINSTATEMENT 12 MONTHS</t>
  </si>
  <si>
    <t>E0NSGLL</t>
  </si>
  <si>
    <t>IBM MAXIMO ASSET MANAGEMENT SCHEDULER PLUS PER CONCURRENT USER LINUX Z SYSTEM ANNUAL SW SUBSCRIPTION &amp; SUPPORT RENEWAL</t>
  </si>
  <si>
    <t>D1UECLL</t>
  </si>
  <si>
    <t>IBM MAXIMO ASSET MANAGEMENT SCHEDULER PLUS PER CONCURRENT USER LINUX Z SYSTEM LICENSE + SW SUBSCRIPTION &amp; SUPPORT 12 MONTHS</t>
  </si>
  <si>
    <t>D1UEDLL</t>
  </si>
  <si>
    <t>IBM MAXIMO ASSET MANAGEMENT SCHEDULER PLUS PER CONCURRENT USER LINUX Z SYSTEM SW SUBSCRIPTION &amp; SUPPORT REINSTATEMENT 12 MONTHS</t>
  </si>
  <si>
    <t>D1UEELL</t>
  </si>
  <si>
    <t>IBM MAXIMO ASSET MANAGEMENT SCHEDULER PLUS PER CONCURRENT USER LINUX Z SYSTEM TRADE UP FROM IBM MAXIMO ASSET MANAGEMENT SCHEDULER PER CONCURRENT USER LINUX Z SYSTEM + SW SUBSCRIPTION &amp; SUPPORT 12 MONTHS</t>
  </si>
  <si>
    <t>D1UE8LL</t>
  </si>
  <si>
    <t>IBM MAXIMO ASSET MANAGEMENT SCHEDULER PLUS PER CONCURRENT USER TRADE UP FROM IBM MAXIMO ASSET MANAGEMENT SCHEDULER PER CONCURRENT USER + SW SUBSCRIPTION &amp; SUPPORT 12 MONTHS</t>
  </si>
  <si>
    <t>E0N29LL</t>
  </si>
  <si>
    <t>IBM MAXIMO ASSET MANAGEMENT SCHEDULER PLUS PER RESOURCE VALUE UNIT ANNUAL SW SUBSCRIPTION &amp; SUPPORT RENEWAL</t>
  </si>
  <si>
    <t>D1Q4RLL</t>
  </si>
  <si>
    <t>Resource Value Unit</t>
  </si>
  <si>
    <t>IBM MAXIMO ASSET MANAGEMENT SCHEDULER PLUS PER RESOURCE VALUE UNIT LICENSE + SW SUBSCRIPTION &amp; SUPPORT 12 MONTHS</t>
  </si>
  <si>
    <t>D1Q4SLL</t>
  </si>
  <si>
    <t>IBM MAXIMO ASSET MANAGEMENT SCHEDULER PLUS PER RESOURCE VALUE UNIT SW SUBSCRIPTION &amp; SUPPORT REINSTATEMENT 12 MONTHS</t>
  </si>
  <si>
    <t>E0N2ALL</t>
  </si>
  <si>
    <t>IBM MAXIMO ASSET MANAGEMENT SCHEDULER PLUS PER RESOURCE VALUE UNIT LINUX ON Z SYSTEM ANNUAL SW SUBSCRIPTION &amp; SUPPORT RENEWAL</t>
  </si>
  <si>
    <t>D1Q4TLL</t>
  </si>
  <si>
    <t>IBM MAXIMO ASSET MANAGEMENT SCHEDULER PLUS PER RESOURCE VALUE UNIT LINUX ON Z SYSTEM LICENSE + SW SUBSCRIPTION &amp; SUPPORT 12 MONTHS</t>
  </si>
  <si>
    <t>D1Q4ULL</t>
  </si>
  <si>
    <t>IBM MAXIMO ASSET MANAGEMENT SCHEDULER PLUS PER RESOURCE VALUE UNIT LINUX ON Z SYSTEM SW SUBSCRIPTION &amp; SUPPORT REINSTATEMENT 12 MONTHS</t>
  </si>
  <si>
    <t>MXA CALIBRAT</t>
  </si>
  <si>
    <t>5724U33</t>
  </si>
  <si>
    <t>IBM Maximo Calibration</t>
  </si>
  <si>
    <t>Maximo Calibration</t>
  </si>
  <si>
    <t>E04QTLL</t>
  </si>
  <si>
    <t>IBM MAXIMO CALIBRATION AUTHORIZED USER SW SUBSCRIPTION &amp; SUPPORT RENEWAL</t>
  </si>
  <si>
    <t>D03X4LL</t>
  </si>
  <si>
    <t>IBM MAXIMO CALIBRATION AUTHORIZED USER LICENSE + SW SUBSCRIPTION &amp; SUPPORT 12 MONTHS</t>
  </si>
  <si>
    <t>D03X5LL</t>
  </si>
  <si>
    <t>IBM MAXIMO CALIBRATION AUTHORIZED USER SW SUBSCRIPTION &amp; SUPPORT REINSTATEMENT 12 MONTHS</t>
  </si>
  <si>
    <t>E0N8BLL</t>
  </si>
  <si>
    <t>IBM MAXIMO CALIBRATION CONCURRENT USER ANNUAL SW SUBSCRIPTION &amp; SUPPORT RENEWAL</t>
  </si>
  <si>
    <t>D1R7ULL</t>
  </si>
  <si>
    <t>IBM MAXIMO CALIBRATION CONCURRENT USER LICENSE + SW SUBSCRIPTION &amp; SUPPORT 12 MONTHS</t>
  </si>
  <si>
    <t>D1R7VLL</t>
  </si>
  <si>
    <t>IBM MAXIMO CALIBRATION CONCURRENT USER SW SUBSCRIPTION &amp; SUPPORT REINSTATEMENT 12 MONTHS</t>
  </si>
  <si>
    <t>E0N8CLL</t>
  </si>
  <si>
    <t>IBM MAXIMO CALIBRATION CONCURRENT USER LINUX Z SYSTEM ANNUAL SW SUBSCRIPTION &amp; SUPPORT RENEWAL</t>
  </si>
  <si>
    <t>D1R7YLL</t>
  </si>
  <si>
    <t>IBM MAXIMO CALIBRATION CONCURRENT USER LICENSE LINUX Z SYSTEM + SW SUBSCRIPTION &amp; SUPPORT 12 MONTHS</t>
  </si>
  <si>
    <t>D1R7ZLL</t>
  </si>
  <si>
    <t>IBM MAXIMO CALIBRATION CONCURRENT USER LINUX Z SYSTEM SW SUBSCRIPTION &amp; SUPPORT REINSTATEMENT 12 MONTHS</t>
  </si>
  <si>
    <t>D1R80LL</t>
  </si>
  <si>
    <t>IBM MAXIMO CALIBRATION CONCURRENT USER LINUX Z SYSTEM TRADE UP FROM 3 MAXIMO CALIBRATION AUTHORIZED USER LINUX Z SYSTEM + SW SUBSCRIPTION &amp; SUPPORT 12 MONTHS</t>
  </si>
  <si>
    <t>D1R7WLL</t>
  </si>
  <si>
    <t>IBM MAXIMO CALIBRATION CONCURRENT USER TRADE UP FROM 3 MAXIMO CALIBRATION AUTHORIZED USER + SW SUBSCRIPTION &amp; SUPPORT 12 MONTHS</t>
  </si>
  <si>
    <t>E05X3LL</t>
  </si>
  <si>
    <t>IBM MAXIMO CALIBRATION FOR LINUX ON SYSTEM Z AUTHORIZED USER ANNUAL SW SUBSCRIPTION &amp; SUPPORT RENEWAL</t>
  </si>
  <si>
    <t>D06MBLL</t>
  </si>
  <si>
    <t>IBM MAXIMO CALIBRATION FOR LINUX ON SYSTEM Z AUTHORIZED USER LICENSE + SW SUBSCRIPTION &amp; SUPPORT 12 MONTHS</t>
  </si>
  <si>
    <t>D06MCLL</t>
  </si>
  <si>
    <t>IBM MAXIMO CALIBRATION FOR LINUX ON SYSTEM Z AUTHORIZED USER SW SUBSCRIPTION &amp; SUPPORT REINSTATEMENT 12 MONTHS</t>
  </si>
  <si>
    <t>MX ENT ADP O</t>
  </si>
  <si>
    <t>5724T00</t>
  </si>
  <si>
    <t>IBM Maximo Enterprise Adapter</t>
  </si>
  <si>
    <t>Maximo Enterprise Adapter</t>
  </si>
  <si>
    <t>E05VALL</t>
  </si>
  <si>
    <t>IBM MAXIMO ENTERPRISE ADAPTER FOR ORACLE APPLICATIONS FOR LINUX ON SYSTEM Z SERVER SW SUBSCRIPTION &amp; SUPPORT RENEWAL</t>
  </si>
  <si>
    <t>D06HTLL</t>
  </si>
  <si>
    <t>Server</t>
  </si>
  <si>
    <t>IBM MAXIMO ENTERPRISE ADAPTER FOR ORACLE APPLICATIONS FOR LINUX ON SYSTEM Z SERVER LICENSE + SW SUBSCRIPTION &amp; SUPPORT 12 MONTHS</t>
  </si>
  <si>
    <t>D06HULL</t>
  </si>
  <si>
    <t>IBM MAXIMO ENTERPRISE ADAPTER FOR ORACLE APPLICATIONS FOR LINUX ON SYSTEM Z SERVER SW SUBSCRIPTION &amp; SUPPORT REINSTATEMENT 12 MONTHS</t>
  </si>
  <si>
    <t>MXA ADAPTERS</t>
  </si>
  <si>
    <t>E03ZCLL</t>
  </si>
  <si>
    <t>IBM MAXIMO ENTERPRISE ADAPTER FOR ORACLE APPLICATIONS SERVER SW SUBSCRIPTION &amp; SUPPORT RENEWAL</t>
  </si>
  <si>
    <t>D61DGLL</t>
  </si>
  <si>
    <t>IBM MAXIMO ENTERPRISE ADAPTER ORACLE APPLICATIONS SERVER LICENSE + SW SUBSCRIPTION &amp; SUPPORT 12 MONTHS</t>
  </si>
  <si>
    <t>D61DHLL</t>
  </si>
  <si>
    <t>IBM MAXIMO ENTERPRISE ADAPTER FOR ORACLE APPLICATIONS SERVER SW SUBSCRIPTION &amp; SUPPORT REINSTATEMENT 12 MONTHS</t>
  </si>
  <si>
    <t>MX ENT ADP</t>
  </si>
  <si>
    <t>E05VMLL</t>
  </si>
  <si>
    <t>IBM MAXIMO ENTERPRISE ADAPTER FOR SAP APPLICATIONS FOR LINUX ON SYSTEM Z SERVER SW SUBSCRIPTION &amp; SUPPORT RENEWAL</t>
  </si>
  <si>
    <t>D06ITLL</t>
  </si>
  <si>
    <t>IBM MAXIMO ENTERPRISE ADAPTER FOR SAP APPLICATIONS FOR LINUX ON SYSTEM Z SERVER LICENSE + SW SUBSCRIPTION &amp; SUPPORT 12 MONTHS</t>
  </si>
  <si>
    <t>D06IULL</t>
  </si>
  <si>
    <t>IBM MAXIMO ENTERPRISE ADAPTER FOR SAP APPLICATIONS FOR LINUX ON SYSTEM Z SERVER SW SUBSCRIPTION &amp; SUPPORT REINSTATEMENT 12 MONTHS</t>
  </si>
  <si>
    <t>E0572LL</t>
  </si>
  <si>
    <t>IBM MAXIMO ENTERPRISE ADAPTER FOR SAP APPLICATIONS SERVER SW SUBSCRIPTION &amp; SUPPORT RENEWAL</t>
  </si>
  <si>
    <t>D04QDLL</t>
  </si>
  <si>
    <t>IBM MAXIMO ENTERPRISE ADAPTER FOR SAP APPLICATIONS SERVER LICENSE + SW SUBSCRIPTION &amp; SUPPORT 12 MONTHS</t>
  </si>
  <si>
    <t>D04QELL</t>
  </si>
  <si>
    <t>IBM MAXIMO ENTERPRISE ADAPTER FOR SAP APPLICATIONS SERVER SW SUBSCRIPTION &amp; SUPPORT REINSTATEMENT 12 MONTHS</t>
  </si>
  <si>
    <t>MXI AVIATION</t>
  </si>
  <si>
    <t>5725U87</t>
  </si>
  <si>
    <t>IBM Maximo for Aviation</t>
  </si>
  <si>
    <t>Maximo for Aviation</t>
  </si>
  <si>
    <t>E0LL2LL</t>
  </si>
  <si>
    <t>IBM MAXIMO FOR AVIATION AUTHORIZED USER ANNUAL SW SUBSCRIPTION &amp; SUPPORT RENEWAL</t>
  </si>
  <si>
    <t>D1GSQLL</t>
  </si>
  <si>
    <t>IBM MAXIMO FOR AVIATION AUTHORIZED USER LICENSE + SW SUBSCRIPTION &amp; SUPPORT 12 MONTHS</t>
  </si>
  <si>
    <t>D1GSRLL</t>
  </si>
  <si>
    <t>IBM MAXIMO FOR AVIATION AUTHORIZED USER SW SUBSCRIPTION &amp; SUPPORT REINSTATEMENT 12 MONTHS</t>
  </si>
  <si>
    <t>E0LL3LL</t>
  </si>
  <si>
    <t>IBM MAXIMO FOR AVIATION CONCURRENT USER ANNUAL SW SUBSCRIPTION &amp; SUPPORT RENEWAL</t>
  </si>
  <si>
    <t>D1GSSLL</t>
  </si>
  <si>
    <t>IBM MAXIMO FOR AVIATION CONCURRENT USER LICENSE + SW SUBSCRIPTION &amp; SUPPORT 12 MONTHS</t>
  </si>
  <si>
    <t>D1GSTLL</t>
  </si>
  <si>
    <t>IBM MAXIMO FOR AVIATION CONCURRENT USER SW SUBSCRIPTION &amp; SUPPORT REINSTATEMENT 12 MONTHS</t>
  </si>
  <si>
    <t>E0LM8LL</t>
  </si>
  <si>
    <t>IBM MAXIMO FOR AVIATION FOR LINUX ON SYSTEM Z AUTHORIZED USER ANNUAL SW SUBSCRIPTION &amp; SUPPORT RENEWAL</t>
  </si>
  <si>
    <t>D1GVGLL</t>
  </si>
  <si>
    <t>IBM MAXIMO FOR AVIATION FOR LINUX ON SYSTEM Z AUTHORIZED USER LICENSE + SW SUBSCRIPTION &amp; SUPPORT 12 MONTHS</t>
  </si>
  <si>
    <t>D1GVHLL</t>
  </si>
  <si>
    <t>IBM MAXIMO FOR AVIATION FOR LINUX ON SYSTEM Z AUTHORIZED USER SW SUBSCRIPTION &amp; SUPPORT REINSTATEMENT 12 MONTHS</t>
  </si>
  <si>
    <t>E0LM6LL</t>
  </si>
  <si>
    <t>IBM MAXIMO FOR AVIATION FOR LINUX ON SYSTEM Z CONCURRENT USER ANNUAL SW SUBSCRIPTION &amp; SUPPORT RENEWAL</t>
  </si>
  <si>
    <t>D1GVALL</t>
  </si>
  <si>
    <t>IBM MAXIMO FOR AVIATION FOR LINUX ON SYSTEM Z CONCURRENT USER LICENSE + SW SUBSCRIPTION &amp; SUPPORT 12 MONTHS</t>
  </si>
  <si>
    <t>D1GVBLL</t>
  </si>
  <si>
    <t>IBM MAXIMO FOR AVIATION FOR LINUX ON SYSTEM Z CONCURRENT USER SW SUBSCRIPTION &amp; SUPPORT REINSTATEMENT 12 MONTHS</t>
  </si>
  <si>
    <t>E0LL4LL</t>
  </si>
  <si>
    <t>IBM MAXIMO FOR AVIATION LIMITED USE AUTHORIZED USER ANNUAL SW SUBSCRIPTION &amp; SUPPORT RENEWAL</t>
  </si>
  <si>
    <t>D1GSULL</t>
  </si>
  <si>
    <t>IBM MAXIMO FOR AVIATION LIMITED USE AUTHORIZED USER LICENSE +SW SUBSCRIPTION &amp; SUPPORT 12 MONTHS</t>
  </si>
  <si>
    <t>D1GSVLL</t>
  </si>
  <si>
    <t>IBM MAXIMO FOR AVIATION LIMITED USE AUTHORIZED USER SW SUBSCRIPTION &amp; SUPPORT REINSTATEMENT 12 MONTHS</t>
  </si>
  <si>
    <t>E0LL5LL</t>
  </si>
  <si>
    <t>IBM MAXIMO FOR AVIATION LIMITED USE CONCURRENT USER ANNUAL SW SUBSCRIPTION &amp; SUPPORT RENEWAL</t>
  </si>
  <si>
    <t>D1GSWLL</t>
  </si>
  <si>
    <t>IBM MAXIMO FOR AVIATION LIMITED USE CONCURRENT USER LICENCE + SW SUBSCRIPTION &amp; SUPPORT 12 MONTHS</t>
  </si>
  <si>
    <t>D1GSXLL</t>
  </si>
  <si>
    <t>IBM MAXIMO FOR AVIATION LIMITED USE CONCURRENT USER SW SUBSCRIPTION &amp; SUPPORT REINSTATEMENT 12 MONTHS</t>
  </si>
  <si>
    <t>E0LMBLL</t>
  </si>
  <si>
    <t>IBM MAXIMO FOR AVIATION LIMITED USE FOR LINUX ON SYSTEM Z AUTHORIZED USER ANNUAL SW SUBSCRIPTION &amp; SUPPORT RENEWAL</t>
  </si>
  <si>
    <t>D1GVQLL</t>
  </si>
  <si>
    <t>IBM MAXIMO FOR AVIATION LIMITED USE FOR LINUX ON SYSTEM Z AUTHORIZED USER LICENSE + SW SUBSCRIPTION &amp; SUPPORT 12 MONTHS</t>
  </si>
  <si>
    <t>D1GVRLL</t>
  </si>
  <si>
    <t>IBM MAXIMO FOR AVIATION LIMITED USE FOR LINUX ON SYSTEM Z AUTHORIZED USER SW SUBSCRIPTION &amp; SUPPORT REINSTATEMENT 12 MONTHS</t>
  </si>
  <si>
    <t>E0LM9LL</t>
  </si>
  <si>
    <t>IBM MAXIMO FOR AVIATION LIMITED USE FOR LINUX ON SYSTEM Z CONCURRENT USER ANNUAL SW SUBSCRIPTION &amp; SUPPORT RENEWAL</t>
  </si>
  <si>
    <t>D1GVILL</t>
  </si>
  <si>
    <t>IBM MAXIMO FOR AVIATION LIMITED USE FOR LINUX ON SYSTEM Z CONCURRENT USER LICENSE + SW SUBSCRIPTION &amp; SUPPORT 12 MONTHS</t>
  </si>
  <si>
    <t>D1GVJLL</t>
  </si>
  <si>
    <t>IBM MAXIMO FOR AVIATION LIMITED USE FOR LINUX ON SYSTEM Z CONCURRENT USER SW SUBSCRIPTION &amp; SUPPORT REINSTATEMENT 12 MONTHS</t>
  </si>
  <si>
    <t>MXI LIFESCI</t>
  </si>
  <si>
    <t>5724U23</t>
  </si>
  <si>
    <t>IBM Maximo for Life Sciences</t>
  </si>
  <si>
    <t>Maximo for Life Science</t>
  </si>
  <si>
    <t>E0AVMLL</t>
  </si>
  <si>
    <t>IBM MAXIMO FOR LIFE SCIENCES ADD ON AUTHORIZED USER ANNUAL SW SUBSCRIPTION &amp; SUPPORT RENEWAL</t>
  </si>
  <si>
    <t>D0H0GLL</t>
  </si>
  <si>
    <t>ADD-ON</t>
  </si>
  <si>
    <t>IBM MAXIMO FOR LIFE SCIENCES ADD ON AUTHORIZED USER LICENSE + SW SUBSCRIPTION &amp; SUPPORT 12 MONTHS</t>
  </si>
  <si>
    <t>D0H0HLL</t>
  </si>
  <si>
    <t>IBM MAXIMO FOR LIFE SCIENCES ADD ON AUTHORIZED USER SW SUBSCRIPTION &amp; SUPPORT REINSTATEMENT 12 MONTHS</t>
  </si>
  <si>
    <t>E0N89LL</t>
  </si>
  <si>
    <t>IBM MAXIMO FOR LIFE SCIENCES ADD ON CONCURRENT USER ANNUAL SW SUBSCRIPTION &amp; SUPPORT RENEWAL</t>
  </si>
  <si>
    <t>D1R7LLL</t>
  </si>
  <si>
    <t>IBM MAXIMO FOR LIFE SCIENCES ADD ON CONCURRENT USER LICENSE + SW SUBSCRIPTION &amp; SUPPORT 12 MONTHS</t>
  </si>
  <si>
    <t>D1R7MLL</t>
  </si>
  <si>
    <t>IBM MAXIMO FOR LIFE SCIENCES ADD ON CONCURRENT USER SW SUBSCRIPTION &amp; SUPPORT REINSTATEMENT 12 MONTHS</t>
  </si>
  <si>
    <t>E0N8ALL</t>
  </si>
  <si>
    <t>IBM MAXIMO FOR LIFE SCIENCES ADD ON CONCURRENT USER LINUX Z SYSTEM ANNUAL SW SUBSCRIPTION &amp; SUPPORT RENEWAL</t>
  </si>
  <si>
    <t>D1R7QLL</t>
  </si>
  <si>
    <t>IBM MAXIMO FOR LIFE SCIENCES ADD ON CONCURRENT USER LICENSE LINUX Z SYSTEM + SW SUBSCRIPTION &amp; SUPPORT 12 MONTHS</t>
  </si>
  <si>
    <t>D1R7RLL</t>
  </si>
  <si>
    <t>IBM MAXIMO FOR LIFE SCIENCES ADD ON CONCURRENT USER LINUX Z SYSTEM SW SUBSCRIPTION &amp; SUPPORT REINSTATEMENT 12 MONTHS</t>
  </si>
  <si>
    <t>D1R7SLL</t>
  </si>
  <si>
    <t>IBM MAXIMO FOR LIFE SCIENCES ADD ON CONCURRENT USER LINUX Z SYSTEM TRADE UP FROM 3 MAXIMO FOR LIFE SCIENCES AUTHORIZED USER LINUX Z SYSTEM + SW SUBSCRIPTION &amp; SUPPORT 12 MONTHS</t>
  </si>
  <si>
    <t>D1R7NLL</t>
  </si>
  <si>
    <t>IBM MAXIMO FOR LIFE SCIENCES ADD ON CONCURRENT USER TRADE UP FROM 3 MAXIMO LIFE SCIENCES AUTHORIZED USER + SW SUBSCRIPTION &amp; SUPPORT 12 MONTHS</t>
  </si>
  <si>
    <t>D0H0FLL</t>
  </si>
  <si>
    <t>IBM MAXIMO FOR LIFE SCIENCES AUTHORIZED USER FROM MAXIMO ASSET MANAGEMENT AUTHORIZED USER TRADE UP LICENSE + SW SUBSCRIPTION &amp; SUPPORT 12 MONTHS</t>
  </si>
  <si>
    <t>D0H0CLL</t>
  </si>
  <si>
    <t>D0H0ELL</t>
  </si>
  <si>
    <t>IBM MAXIMO FOR LIFE SCIENCES AUTHORIZED USER FROM MAXIMO ASSET MANAGEMENT LIMITED USE AUTHORIZED USER TRADE UP LICENSE + SW SUBSCRIPTION &amp; SUPPORT 12 MONTHS</t>
  </si>
  <si>
    <t>D0T12LL</t>
  </si>
  <si>
    <t>IBM MAXIMO FOR LIFE SCIENCES AUTHORIZED USER FROM MAXIMO FOR LIFE SCIENCES LIMITED USE AUTHORIZED USER TRADE UP LICENCE + SW SUBSCRIPTION &amp; SUPPORT 12 MONTHS</t>
  </si>
  <si>
    <t>E0AVLLL</t>
  </si>
  <si>
    <t>IBM MAXIMO FOR LIFE SCIENCES AUTHORIZED USER ANNUAL SW SUBSCRIPTION &amp; SUPPORT RENEWAL</t>
  </si>
  <si>
    <t>IBM MAXIMO FOR LIFE SCIENCES AUTHORIZED USER LICENSE + SW SUBSCRIPTION &amp; SUPPORT 12 MONTHS</t>
  </si>
  <si>
    <t>D0H0DLL</t>
  </si>
  <si>
    <t>IBM MAXIMO FOR LIFE SCIENCES AUTHORIZED USER SW SUBSCRIPTION &amp; SUPPORT REINSTATEMENT 12 MONTHS</t>
  </si>
  <si>
    <t>E0N87LL</t>
  </si>
  <si>
    <t>IBM MAXIMO FOR LIFE SCIENCES CONCURRENT USER ANNUAL SW SUBSCRIPTION &amp; SUPPORT RENEWAL</t>
  </si>
  <si>
    <t>D1R7BLL</t>
  </si>
  <si>
    <t>IBM MAXIMO FOR LIFE SCIENCES CONCURRENT USER LICENSE + SW SUBSCRIPTION &amp; SUPPORT 12 MONTHS</t>
  </si>
  <si>
    <t>D1R7CLL</t>
  </si>
  <si>
    <t>IBM MAXIMO FOR LIFE SCIENCES CONCURRENT USER SW SUBSCRIPTION &amp; SUPPORT REINSTATEMENT 12 MONTHS</t>
  </si>
  <si>
    <t>E0N88LL</t>
  </si>
  <si>
    <t>IBM MAXIMO FOR LIFE SCIENCES CONCURRENT USER LINUX Z SYSTEM ANNUAL SW SUBSCRIPTION &amp; SUPPORT RENEWAL</t>
  </si>
  <si>
    <t>D1R7GLL</t>
  </si>
  <si>
    <t>IBM MAXIMO FOR LIFE SCIENCES CONCURRENT USER LICENSE LINUX Z SYSTEM + SW SUBSCRIPTION &amp; SUPPORT 12 MONTHS</t>
  </si>
  <si>
    <t>D1R7HLL</t>
  </si>
  <si>
    <t>IBM MAXIMO FOR LIFE SCIENCES CONCURRENT USER LINUX Z SYSTEM SW SUBSCRIPTION &amp; SUPPORT REINSTATEMENT 12 MONTHS</t>
  </si>
  <si>
    <t>D1R7JLL</t>
  </si>
  <si>
    <t>IBM MAXIMO FOR LIFE SCIENCES CONCURRENT USER LINUX Z SYSTEM TRADE UP FROM 3 MAXIMO FOR LIFE SCIENCES AUTHORIZED USER LINUX Z SYSTEM + SW SUBSCRIPTION &amp; SUPPORT 12 MONTHS</t>
  </si>
  <si>
    <t>D1R7ILL</t>
  </si>
  <si>
    <t>IBM MAXIMO FOR LIFE SCIENCES CONCURRENT USER LINUX Z SYSTEM TRADE UP FROM MAXIMO ASSET MANAGEMENT CONCURRENT USER LINUX Z SYSTEM + SW SUBSCRIPTION &amp; SUPPORT 12 MONTHS</t>
  </si>
  <si>
    <t>D1R7ELL</t>
  </si>
  <si>
    <t>IBM MAXIMO FOR LIFE SCIENCES CONCURRENT USER TRADE UP FROM 3 MAXIMO LIFE SCIENCES AUTHORIZED USER + SW SUBSCRIPTION &amp; SUPPORT 12 MONTHS</t>
  </si>
  <si>
    <t>D1R7DLL</t>
  </si>
  <si>
    <t>IBM MAXIMO FOR LIFE SCIENCES CONCURRENT USER TRADE UP FROM MAXIMO ASSET MANAGEMENT CONCURRENT USER + SW SUBSCRIPTION &amp; SUPPORT 12 MONTHS</t>
  </si>
  <si>
    <t>E0AVPLL</t>
  </si>
  <si>
    <t>IBM MAXIMO FOR LIFE SCIENCES FOR LINUX ON SYSTEM Z ADD ON AUTHORIZED USER ANNUAL SW SUBSCRIPTION &amp; SUPPORT RENEWAL</t>
  </si>
  <si>
    <t>D0H0MLL</t>
  </si>
  <si>
    <t>IBM MAXIMO FOR LIFE SCIENCES FOR LINUX ON SYSTEM Z ADD ON AUTHORIZED USER LICENSE + SW SUBSCRIPTION &amp; SUPPORT 12 MONTHS</t>
  </si>
  <si>
    <t>D0H0NLL</t>
  </si>
  <si>
    <t>IBM MAXIMO FOR LIFE SCIENCES FOR LINUX ON SYSTEM Z ADD ON AUTHORIZED USER SW SUBSCRIPTION &amp; SUPPORT REINSTATEMENT 12 MONTHS</t>
  </si>
  <si>
    <t>D0H0KLL</t>
  </si>
  <si>
    <t>IBM MAXIMO FOR LIFE SCIENCES FOR LINUX ON SYSTEM Z AUTHORIZED USER FROM MAXIMO ASSET MANAGEMENT LINUX ON SYSTEM Z AUTHORIZED USER TRADE UP LICENSE + SW SUBSCRIPTION &amp; SUPPORT 12 MONTHS</t>
  </si>
  <si>
    <t>D0H0LLL</t>
  </si>
  <si>
    <t>IBM MAXIMO FOR LIFE SCIENCES FOR LINUX ON SYSTEM Z AUTHORIZED USER FROM MAXIMO ASSET MANAGEMENT LINUX ON SYSTEM Z LIMITED USE AUTHORIZED USER TRADE UP LICENSE + SW SUBSCRIPTION &amp; SUPPORT 12 MONTHS</t>
  </si>
  <si>
    <t>D0T13LL</t>
  </si>
  <si>
    <t>IBM MAXIMO FOR LIFE SCIENCES FOR LINUX ON SYSTEM Z AUTHORIZED USER FROM MAXIMO FOR LIFE SCIENCES LIMITED USE FOR LINUX ON SYSTEM Z AUTHORIZED USER TRADE UP LICENCE + SW SUBSCRIPTION &amp; SUPPORT 12 MONTHS</t>
  </si>
  <si>
    <t>E0AVNLL</t>
  </si>
  <si>
    <t>IBM MAXIMO FOR LIFE SCIENCES FOR LINUX ON SYSTEM Z AUTHORIZED USER ANNUAL SW SUBSCRIPTION &amp; SUPPORT RENEWAL</t>
  </si>
  <si>
    <t>D0H0ILL</t>
  </si>
  <si>
    <t>IBM MAXIMO FOR LIFE SCIENCES FOR LINUX ON SYSTEM Z AUTHORIZED USER LICENSE + SW SUBSCRIPTION &amp; SUPPORT 12 MONTHS</t>
  </si>
  <si>
    <t>D0H0JLL</t>
  </si>
  <si>
    <t>IBM MAXIMO FOR LIFE SCIENCES FOR LINUX ON SYSTEM Z AUTHORIZED USER SW SUBSCRIPTION &amp; SUPPORT REINSTATEMENT 12 MONTHS</t>
  </si>
  <si>
    <t>D0T07LL</t>
  </si>
  <si>
    <t>IBM MAXIMO FOR LIFE SCIENCES LIMITED USE AUTHORIZED USER FROM MAXIMO ASSET MANAGEMENT LIMITED USE AUTHORIZED USER TRADE UP LICENCE + SW SUBSCRIPTION &amp; SUPPORT 12 MONTHS</t>
  </si>
  <si>
    <t>D0T05LL</t>
  </si>
  <si>
    <t>E0EEQLL</t>
  </si>
  <si>
    <t>IBM MAXIMO FOR LIFE SCIENCES LIMITED USE AUTHORIZED USER ANNUAL SW SUBSCRIPTION &amp; SUPPORT RENEWAL</t>
  </si>
  <si>
    <t>IBM MAXIMO FOR LIFE SCIENCES LIMITED USE AUTHORIZED USER LICENCE + SW SUBSCRIPTION &amp; SUPPORT 12 MONTHS</t>
  </si>
  <si>
    <t>D0T06LL</t>
  </si>
  <si>
    <t>IBM MAXIMO FOR LIFE SCIENCES LIMITED USE AUTHORIZED USER SW SUBSCRIPTION &amp; SUPPORT REINSTATEMENT 12 MONTHS</t>
  </si>
  <si>
    <t>D0T0GLL</t>
  </si>
  <si>
    <t>IBM MAXIMO FOR LIFE SCIENCES LIMITED USE FOR LINUX ON SYSTEM Z AUTHORIZED USER FROM MAXIMO ASSET MANAGEMENT LIMITED USE FOR LINUX ON SYSTEM Z AUTHORIZED USER TRADE UP LICENCE + SW SUBSCRIPTION &amp; SUPPORT 12 MONTHS</t>
  </si>
  <si>
    <t>D0T0ALL</t>
  </si>
  <si>
    <t>E0EESLL</t>
  </si>
  <si>
    <t>IBM MAXIMO FOR LIFE SCIENCES LIMITED USE FOR LINUX ON SYSTEM Z AUTHORIZED USER ANNUAL SW SUBSCRIPTION &amp; SUPPORT RENEWAL</t>
  </si>
  <si>
    <t>IBM MAXIMO FOR LIFE SCIENCES LIMITED USE FOR LINUX ON SYSTEM Z AUTHORIZED USER LICENCE + SW SUBSCRIPTION &amp; SUPPORT 12 MONTHS</t>
  </si>
  <si>
    <t>D0T0CLL</t>
  </si>
  <si>
    <t>IBM MAXIMO FOR LIFE SCIENCES LIMITED USE FOR LINUX ON SYSTEM Z AUTHORIZED USER SW SUBSCRIPTION &amp; SUPPORT REINSTATEMENT 12 MONTHS</t>
  </si>
  <si>
    <t>MXI NUCLEAR</t>
  </si>
  <si>
    <t>5724U19</t>
  </si>
  <si>
    <t>IBM Maximo for Nuclear Power</t>
  </si>
  <si>
    <t>Maximo for Nuclear Power</t>
  </si>
  <si>
    <t>E0AV6LL</t>
  </si>
  <si>
    <t>IBM MAXIMO FOR NUCLEAR POWER ADD ON AUTHORIZED USER ANNUAL SW SUBSCRIPTION &amp; SUPPORT RENEWAL</t>
  </si>
  <si>
    <t>D0GZ3LL</t>
  </si>
  <si>
    <t>IBM MAXIMO FOR NUCLEAR POWER ADD ON AUTHORIZED USER LICENSE + SW SUBSCRIPTION &amp; SUPPORT 12 MONTHS</t>
  </si>
  <si>
    <t>D0GZ4LL</t>
  </si>
  <si>
    <t>IBM MAXIMO FOR NUCLEAR POWER ADD ON AUTHORIZED USER SW SUBSCRIPTION &amp; SUPPORT REINSTATEMENT 12 MONTHS</t>
  </si>
  <si>
    <t>E0NHXLL</t>
  </si>
  <si>
    <t>IBM MAXIMO FOR NUCLEAR POWER ADD ON CONCURRENT USER ANNUAL SW SUBSCRIPTION &amp; SUPPORT RENEWAL</t>
  </si>
  <si>
    <t>D1SH0LL</t>
  </si>
  <si>
    <t>IBM MAXIMO FOR NUCLEAR POWER ADD ON CONCURRENT USER LICENSE + SW SUBSCRIPTION &amp; SUPPORT 12 MONTHS</t>
  </si>
  <si>
    <t>D1SH1LL</t>
  </si>
  <si>
    <t>IBM MAXIMO FOR NUCLEAR POWER ADD ON CONCURRENT USER SW SUBSCRIPTION &amp; SUPPORT REINSTATEMENT 12 MONTHS</t>
  </si>
  <si>
    <t>D1SDCLL</t>
  </si>
  <si>
    <t>IBM MAXIMO FOR NUCLEAR POWER ADD ON CONCURRENT USER LICENSE LINUX ON Z SYSTEMS TRADE UP FROM 3 MAXIMO FOR NUCLEAR POWER ADD ON AUTHORIZED USER LICENSE LINUX ON Z SYSTEMS + SW SUBSCRIPTION &amp; SUPPORT 12 MONTHS</t>
  </si>
  <si>
    <t>D1SDALL</t>
  </si>
  <si>
    <t>D1SH2LL</t>
  </si>
  <si>
    <t>IBM MAXIMO FOR NUCLEAR POWER ADD ON CONCURRENT USER LICENSE TRADE UP FROM 3 MAXIMO FOR NUCLEAR POWER ADD ON AUTHORIZED USER LICENSE + SW SUBSCRIPTION &amp; SUPPORT 12 MONTHS</t>
  </si>
  <si>
    <t>E0NHWLL</t>
  </si>
  <si>
    <t>IBM MAXIMO FOR NUCLEAR POWER ADD ON CONCURRENT USER LINUX ON Z SYSTEMS ANNUAL SW SUBSCRIPTION &amp; SUPPORT RENEWAL</t>
  </si>
  <si>
    <t>IBM MAXIMO FOR NUCLEAR POWER ADD ON CONCURRENT USER LICENSE LINUX ON Z SYSTEMS + SW SUBSCRIPTION &amp; SUPPORT 12 MONTH</t>
  </si>
  <si>
    <t>D1SDBLL</t>
  </si>
  <si>
    <t>IBM MAXIMO FOR NUCLEAR POWER ADD ON CONCURRENT USER LINUX ON Z SYSTEMS SW SUBSCRIPTION &amp; SUPPORT REINSTATEMENT 12 MONTHS</t>
  </si>
  <si>
    <t>D0GZ1LL</t>
  </si>
  <si>
    <t>IBM MAXIMO FOR NUCLEAR POWER AUTHORIZED USER FROM MAXIMO ASSET MANAGEMENT AUTHORIZED USER TRADE UP LICENSE + SW SUBSCRIPTION &amp; SUPPORT 12 MONTHS</t>
  </si>
  <si>
    <t>D0GYZLL</t>
  </si>
  <si>
    <t>D0GZ2LL</t>
  </si>
  <si>
    <t>IBM MAXIMO FOR NUCLEAR POWER AUTHORIZED USER FROM MAXIMO ASSET MANAGEMENT LIMITED USE AUTHORIZED USER TRADE UP LICENSE + SW SUBSCRIPTION &amp; SUPPORT 12 MONTHS</t>
  </si>
  <si>
    <t>D0T0ULL</t>
  </si>
  <si>
    <t>IBM MAXIMO FOR NUCLEAR POWER AUTHORIZED USER FROM MAXIMO FOR NUCLEAR POWER LIMITED USE AUTHORIZED USER TRADE UP LICENCE + SW SUBSCRIPTION &amp; SUPPORT 12 MONTHS</t>
  </si>
  <si>
    <t>E0AV5LL</t>
  </si>
  <si>
    <t>IBM MAXIMO FOR NUCLEAR POWER AUTHORIZED USER ANNUAL SW SUBSCRIPTION &amp; SUPPORT RENEWAL</t>
  </si>
  <si>
    <t>IBM MAXIMO FOR NUCLEAR POWER AUTHORIZED USER LICENSE + SW SUBSCRIPTION &amp; SUPPORT 12 MONTHS</t>
  </si>
  <si>
    <t>D0GZ0LL</t>
  </si>
  <si>
    <t>IBM MAXIMO FOR NUCLEAR POWER AUTHORIZED USER SW SUBSCRIPTION &amp; SUPPORT REINSTATEMENT 12 MONTHS</t>
  </si>
  <si>
    <t>E0NHVLL</t>
  </si>
  <si>
    <t>IBM MAXIMO FOR NUCLEAR POWER CONCURRENT USER ANNUAL SW SUBSCRIPTION &amp; SUPPORT RENEWAL 12 MONTHS</t>
  </si>
  <si>
    <t>D1SD0LL</t>
  </si>
  <si>
    <t>IBM MAXIMO FOR NUCLEAR POWER CONCURRENT USER LICENSE + SW SUBSCRIPTION &amp; SUPPORT 12 MONTHS</t>
  </si>
  <si>
    <t>D1SD1LL</t>
  </si>
  <si>
    <t>IBM MAXIMO FOR NUCLEAR POWER CONCURRENT USER SW SUBSCRIPTION &amp; SUPPORT REINSTATEMENT 12 MONTHS</t>
  </si>
  <si>
    <t>D1SCZLL</t>
  </si>
  <si>
    <t>IBM MAXIMO FOR NUCLEAR POWER CONCURRENT USER LICENSE LINUX ON Z SYSTEMS TRADE UP FROM 3 MAXIMO FOR NUCLEAR POWER AUTHORIZED USER LICENSE LINUX ON Z SYSTEMS + SW SUBSCRIPTION &amp; SUPPORT 12 MONTHS</t>
  </si>
  <si>
    <t>D1SCWLL</t>
  </si>
  <si>
    <t>D1SCYLL</t>
  </si>
  <si>
    <t>IBM MAXIMO FOR NUCLEAR POWER CONCURRENT USER LICENSE LINUX ON Z SYSTEMS TRADE UP FROM MAXIMO ASSET MANAGEMENT CONCURRENT USER LICENSE LINUX ON Z SYSTEMS + SW SUBSCRIPTION &amp; SUPPORT 12 MONTHS</t>
  </si>
  <si>
    <t>D1SD3LL</t>
  </si>
  <si>
    <t>IBM MAXIMO FOR NUCLEAR POWER CONCURRENT USER LICENSE TRADE UP FROM 3 MAXIMO NUCLEAR POWER AUTHORIZED USER LICENSE + SW SUBSCRIPTION &amp; SUPPORT 12 MONTHS</t>
  </si>
  <si>
    <t>D1SD2LL</t>
  </si>
  <si>
    <t>IBM MAXIMO FOR NUCLEAR POWER CONCURRENT USER LICENSE TRADE UP FROM MAXIMO ASSET MANAGEMENT CONCURRENT USER LICENSE + SW SUBSCRIPTION &amp; SUPPORT 12 MONTHS</t>
  </si>
  <si>
    <t>E0NHULL</t>
  </si>
  <si>
    <t>IBM MAXIMO FOR NUCLEAR POWER CONCURRENT USER LINUX ON Z SYSTEMS ANNUAL SW SUBSCRIPTION &amp; SUPPORT RENEWAL</t>
  </si>
  <si>
    <t>IBM MAXIMO FOR NUCLEAR POWER CONCURRENT USER LICENSE LINUX ON Z SYSTEMS + SW SUBSCRIPTION &amp; SUPPORT 12 MONTHS</t>
  </si>
  <si>
    <t>D1SCXLL</t>
  </si>
  <si>
    <t>IBM MAXIMO FOR NUCLEAR POWER CONCURRENT USER LINUX ON Z SYSTEMS SW SUBSCRIPTION &amp; SUPPORT REINSTATEMENT 12 MONTHS</t>
  </si>
  <si>
    <t>E0AV8LL</t>
  </si>
  <si>
    <t>IBM MAXIMO FOR NUCLEAR POWER FOR LINUX ON SYSTEM Z ADD ON AUTHORIZED USER ANNUAL SW SUBSCRIPTION &amp; SUPPORT RENEWAL</t>
  </si>
  <si>
    <t>D0GZ9LL</t>
  </si>
  <si>
    <t>IBM MAXIMO FOR NUCLEAR POWER FOR LINUX ON SYSTEM Z ADD ON AUTHORIZED USER LICENSE + SW SUBSCRIPTION &amp; SUPPORT 12 MONTHS</t>
  </si>
  <si>
    <t>D0GZALL</t>
  </si>
  <si>
    <t>IBM MAXIMO FOR NUCLEAR POWER FOR LINUX ON SYSTEM Z ADD ON AUTHORIZED USER SW SUBSCRIPTION &amp; SUPPORT REINSTATEMENT 12 MONTHS</t>
  </si>
  <si>
    <t>D0GZ8LL</t>
  </si>
  <si>
    <t>IBM MAXIMO FOR NUCLEAR POWER FOR LINUX ON SYSTEM Z AUTHORIZED USER FROM MAXIMO ASSET MANAGEMENT LINUX ON SYSTEM Z AUTHORIZED USER TRADE UP LICENSE + SW SUBSCRIPTION &amp; SUPPORT 12 MONTHS</t>
  </si>
  <si>
    <t>D0GZ5LL</t>
  </si>
  <si>
    <t>D0GZ7LL</t>
  </si>
  <si>
    <t>IBM MAXIMO FOR NUCLEAR POWER FOR LINUX ON SYSTEM Z AUTHORIZED USER FROM MAXIMO ASSET MANAGEMENT LINUX ON SYSTEM Z LIMITED USE AUTHORIZED USER TRADE UP LICENSE + SW SUBSCRIPTION &amp; SUPPORT 12 MONTHS</t>
  </si>
  <si>
    <t>D0T0VLL</t>
  </si>
  <si>
    <t>IBM MAXIMO FOR NUCLEAR POWER FOR LINUX ON SYSTEM Z AUTHORIZED USER FROM MAXIMO FOR NUCLEAR POWER LIMITED USE FOR LINUX ON SYSTEM Z ATHORIZED USER TRADE UP LICENCE + SW SUBSCRIPTION &amp; SUPPORT 12 MONTHS</t>
  </si>
  <si>
    <t>E0AV7LL</t>
  </si>
  <si>
    <t>IBM MAXIMO FOR NUCLEAR POWER FOR LINUX ON SYSTEM Z AUTHORIZED USER ANNUAL SW SUBSCRIPTION &amp; SUPPORT RENEWAL</t>
  </si>
  <si>
    <t>IBM MAXIMO FOR NUCLEAR POWER FOR LINUX ON SYSTEM Z AUTHORIZED USER LICENSE + SW SUBSCRIPTION &amp; SUPPORT 12 MONTHS</t>
  </si>
  <si>
    <t>D0GZ6LL</t>
  </si>
  <si>
    <t>IBM MAXIMO FOR NUCLEAR POWER FOR LINUX ON SYSTEM Z AUTHORIZED USER SW SUBSCRIPTION &amp; SUPPORT REINSTATEMENT 12 MONTHS</t>
  </si>
  <si>
    <t>D0S8RLL</t>
  </si>
  <si>
    <t>IBM MAXIMO FOR NUCLEAR POWER LIMITED USE AUTHORIZED USER FROM MAXIMO ASSET MANAGEMENT LIMITED USE AUTHORIZED USER TRADE UP LICENCE + SW SUBSCRIPTION &amp; SUPPORT 12 MONTHS</t>
  </si>
  <si>
    <t>D0S8PLL</t>
  </si>
  <si>
    <t>LIMITED</t>
  </si>
  <si>
    <t>E0ED9LL</t>
  </si>
  <si>
    <t>IBM MAXIMO FOR NUCLEAR POWER LIMITED USE AUTHORIZED USER ANNUAL SW SUBSCRIPTION &amp; SUPPORT RENEWAL</t>
  </si>
  <si>
    <t>IBM MAXIMO FOR NUCLEAR POWER LIMITED USE AUTHORIZED USER LICENCE + SW SUBSCRIPTION &amp; SUPPORT 12 MONTHS</t>
  </si>
  <si>
    <t>D0S8QLL</t>
  </si>
  <si>
    <t>IBM MAXIMO FOR NUCLEAR POWER LIMITED USE AUTHORIZED USER SW SUBSCRIPTION &amp; SUPPORT REINSTATEMENT 12 MONTHS</t>
  </si>
  <si>
    <t>D0S8ULL</t>
  </si>
  <si>
    <t>IBM MAXIMO FOR NUCLEAR POWER LIMITED USE FOR LINUX ON SYSTEM Z AUTHORIZED USER FROM MAXIMO ASSET MANAGEMENT LIMITED USE FOR LINUX ON SYSTEM Z AUTHORIZED USER TRADE UP LICENCE + SW SUBSCRIPTION &amp; SUPPORT 12 MONTHS</t>
  </si>
  <si>
    <t>D0S8SLL</t>
  </si>
  <si>
    <t>E0EDALL</t>
  </si>
  <si>
    <t>IBM MAXIMO FOR NUCLEAR POWER LIMITED USE FOR LINUX ON SYSTEM Z AUTHORIZED USER ANNUAL SW SUBSCRIPTION &amp; SUPPORT RENEWAL</t>
  </si>
  <si>
    <t>IBM MAXIMO FOR NUCLEAR POWER LIMITED USE FOR LINUX ON SYSTEM Z AUTHORIZED USER LICENCE + SW SUBSCRIPTION &amp; SUPPORT 12 MONTHS</t>
  </si>
  <si>
    <t>D0S8TLL</t>
  </si>
  <si>
    <t>IBM MAXIMO FOR NUCLEAR POWER LIMITED USE FOR LINUX ON SYSTEM Z AUTHORIZED USER SW SUBSCRIPTION &amp; SUPPORT REINSTATEMENT 12 MONTHS</t>
  </si>
  <si>
    <t>MXI OILGAS</t>
  </si>
  <si>
    <t>5724U20</t>
  </si>
  <si>
    <t>IBM Maximo for Oil and Gas</t>
  </si>
  <si>
    <t>Maximo for Oil and Gas</t>
  </si>
  <si>
    <t>E0AVALL</t>
  </si>
  <si>
    <t>IBM MAXIMO FOR OIL AND GAS ADD ON AUTHORIZED USER ANNUAL SW SUBSCRIPTION &amp; SUPPORT RENEWAL</t>
  </si>
  <si>
    <t>D0GZFLL</t>
  </si>
  <si>
    <t>IBM MAXIMO FOR OIL AND GAS ADD ON AUTHORIZED USER LICENSE + SW SUBSCRIPTION &amp; SUPPORT 12 MONTHS</t>
  </si>
  <si>
    <t>D0GZGLL</t>
  </si>
  <si>
    <t>IBM MAXIMO FOR OIL AND GAS ADD ON AUTHORIZED USER SW SUBSCRIPTION &amp; SUPPORT REINSTATEMENT 12 MONTHS</t>
  </si>
  <si>
    <t>E0N2YLL</t>
  </si>
  <si>
    <t>IBM MAXIMO FOR OIL AND GAS ADD ON CONCURRENT USER ANNUAL SW SUBSCRIPTION &amp; SUPPORT RENEWAL 12 MONTHS</t>
  </si>
  <si>
    <t>D1Q7NLL</t>
  </si>
  <si>
    <t>IBM MAXIMO FOR OIL AND GAS ADD ON CONCURRENT USER LICENSE + SW SUBSCRIPTION &amp; SUPPORT 12 MONTHS</t>
  </si>
  <si>
    <t>D1Q7PLL</t>
  </si>
  <si>
    <t>IBM MAXIMO FOR OIL AND GAS ADD ON CONCURRENT USER SW SUBSCRIPTION &amp; SUPPORT REINSTATEMENT 12 MONTHS</t>
  </si>
  <si>
    <t>D1QAFLL</t>
  </si>
  <si>
    <t>IBM MAXIMO FOR OIL AND GAS ADD-ON CONCURRENT USER LINUX ON Z SYSTEM TRADE UP FROM 3 MAXIMO OIL AND GAS AUTHORIZED USER ON Z SYSTEM + SW SUBSCRIPTION &amp; SUPPORT 12 MONTHS</t>
  </si>
  <si>
    <t>D1QADLL</t>
  </si>
  <si>
    <t>E0N3GLL</t>
  </si>
  <si>
    <t>IBM MAXIMO FOR OIL AND GAS ADD-ON CONCURRENT USER LINUX Z SYSTEM ANNUAL SW SUBSCRIPTION &amp; SUPPORT RENEWAL</t>
  </si>
  <si>
    <t>IBM MAXIMO FOR OIL AND GAS ADD-ON CONCURRENT USER LINUX Z SYSTEM + SW SUBSCRIPTION &amp; SUPPORT 12 MONTHS</t>
  </si>
  <si>
    <t>D1QAELL</t>
  </si>
  <si>
    <t>IBM MAXIMO FOR OIL AND GAS ADD-ON CONCURRENT USER LINUX Z SYSTEM SW SUBSCRIPTION &amp; SUPPORT REINSTATEMENT 12 MONTHS</t>
  </si>
  <si>
    <t>D1Q7QLL</t>
  </si>
  <si>
    <t>IBM MAXIMO FOR OIL AND GAS ADD-ON CONCURRENT USER TRADE UP FROM 3 MAXIMO FOR OIL AND GAS ADD ON AUTHORIZED USER + SW SUBSCRIPTION &amp; SUPPORT 12 MONTHS</t>
  </si>
  <si>
    <t>D0GZELL</t>
  </si>
  <si>
    <t>IBM MAXIMO FOR OIL AND GAS AUTHORIZED USER FROM MAXIMO ASSET MANAGEMENT AUTHORIZED USER TRADE UP LICENSE + SW SUBSCRIPTION &amp; SUPPORT 12 MONTHS</t>
  </si>
  <si>
    <t>D0GZBLL</t>
  </si>
  <si>
    <t>D0GZDLL</t>
  </si>
  <si>
    <t>IBM MAXIMO FOR OIL AND GAS AUTHORIZED USER FROM MAXIMO ASSET MANAGEMENT LIMITED USE AUTHORIZED USER TRADE UP LICENSE + SW SUBSCRIPTION &amp; SUPPORT 12 MONTHS</t>
  </si>
  <si>
    <t>D0T0WLL</t>
  </si>
  <si>
    <t>IBM MAXIMO FOR OIL AND GAS AUTHORIZED USER FROM MAXIMO FOR OIL AND GAS LIMITED USE AUTHORIZED USER TRADE UP LICENCE + SW SUBSCRIPTION &amp; SUPPORT 12 MONTHS</t>
  </si>
  <si>
    <t>E0AV9LL</t>
  </si>
  <si>
    <t>IBM MAXIMO FOR OIL AND GAS AUTHORIZED USER ANNUAL SW SUBSCRIPTION &amp; SUPPORT RENEWAL</t>
  </si>
  <si>
    <t>IBM MAXIMO FOR OIL AND GAS AUTHORIZED USER LICENSE + SW SUBSCRIPTION &amp; SUPPORT 12 MONTHS</t>
  </si>
  <si>
    <t>D0GZCLL</t>
  </si>
  <si>
    <t>IBM MAXIMO FOR OIL AND GAS AUTHORIZED USER SW SUBSCRIPTION &amp; SUPPORT REINSTATEMENT 12 MONTHS</t>
  </si>
  <si>
    <t>E0N2WLL</t>
  </si>
  <si>
    <t>IBM MAXIMO FOR OIL AND GAS CONCURRENT USER ANNUAL SW SUBSCRIPTION &amp; SUPPORT RENEWAL 12 MONTHS</t>
  </si>
  <si>
    <t>D1Q7DLL</t>
  </si>
  <si>
    <t>IBM MAXIMO FOR OIL AND GAS CONCURRENT USER LICENSE + SW SUBSCRIPTION &amp; SUPPORT 12 MONTHS</t>
  </si>
  <si>
    <t>D1Q7ELL</t>
  </si>
  <si>
    <t>IBM MAXIMO FOR OIL AND GAS CONCURRENT USER SW SUBSCRIPTION &amp; SUPPORT REINSTATEMENT 12 MONTHS</t>
  </si>
  <si>
    <t>D1Q7LLL</t>
  </si>
  <si>
    <t>IBM MAXIMO FOR OIL AND GAS CONCURRENT USER LINUX ON Z SYSTEM TRADE UP FROM 3 MAXIMO OIL AND GAS AUTHORIZED USER ON Z SYSTEM + SW SUBSCRIPTION &amp; SUPPORT 12 MONTHS</t>
  </si>
  <si>
    <t>D1Q7ILL</t>
  </si>
  <si>
    <t>D1Q7KLL</t>
  </si>
  <si>
    <t>IBM MAXIMO FOR OIL AND GAS CONCURRENT USER LINUX ON Z SYSTEM TRADE UP FROM MAXIMO ASSET MANAGEMENT CONCURRENT USER ON Z SYSTEM + SW SUBSCRIPTION &amp; SUPPORT 12 MONTHS</t>
  </si>
  <si>
    <t>E0N2XLL</t>
  </si>
  <si>
    <t>IBM MAXIMO FOR OIL AND GAS CONCURRENT USER LINUX Z SYSTEM ANNUAL SW SUBSCRIPTION &amp; SUPPORT RENEWAL</t>
  </si>
  <si>
    <t>IBM MAXIMO FOR OIL AND GAS CONCURRENT USER LINUX Z SYSTEM + SW SUBSCRIPTION &amp; SUPPORT 12 MONTHS</t>
  </si>
  <si>
    <t>D1Q7JLL</t>
  </si>
  <si>
    <t>IBM MAXIMO FOR OIL AND GAS CONCURRENT USER LINUX Z SYSTEM SW SUBSCRIPTION &amp; SUPPORT REINSTATEMENT 12 MONTHS</t>
  </si>
  <si>
    <t>D1Q7GLL</t>
  </si>
  <si>
    <t>IBM MAXIMO FOR OIL AND GAS CONCURRENT USER TRADE UP FROM 3 MAXIMO OIL AND GAS AUTHORIZED USER + SW SUBSCRIPTION &amp; SUPPORT 12 MONTHS</t>
  </si>
  <si>
    <t>D1Q7FLL</t>
  </si>
  <si>
    <t>IBM MAXIMO FOR OIL AND GAS CONCURRENT USER TRADE UP FROM MAXIMO ASSET MANAGEMENT CONCURRENT USER + SW SUBSCRIPTION &amp; SUPPORT 12 MONTHS</t>
  </si>
  <si>
    <t>E0AVCLL</t>
  </si>
  <si>
    <t>IBM MAXIMO FOR OIL AND GAS FOR LINUX ON SYSTEM Z ADD ON AUTHORIZED USER ANNUAL SW SUBSCRIPTION &amp; SUPPORT RENEWAL</t>
  </si>
  <si>
    <t>D0GZLLL</t>
  </si>
  <si>
    <t>IBM MAXIMO FOR OIL AND GAS FOR LINUX ON SYSTEM Z ADD ON AUTHORIZED USER LICENSE + SW SUBSCRIPTION &amp; SUPPORT 12 MONTHS</t>
  </si>
  <si>
    <t>D0GZMLL</t>
  </si>
  <si>
    <t>IBM MAXIMO FOR OIL AND GAS FOR LINUX ON SYSTEM Z ADD ON AUTHORIZED USER SW SUBSCRIPTION &amp; SUPPORT REINSTATEMENT 12 MONTHS</t>
  </si>
  <si>
    <t>D0GZJLL</t>
  </si>
  <si>
    <t>IBM MAXIMO FOR OIL AND GAS FOR LINUX ON SYSTEM Z AUTHORIZED USER FROM MAXIMO ASSET MANAGEMENT LINUX ON SYSTEM Z AUTHORIZED USER TRADE UP LICENSE + SW SUBSCRIPTION &amp; SUPPORT 12 MONTHS</t>
  </si>
  <si>
    <t>D0GZKLL</t>
  </si>
  <si>
    <t>IBM MAXIMO FOR OIL AND GAS FOR LINUX ON SYSTEM Z AUTHORIZED USER FROM MAXIMO ASSET MANAGEMENT LINUX ON SYSTEM Z LIMITED USE AUTHORIZED USER TRADE UP LICENSE + SW SUBSCRIPTION &amp; SUPPORT 12 MONTHS</t>
  </si>
  <si>
    <t>D0T0XLL</t>
  </si>
  <si>
    <t>IBM MAXIMO FOR OIL AND GAS FOR LINUX ON SYSTEM Z AUTHORIZED USER FROM MAXIMO FOR OIL AND GAS LIMITED USE FOR LINUX ON SYSTEM Z AUTHORIZED USER TRADE UP LICENCE + SW SUBSCRIPTION &amp; SUPPORT 12 MONTHS</t>
  </si>
  <si>
    <t>E0AVBLL</t>
  </si>
  <si>
    <t>IBM MAXIMO FOR OIL AND GAS FOR LINUX ON SYSTEM Z AUTHORIZED USER ANNUAL SW SUBSCRIPTION &amp; SUPPORT RENEWAL</t>
  </si>
  <si>
    <t>D0GZHLL</t>
  </si>
  <si>
    <t>IBM MAXIMO FOR OIL AND GAS FOR LINUX ON SYSTEM Z AUTHORIZED USER LICENSE + SW SUBSCRIPTION &amp; SUPPORT 12 MONTHS</t>
  </si>
  <si>
    <t>D0GZILL</t>
  </si>
  <si>
    <t>IBM MAXIMO FOR OIL AND GAS FOR LINUX ON SYSTEM Z AUTHORIZED USER SW SUBSCRIPTION &amp; SUPPORT REINSTATEMENT 12 MONTHS</t>
  </si>
  <si>
    <t>D0S91LL</t>
  </si>
  <si>
    <t>IBM MAXIMO FOR OIL AND GAS LIMITED USE AUTHORIZED USER FROM MAXIMO ASSET MANAGEMENT LIMITED USE AUTHORIZED USER TRADE UP LICENCE + SW SUBSCRIPTION &amp; SUPPORT 12 MONTHS</t>
  </si>
  <si>
    <t>D0S8ZLL</t>
  </si>
  <si>
    <t>E0EDBLL</t>
  </si>
  <si>
    <t>IBM MAXIMO FOR OIL AND GAS LIMITED USE AUTHORIZED USER ANNUAL SW SUBSCRIPTION &amp; SUPPORT RENEWAL</t>
  </si>
  <si>
    <t>IBM MAXIMO FOR OIL AND GAS LIMITED USE AUTHORIZED USER LICENCE + SW SUBSCRIPTION &amp; SUPPORT 12 MONTHS</t>
  </si>
  <si>
    <t>D0S90LL</t>
  </si>
  <si>
    <t>IBM MAXIMO FOR OIL AND GAS LIMITED USE AUTHORIZED USER SW SUBSCRIPTION &amp; SUPPORT REINSTATEMENT 12 MONTHS</t>
  </si>
  <si>
    <t>D0S94LL</t>
  </si>
  <si>
    <t>IBM MAXIMO FOR OIL AND GAS LIMITED USE FOR LINUX ON SYSTEM Z AUTHORIZED USER FROM MAXIMO ASSET MANAGEMENT LIMITED USE FOR LINUX ON SYSTEM Z AUTHORIZED USER TRADE UP LICENCE + SW SUBSCRIPTION &amp; SUPPORT 12 MONTHS</t>
  </si>
  <si>
    <t>D0S92LL</t>
  </si>
  <si>
    <t>E0EDCLL</t>
  </si>
  <si>
    <t>IBM MAXIMO FOR OIL AND GAS LIMITED USE FOR LINUX ON SYSTEM Z AUTHORIZED USER ANNUAL SW SUBSCRIPTION &amp; SUPPORT RENEWAL</t>
  </si>
  <si>
    <t>IBM MAXIMO FOR OIL AND GAS LIMITED USE FOR LINUX ON SYSTEM Z AUTHORIZED USER LICENCE + SW SUBSCRIPTION &amp; SUPPORT 12 MONTHS</t>
  </si>
  <si>
    <t>D0S93LL</t>
  </si>
  <si>
    <t>IBM MAXIMO FOR OIL AND GAS LIMITED USE FOR LINUX ON SYSTEM Z AUTHORIZED USER SW SUBSCRIPTION &amp; SUPPORT REINSTATEMENT 12 MONTHS</t>
  </si>
  <si>
    <t>MXI TRANSPRT</t>
  </si>
  <si>
    <t>5724U21</t>
  </si>
  <si>
    <t>IBM Maximo for Transportation</t>
  </si>
  <si>
    <t>Maximo for Transportation</t>
  </si>
  <si>
    <t>E0AVELL</t>
  </si>
  <si>
    <t>IBM MAXIMO FOR TRANSPORTATION ADD ON AUTHORIZED USER ANNUAL SW SUBSCRIPTION &amp; SUPPORT RENEWAL</t>
  </si>
  <si>
    <t>D0GZSLL</t>
  </si>
  <si>
    <t>IBM MAXIMO FOR TRANSPORTATION ADD ON AUTHORIZED USER LICENSE + SW SUBSCRIPTION &amp; SUPPORT 12 MONTHS</t>
  </si>
  <si>
    <t>D0GZTLL</t>
  </si>
  <si>
    <t>IBM MAXIMO FOR TRANSPORTATION ADD ON AUTHORIZED USER SW SUBSCRIPTION &amp; SUPPORT REINSTATEMENT 12 MONTHS</t>
  </si>
  <si>
    <t>E0N85LL</t>
  </si>
  <si>
    <t>IBM MAXIMO FOR TRANSPORTATION ADD ON PER CONCURRENT USER ANNUAL SW SUBSCRIPTION &amp; SUPPORT RENEWAL</t>
  </si>
  <si>
    <t>D1R73LL</t>
  </si>
  <si>
    <t>IBM MAXIMO FOR TRANSPORTATION ADD ON PER CONCURRENT USER LICENSE + SW SUBSCRIPTION &amp; SUPPORT 12 MONTHS</t>
  </si>
  <si>
    <t>D1R74LL</t>
  </si>
  <si>
    <t>IBM MAXIMO FOR TRANSPORTATION ADD ON PER CONCURRENT USER SW SUBSCRIPTION &amp; SUPPORT REINSTATEMENT 12 MONTHS</t>
  </si>
  <si>
    <t>E0N86LL</t>
  </si>
  <si>
    <t>IBM MAXIMO FOR TRANSPORTATION ADD ON PER CONCURRENT USER LINUX Z SYSTEM ANNUAL SW SUBSCRIPTION &amp; SUPPORT RENEWAL</t>
  </si>
  <si>
    <t>D1R77LL</t>
  </si>
  <si>
    <t>IBM MAXIMO FOR TRANSPORTATION ADD ON PER CONCURRENT USER LICENSE LINUX Z SYSTEM + SW SUBSCRIPTION &amp; SUPPORT 12 MONTHS</t>
  </si>
  <si>
    <t>D1R78LL</t>
  </si>
  <si>
    <t>IBM MAXIMO FOR TRANSPORTATION ADD ON PER CONCURRENT USER LINUX Z SYSTEM SW SUBSCRIPTION &amp; SUPPORT REINSTATEMENT 12 MONTHS</t>
  </si>
  <si>
    <t>D1R79LL</t>
  </si>
  <si>
    <t>IBM MAXIMO FOR TRANSPORTATION ADD ON PER CONCURRENT USER LINUX Z SYSTEM TRADE UP FROM 3 MAXIMO FOR TRANSPORTATION ADD ON AUTHORIZED USER LINUX Z SYSTEM + SW SUBSCRIPTION &amp; SUPPORT 12 MONTHS</t>
  </si>
  <si>
    <t>D1R75LL</t>
  </si>
  <si>
    <t>IBM MAXIMO FOR TRANSPORTATION ADD ON PER CONCURRENT USER TRADE UP FROM 3 MAXIMO FOR TRANSPORTATION ADD ON AUTHORIZED USER + SW SUBSCRIPTION &amp; SUPPORT 12 MONTHS</t>
  </si>
  <si>
    <t>D0GZQLL</t>
  </si>
  <si>
    <t>IBM MAXIMO FOR TRANSPORTATION AUTHORIZED USER FROM MAXIMO ASSET MANAGEMENT AUTHORIZED USER TRADE UP LICENSE + SW SUBSCRIPTION &amp; SUPPORT 12 MONTHS</t>
  </si>
  <si>
    <t>D0GZNLL</t>
  </si>
  <si>
    <t>D0GZRLL</t>
  </si>
  <si>
    <t>IBM MAXIMO FOR TRANSPORTATION AUTHORIZED USER FROM MAXIMO ASSET MANAGEMENT LIMITED USE AUTHORIZED USER TRADE UP LICENSE + SW SUBSCRIPTION &amp; SUPPORT 12 MONTHS</t>
  </si>
  <si>
    <t>D0T0YLL</t>
  </si>
  <si>
    <t>IBM MAXIMO FOR TRANSPORTATION AUTHORIZED USER FROM MAXIMO FOR TRANSPORTATION LIMITED USE AUTHORIZED USER TRADE UP LICENCE + SW SUBSCRIPTION &amp; SUPPORT 12 MONTHS</t>
  </si>
  <si>
    <t>E0AVDLL</t>
  </si>
  <si>
    <t>IBM MAXIMO FOR TRANSPORTATION AUTHORIZED USER ANNUAL SW SUBSCRIPTION &amp; SUPPORT RENEWAL</t>
  </si>
  <si>
    <t>IBM MAXIMO FOR TRANSPORTATION AUTHORIZED USER LICENSE + SW SUBSCRIPTION &amp; SUPPORT 12 MONTHS</t>
  </si>
  <si>
    <t>D0GZPLL</t>
  </si>
  <si>
    <t>IBM MAXIMO FOR TRANSPORTATION AUTHORIZED USER SW SUBSCRIPTION &amp; SUPPORT REINSTATEMENT 12 MONTHS</t>
  </si>
  <si>
    <t>E0N83LL</t>
  </si>
  <si>
    <t>IBM MAXIMO FOR TRANSPORTATION CONCURRENT USER ANNUAL SW SUBSCRIPTION &amp; SUPPORT RENEWAL</t>
  </si>
  <si>
    <t>D1R6TLL</t>
  </si>
  <si>
    <t>IBM MAXIMO FOR TRANSPORTATION CONCURRENT USER LICENSE + SW SUBSCRIPTION &amp; SUPPORT 12 MONTHS</t>
  </si>
  <si>
    <t>D1R6ULL</t>
  </si>
  <si>
    <t>IBM MAXIMO FOR TRANSPORTATION CONCURRENT USER SW SUBSCRIPTION &amp; SUPPORT REINSTATEMENT 12 MONTHS</t>
  </si>
  <si>
    <t>E0N84LL</t>
  </si>
  <si>
    <t>IBM MAXIMO FOR TRANSPORTATION CONCURRENT USER LINUX Z SYSTEM ANNUAL SW SUBSCRIPTION &amp; SUPPORT RENEWAL</t>
  </si>
  <si>
    <t>D1R6YLL</t>
  </si>
  <si>
    <t>IBM MAXIMO FOR TRANSPORTATION CONCURRENT USER LICENSE LINUX Z SYSTEM + SW SUBSCRIPTION &amp; SUPPORT 12 MONTHS</t>
  </si>
  <si>
    <t>D1R6ZLL</t>
  </si>
  <si>
    <t>IBM MAXIMO FOR TRANSPORTATION CONCURRENT USER LINUX Z SYSTEM SW SUBSCRIPTION &amp; SUPPORT REINSTATEMENT 12 MONTHS</t>
  </si>
  <si>
    <t>D1R71LL</t>
  </si>
  <si>
    <t>IBM MAXIMO FOR TRANSPORTATION CONCURRENT USER LINUX Z SYSTEM TRADE UP FROM 3 MAXIMO FOR TRANSPORTATION AUTHORIZED USER LINUX Z SYSTEM + SW SUBSCRIPTION &amp; SUPPORT 12 MONTHS</t>
  </si>
  <si>
    <t>D1R70LL</t>
  </si>
  <si>
    <t>IBM MAXIMO FOR TRANSPORTATION CONCURRENT USER LINUX Z SYSTEM TRADE UP FROM MAXIMO ASSET MANAGEMENT CONCURRENT USER LINUX Z SYSTEM + SW SUBSCRIPTION &amp; SUPPORT 12 MONTHS</t>
  </si>
  <si>
    <t>D1R6WLL</t>
  </si>
  <si>
    <t>IBM MAXIMO FOR TRANSPORTATION CONCURRENT USER TRADE UP FROM 3 MAXIMO FOR TRANSPORTATION AUTHORIZED USER + SW SUBSCRIPTION &amp; SUPPORT 12 MONTHS</t>
  </si>
  <si>
    <t>D1R6VLL</t>
  </si>
  <si>
    <t>IBM MAXIMO FOR TRANSPORTATION CONCURRENT USER TRADE UP FROM MAXIMO ASSET MANAGEMENT CONCURRENT USER + SW SUBSCRIPTION &amp; SUPPORT 12 MONTHS</t>
  </si>
  <si>
    <t>E0AVGLL</t>
  </si>
  <si>
    <t>IBM MAXIMO FOR TRANSPORTATION FOR LINUX ON SYSTEM Z ADD ON AUTHORIZED USER ANNUAL SW SUBSCRIPTION &amp; SUPPORT RENEWAL</t>
  </si>
  <si>
    <t>D0GZYLL</t>
  </si>
  <si>
    <t>IBM MAXIMO FOR TRANSPORTATION FOR LINUX ON SYSTEM Z ADD ON AUTHORIZED USER LICENSE + SW SUBSCRIPTION &amp; SUPPORT 12 MONTHS</t>
  </si>
  <si>
    <t>D0GZZLL</t>
  </si>
  <si>
    <t>IBM MAXIMO FOR TRANSPORTATION FOR LINUX ON SYSTEM Z ADD ON AUTHORIZED USER SW SUBSCRIPTION &amp; SUPPORT REINSTATEMENT 12 MONTHS</t>
  </si>
  <si>
    <t>D0GZWLL</t>
  </si>
  <si>
    <t>IBM MAXIMO FOR TRANSPORTATION FOR LINUX ON SYSTEM Z AUTHORIZED USER FROM MAXIMO ASSET MANAGEMENT LINUX ON SYSTEM Z AUTHORIZED USER TRADE UP LICENSE + SW SUBSCRIPTION &amp; SUPPORT 12 MONTHS</t>
  </si>
  <si>
    <t>D0GZULL</t>
  </si>
  <si>
    <t>D0GZXLL</t>
  </si>
  <si>
    <t>IBM MAXIMO FOR TRANSPORTATION FOR LINUX ON SYSTEM Z AUTHORIZED USER FROM MAXIMO ASSET MANAGEMENT LINUX ON SYSTEM Z LIMITED USE AUTHORIZED USER TRADE UP LICENSE + SW SUBSCRIPTION &amp; SUPPORT 12 MONTHS</t>
  </si>
  <si>
    <t>D0T0ZLL</t>
  </si>
  <si>
    <t>IBM MAXIMO FOR TRANSPORTATION FOR LINUX ON SYSTEM Z AUTHORIZED USER FROM MAXIMO FOR TRANSPORTATION LIMITED USE FOR LINUX ON SYSTEM Z AUTHORIZED USER TRADE UP LICENCE + SW SUBSCRIPTION &amp; SUPPORT 12 MONTHS</t>
  </si>
  <si>
    <t>E0AVFLL</t>
  </si>
  <si>
    <t>IBM MAXIMO FOR TRANSPORTATION FOR LINUX ON SYSTEM Z AUTHORIZED USER ANNUAL SW SUBSCRIPTION &amp; SUPPORT RENEWAL</t>
  </si>
  <si>
    <t>IBM MAXIMO FOR TRANSPORTATION FOR LINUX ON SYSTEM Z AUTHORIZED USER LICENSE + SW SUBSCRIPTION &amp; SUPPORT 12 MONTHS</t>
  </si>
  <si>
    <t>D0GZVLL</t>
  </si>
  <si>
    <t>IBM MAXIMO FOR TRANSPORTATION FOR LINUX ON SYSTEM Z AUTHORIZED USER SW SUBSCRIPTION &amp; SUPPORT REINSTATEMENT 12 MONTHS</t>
  </si>
  <si>
    <t>D0S97LL</t>
  </si>
  <si>
    <t>IBM MAXIMO FOR TRANSPORTATION LIMITED USE AUTHORIZED USER FROM MAXIMO ASSET MANAGEMENT LIMITED USE AUTHORIZED USER TRADE UP LICENCE + SW SUBSCRIPTION &amp; SUPPORT 12 MONTHS</t>
  </si>
  <si>
    <t>D0S95LL</t>
  </si>
  <si>
    <t>E0EDDLL</t>
  </si>
  <si>
    <t>IBM MAXIMO FOR TRANSPORTATION LIMITED USE AUTHORIZED USER ANNUAL SW SUBSCRIPTION &amp; SUPPORT RENEWAL</t>
  </si>
  <si>
    <t>IBM MAXIMO FOR TRANSPORTATION LIMITED USE AUTHORIZED USER LICENCE + SW SUBSCRIPTION &amp; SUPPORT 12 MONTHS</t>
  </si>
  <si>
    <t>D0S96LL</t>
  </si>
  <si>
    <t>IBM MAXIMO FOR TRANSPORTATION LIMITED USE AUTHORIZED USER SW SUBSCRIPTION &amp; SUPPORT REINSTATEMENT 12 MONTHS</t>
  </si>
  <si>
    <t>D0S9ALL</t>
  </si>
  <si>
    <t>IBM MAXIMO FOR TRANSPORTATION LIMITED USE FOR LINUX ON SYSTEM Z AUTHORIZED USER FROM MAXIMO ASSET MANAGEMENT LIMITED USE FOR LINUX ON SYSTEM Z AUTHORIZED USER TRADE UP LICENCE + SW SUBSCRIPTION &amp; SUPPORT 12 MONTHS</t>
  </si>
  <si>
    <t>D0S98LL</t>
  </si>
  <si>
    <t>E0EDELL</t>
  </si>
  <si>
    <t>IBM MAXIMO FOR TRANSPORTATION LIMITED USE FOR LINUX ON SYSTEM Z AUTHORIZED USER ANNUAL SW SUBSCRIPTION &amp; SUPPORT RENEWAL</t>
  </si>
  <si>
    <t>IBM MAXIMO FOR TRANSPORTATION LIMITED USE FOR LINUX ON SYSTEM Z AUTHORIZED USER LICENCE + SW SUBSCRIPTION &amp; SUPPORT 12 MONTHS</t>
  </si>
  <si>
    <t>D0S99LL</t>
  </si>
  <si>
    <t>IBM MAXIMO FOR TRANSPORTATION LIMITED USE ZENTERPRISE BLADECENTER EXTENSION AND LINUX ON SYSTEM Z AUTHORIZED USER SW SUBSCRIPTION &amp; SUPPPORT REINSTATEMENT 12 MONTHS</t>
  </si>
  <si>
    <t>MXI UTILITY</t>
  </si>
  <si>
    <t>5724U22</t>
  </si>
  <si>
    <t>IBM Maximo for Utilities</t>
  </si>
  <si>
    <t>Maximo for Utilities</t>
  </si>
  <si>
    <t>E0AVILL</t>
  </si>
  <si>
    <t>IBM MAXIMO FOR UTILITIES ADD ON AUTHORIZED USER ANNUAL SW SUBSCRIPTION &amp; SUPPORT RENEWAL</t>
  </si>
  <si>
    <t>D0H04LL</t>
  </si>
  <si>
    <t>IBM MAXIMO FOR UTILITIES ADD ON AUTHORIZED USER LICENSE + SW SUBSCRIPTION &amp; SUPPORT 12 MONTHS</t>
  </si>
  <si>
    <t>D0H05LL</t>
  </si>
  <si>
    <t>IBM MAXIMO FOR UTILITIES ADD ON AUTHORIZED USER SW SUBSCRIPTION &amp; SUPPORT REINSTATEMENT 12 MONTHS</t>
  </si>
  <si>
    <t>E0N3JLL</t>
  </si>
  <si>
    <t>IBM MAXIMO FOR UTILITIES ADD ON CONCURRENT USER ANNUAL SW SUBSCRIPTION &amp; SUPPORT RENEWAL 12 MONTHS</t>
  </si>
  <si>
    <t>D1QASLL</t>
  </si>
  <si>
    <t>IBM MAXIMO FOR UTILITIES ADD ON CONCURRENT USER LICENSE + SW SUBSCRIPTION &amp; SUPPORT 12 MONTHS</t>
  </si>
  <si>
    <t>D1QATLL</t>
  </si>
  <si>
    <t>IBM MAXIMO FOR UTILITIES ADD ON CONCURRENT USER SW SUBSCRIPTION &amp; SUPPORT REINSTATEMENT 12 MONTHS</t>
  </si>
  <si>
    <t>D1QAYLL</t>
  </si>
  <si>
    <t>IBM MAXIMO FOR UTILITIES ADD ON CONCURRENT USER LINUX ON Z SYSTEM TRADE UP FROM 3 MAXIMO FOR UTILITIES ADD ON AUTHORIZED USER ON Z SYSTEM + SW SUBSCRIPTION &amp; SUPPORT 12 MONTHS</t>
  </si>
  <si>
    <t>D1QAWLL</t>
  </si>
  <si>
    <t>D1QAULL</t>
  </si>
  <si>
    <t>IBM MAXIMO FOR UTILITIES ADD ON CONCURRENT USER TRADE UP FROM 3 MAXIMO FOR UTILITIES ADD ON AUTHORIZED USER + SW SUBSCRIPTION &amp; SUPPORT 12 MONTHS</t>
  </si>
  <si>
    <t>E0N3KLL</t>
  </si>
  <si>
    <t>IBM MAXIMO FOR UTILITIES ADD-ON CONCURRENT USER LINUX Z SYSTEM ANNUAL SW SUBSCRIPTION &amp; SUPPORT RENEWAL</t>
  </si>
  <si>
    <t>IBM MAXIMO FOR UTILITIES ADD-ON CONCURRENT USER LINUX Z SYSTEM + SW SUBSCRIPTION &amp; SUPPORT 12 MONTHS</t>
  </si>
  <si>
    <t>D1QAXLL</t>
  </si>
  <si>
    <t>IBM MAXIMO FOR UTILITIES ADD-ON CONCURRENT USER LINUX Z SYSTEM SW SUBSCRIPTION &amp; SUPPORT REINSTATEMENT 12 MONTHS</t>
  </si>
  <si>
    <t>D0H02LL</t>
  </si>
  <si>
    <t>IBM MAXIMO FOR UTILITIES AUTHORIZED USER FROM MAXIMO ASSET MANAGEMENT AUTHORIZED USER TRADE UP LICENSE + SW SUBSCRIPTION &amp; SUPPORT 12 MONTHS</t>
  </si>
  <si>
    <t>D0H00LL</t>
  </si>
  <si>
    <t>D0H03LL</t>
  </si>
  <si>
    <t>IBM MAXIMO FOR UTILITIES AUTHORIZED USER FROM MAXIMO ASSET MANAGEMENT LIMITED USE AUTHORIZED USER TRADE UP LICENSE + SW SUBSCRIPTION &amp; SUPPORT 12 MONTHS</t>
  </si>
  <si>
    <t>D0T10LL</t>
  </si>
  <si>
    <t>IBM MAXIMO FOR UTILITIES AUTHORIZED USER FROM MAXIMO FOR UTILITIES LIMITED USE AUTHORIZED USER TRADE UP LICENCE + SW SUBSCRIPTION &amp; SUPPORT 12 MONTHS</t>
  </si>
  <si>
    <t>E0AVHLL</t>
  </si>
  <si>
    <t>IBM MAXIMO FOR UTILITIES AUTHORIZED USER ANNUAL SW SUBSCRIPTION &amp; SUPPORT RENEWAL</t>
  </si>
  <si>
    <t>IBM MAXIMO FOR UTILITIES AUTHORIZED USER LICENSE + SW SUBSCRIPTION &amp; SUPPORT 12 MONTHS</t>
  </si>
  <si>
    <t>D0H01LL</t>
  </si>
  <si>
    <t>IBM MAXIMO FOR UTILITIES AUTHORIZED USER SW SUBSCRIPTION &amp; SUPPORT REINSTATEMENT 12 MONTHS</t>
  </si>
  <si>
    <t>E0N3HLL</t>
  </si>
  <si>
    <t>IBM MAXIMO FOR UTILITIES CONCURRENT USER ANNUAL SW SUBSCRIPTION &amp; SUPPORT RENEWAL 12 MONTHS</t>
  </si>
  <si>
    <t>D1QAHLL</t>
  </si>
  <si>
    <t>IBM MAXIMO FOR UTILITIES CONCURRENT USER LICENSE + SW SUBSCRIPTION &amp; SUPPORT 12 MONTHS</t>
  </si>
  <si>
    <t>D1QAILL</t>
  </si>
  <si>
    <t>IBM MAXIMO FOR UTILITIES CONCURRENT USER SW SUBSCRIPTION &amp; SUPPORT REINSTATEMENT 12 MONTHS</t>
  </si>
  <si>
    <t>E0N3ILL</t>
  </si>
  <si>
    <t>IBM MAXIMO FOR UTILITIES CONCURRENT USER LINUX Z SYSTEM ANNUAL SW SUBSCRIPTION &amp; SUPPORT RENEWAL</t>
  </si>
  <si>
    <t>D1QAMLL</t>
  </si>
  <si>
    <t>IBM MAXIMO FOR UTILITIES CONCURRENT USER LINUX Z SYSTEM + SW SUBSCRIPTION &amp; SUPPORT 12 MONTHS</t>
  </si>
  <si>
    <t>D1QANLL</t>
  </si>
  <si>
    <t>IBM MAXIMO FOR UTILITIES CONCURRENT USER LINUX Z SYSTEM SW SUBSCRIPTION &amp; SUPPORT REINSTATEMENT 12 MONTHS</t>
  </si>
  <si>
    <t>D1QAKLL</t>
  </si>
  <si>
    <t>IBM MAXIMO FOR UTILITIES CONCURRENT USER TRADE UP FROM 3 MAXIMO FOR UTILITIES AUTHORIZED USER + SW SUBSCRIPTION &amp; SUPPORT 12 MONTHS</t>
  </si>
  <si>
    <t>D1QAJLL</t>
  </si>
  <si>
    <t>IBM MAXIMO FOR UTILITIES CONCURRENT USER TRADE UP FROM MAXIMO ASSET MANAGEMENT CONCURRENT USER + SW SUBSCRIPTION &amp; SUPPORT 12 MONTHS</t>
  </si>
  <si>
    <t>E0AVKLL</t>
  </si>
  <si>
    <t>IBM MAXIMO FOR UTILITIES FOR LINUX ON SYSTEM Z ADD ON AUTHORIZED USER ANNUAL SW SUBSCRIPTION &amp; SUPPORT RENEWAL</t>
  </si>
  <si>
    <t>D0H0ALL</t>
  </si>
  <si>
    <t>IBM MAXIMO FOR UTILITIES FOR LINUX ON SYSTEM Z ADD ON AUTHORIZED USER LICENSE + SW SUBSCRIPTION &amp; SUPPORT 12 MONTHS</t>
  </si>
  <si>
    <t>D0H0BLL</t>
  </si>
  <si>
    <t>IBM MAXIMO FOR UTILITIES FOR LINUX ON SYSTEM Z ADD ON AUTHORIZED USER SW SUBSCRIPTION &amp; SUPPORT REINSTATEMENT 12 MONTHS</t>
  </si>
  <si>
    <t>D0H09LL</t>
  </si>
  <si>
    <t>IBM MAXIMO FOR UTILITIES FOR LINUX ON SYSTEM Z AUTHORIZED USER FROM MAXIMO ASSET MANAGEMENT LINUX ON SYSTEM Z AUTHORIZED USER TRADE UP LICENSE + SW SUBSCRIPTION &amp; SUPPORT 12 MONTHS</t>
  </si>
  <si>
    <t>D0H06LL</t>
  </si>
  <si>
    <t>D0H08LL</t>
  </si>
  <si>
    <t>IBM MAXIMO FOR UTILITIES FOR LINUX ON SYSTEM Z AUTHORIZED USER FROM MAXIMO ASSET MANAGEMENT LINUX ON SYSTEM Z LIMITED USE AUTHORIZED USER TRADE UP LICENSE + SW SUBSCRIPTION &amp; SUPPORT 12 MONTHS</t>
  </si>
  <si>
    <t>D0T11LL</t>
  </si>
  <si>
    <t>IBM MAXIMO FOR UTILITIES FOR LINUX ON SYSTEM Z AUTHORIZED USER FROM MAXIMO FOR UTILITIES LIMITED USE FOR LINUX ON SYSTEM Z AUTHORIZED USER TRADE UP LICENCE + SW SUBSCRIPTION &amp; SUPPORT 12 MONTHS</t>
  </si>
  <si>
    <t>E0AVJLL</t>
  </si>
  <si>
    <t>IBM MAXIMO FOR UTILITIES FOR LINUX ON SYSTEM Z AUTHORIZED USER ANNUAL SW SUBSCRIPTION &amp; SUPPORT RENEWAL</t>
  </si>
  <si>
    <t>IBM MAXIMO FOR UTILITIES FOR LINUX ON SYSTEM Z AUTHORIZED USER LICENSE + SW SUBSCRIPTION &amp; SUPPORT 12 MONTHS</t>
  </si>
  <si>
    <t>D0H07LL</t>
  </si>
  <si>
    <t>IBM MAXIMO FOR UTILITIES FOR LINUX ON SYSTEM Z AUTHORIZED USER SW SUBSCRIPTION &amp; SUPPORT REINSTATEMENT 12 MONTHS</t>
  </si>
  <si>
    <t>D0S9DLL</t>
  </si>
  <si>
    <t>IBM MAXIMO FOR UTILITIES LIMITED USE AUTHORIZED USER FROM MAXIMO ASSET MANAGEMENT LIMITED USE AUTHORIZED USER TRADE UP LICENCE + SW SUBSCRIPTION &amp; SUPPORT 12 MONTHS</t>
  </si>
  <si>
    <t>D0S9BLL</t>
  </si>
  <si>
    <t>E0EDFLL</t>
  </si>
  <si>
    <t>IBM MAXIMO FOR UTILITIES LIMITED USE AUTHORIZED USER ANNUAL SW SUBSCRIPTION &amp; SUPPORT RENEWAL</t>
  </si>
  <si>
    <t>IBM MAXIMO FOR UTILITIES LIMITED USE AUTHORIZED USER LICENCE + SW SUBSCRIPTION &amp; SUPPORT 12 MONTHS</t>
  </si>
  <si>
    <t>D0S9CLL</t>
  </si>
  <si>
    <t>IBM MAXIMO FOR UTILITIES LIMITED USE AUTHORIZED USER SW SUBSCRIPTION &amp; SUPPORT REINSTATEMENT 12 MONTHS</t>
  </si>
  <si>
    <t>D0T04LL</t>
  </si>
  <si>
    <t>IBM MAXIMO FOR UTILITIES LIMITED USE FOR LINUX ON SYSTEM Z AUTHORIZED USER FROM MAXIMO ASSET MANAGEMENT LIMITED USE FOR LINUX ON SYSTEM Z AUTHORIZED USER TRADE UP LICENCE + SW SUBSCRIPTION &amp; SUPPORT 12 MONTHS</t>
  </si>
  <si>
    <t>D0T00LL</t>
  </si>
  <si>
    <t>E0EEMLL</t>
  </si>
  <si>
    <t>IBM MAXIMO FOR UTILITIES LIMITED USE FOR LINUX ON SYSTEM Z AUTHORIZED USER ANNUAL SW SUBSCRIPTION &amp; SUPPORT RENEWAL</t>
  </si>
  <si>
    <t>IBM MAXIMO FOR UTILITIES LIMITED USE FOR LINUX ON SYSTEM Z AUTHORIZED USER LICENCE + SW SUBSCRIPTION &amp; SUPPORT 12 MONTHS</t>
  </si>
  <si>
    <t>D0T01LL</t>
  </si>
  <si>
    <t>IBM MAXIMO FOR UTILITIES LIMITED USE FOR LINUX ON SYSTEM Z AUTHORIZED USER SW SUBSCRIPTION &amp; SUPPORT REINSTATEMENT 12 MONTHS</t>
  </si>
  <si>
    <t>D1QAQLL</t>
  </si>
  <si>
    <t>IBM MAXIMO FOR UTILITIES PER CONCURRENT USER LINUX ON Z SYSTEM TRADE UP FROM 3 MAXIMO FOR UTILITIES AUTHORIZED USER ON Z SYSTEM + SW SUBSCRIPTION &amp; SUPPORT 12 MONTHS</t>
  </si>
  <si>
    <t>D1QAPLL</t>
  </si>
  <si>
    <t>IBM MAXIMO FOR UTILITIES PER CONCURRENT USER LINUX ON Z SYSTEM TRADE UP FROM MAXIMO ASSET MANAGEMENT CONCURRENT USER ON Z SYSTEM + SW SUBSCRIPTION &amp; SUPPORT 12 MONTHS</t>
  </si>
  <si>
    <t>E0NSHLL</t>
  </si>
  <si>
    <t>IBM MAXIMO GRAPHICAL APPOINTMENT BOOK FOR SCHEDULER PLUS PER AUTHORIZED USER ANNUAL SW SUBSCRIPTION &amp; SUPPORT RENEWAL</t>
  </si>
  <si>
    <t>D1UEFLL</t>
  </si>
  <si>
    <t>IBM MAXIMO GRAPHICAL APPOINTMENT BOOK FOR SCHEDULER PLUS PER AUTHORIZED USER LICENSE + SW SUBSCRIPTION &amp; SUPPORT 12 MONTHS</t>
  </si>
  <si>
    <t>D1UEGLL</t>
  </si>
  <si>
    <t>IBM MAXIMO GRAPHICAL APPOINTMENT BOOK FOR SCHEDULER PLUS PER AUTHORIZED USER SW SUBSCRIPTION &amp; SUPPORT REINSTATEMENT 12 MONTHS</t>
  </si>
  <si>
    <t>E0NSJLL</t>
  </si>
  <si>
    <t>IBM MAXIMO GRAPHICAL APPOINTMENT BOOK FOR SCHEDULER PLUS PER AUTHORIZED USER LINUX Z SYSTEM ANNUAL SW SUBSCRIPTION &amp; SUPPORT RENEWAL</t>
  </si>
  <si>
    <t>D1UEJLL</t>
  </si>
  <si>
    <t>IBM MAXIMO GRAPHICAL APPOINTMENT BOOK FOR SCHEDULER PLUS PER AUTHORIZED USER LINUX Z SYSTEM LICENSE + SW SUBSCRIPTION &amp; SUPPORT 12 MONTHS</t>
  </si>
  <si>
    <t>D1UEKLL</t>
  </si>
  <si>
    <t>IBM MAXIMO GRAPHICAL APPOINTMENT BOOK FOR SCHEDULER PLUS PER AUTHORIZED USER LINUX Z SYSTEM SW SUBSCRIPTION &amp; SUPPORT REINSTATEMENT 12 MONTHS</t>
  </si>
  <si>
    <t>E0NSILL</t>
  </si>
  <si>
    <t>IBM MAXIMO GRAPHICAL APPOINTMENT BOOK FOR SCHEDULER PLUS PER CONCURRENT USER ANNUAL SW SUBSCRIPTION &amp; SUPPORT RENEWAL</t>
  </si>
  <si>
    <t>D1UEHLL</t>
  </si>
  <si>
    <t>IBM MAXIMO GRAPHICAL APPOINTMENT BOOK FOR SCHEDULER PLUS PER CONCURRENT USER LICENSE + SW SUBSCRIPTION &amp; SUPPORT 12 MONTHS</t>
  </si>
  <si>
    <t>D1UEILL</t>
  </si>
  <si>
    <t>IBM MAXIMO GRAPHICAL APPOINTMENT BOOK FOR SCHEDULER PLUS PER CONCURRENT USER SW SUBSCRIPTION &amp; SUPPORT REINSTATEMENT 12 MONTHS</t>
  </si>
  <si>
    <t>E0NSKLL</t>
  </si>
  <si>
    <t>IBM MAXIMO GRAPHICAL APPOINTMENT BOOK FOR SCHEDULER PLUS PER CONCURRENT USER LINUX Z SYSTEM ANNUAL SW SUBSCRIPTION &amp; SUPPORT RENEWAL</t>
  </si>
  <si>
    <t>D1UELLL</t>
  </si>
  <si>
    <t>IBM MAXIMO GRAPHICAL APPOINTMENT BOOK FOR SCHEDULER PLUS PER CONCURRENT USER LINUX Z SYSTEM LICENSE + SW SUBSCRIPTION &amp; SUPPORT 12 MONTHS</t>
  </si>
  <si>
    <t>D1UEMLL</t>
  </si>
  <si>
    <t>IBM MAXIMO GRAPHICAL APPOINTMENT BOOK FOR SCHEDULER PLUS PER CONCURRENT USER LINUX Z SYSTEM SW SUBSCRIPTION &amp; SUPPORT REINSTATEMENT 12 MONTHS</t>
  </si>
  <si>
    <t>MXA HSE</t>
  </si>
  <si>
    <t>E0N2ULL</t>
  </si>
  <si>
    <t>IBM MAXIMO SAFETY AND ENVIRONMENT MANAGER CONCURRENT USER ANNUAL SW SUBSCRIPTION &amp; SUPPORT RENEWAL 12 MONTHS</t>
  </si>
  <si>
    <t>D1Q75LL</t>
  </si>
  <si>
    <t>IBM MAXIMO HEALTH SAFETY AND ENVIRONMENT MANAGER CONCURRENT USER LICENSE + SW SUBSCRIPTION &amp; SUPPORT 12 MONTHS</t>
  </si>
  <si>
    <t>D1Q76LL</t>
  </si>
  <si>
    <t>IBM MAXIMO HEALTH SAFETY AND ENVIRONMENT MANAGER CONCURRENT USER SW SUBSCRIPTION &amp; SUPPORT REINSTATEMENT 12 MONTHS</t>
  </si>
  <si>
    <t>E0CS1LL</t>
  </si>
  <si>
    <t>IBM MAXIMO HEALTH,SAFETY AND ENVIRONMENT MANAGER AUTHORIZED USER FOR LINUX ON SYSTEM Z ANNUAL SW SUBSCRIPTION &amp; SUPPORT RENEWAL</t>
  </si>
  <si>
    <t>D0L7QLL</t>
  </si>
  <si>
    <t>IBM MAXIMO HEALTH,SAFETY AND ENVIRONMENT MANAGER AUTHORIZED USER FOR LINUX ON SYSTEM Z LICENSE + SW SUBSCRIPTION &amp; SUPPORT 12 MONTHS</t>
  </si>
  <si>
    <t>D0L7RLL</t>
  </si>
  <si>
    <t>IBM MAXIMO HEALTH,SAFETY AND ENVIRONMENT MANAGER AUTHORIZED USER FOR LINUX ON SYSTEM Z SW SUBSCRIPTION &amp; SUPPORT REINSTATEMENT 12 MONTHS</t>
  </si>
  <si>
    <t>E0CS3LL</t>
  </si>
  <si>
    <t>IBM MAXIMO HEALTH,SAFETY AND ENVIRONMENT MANAGER AUTHORIZED USER ANNUAL SW SUBSCRIPTION &amp; SUPPORT RENEWAL</t>
  </si>
  <si>
    <t>D0L7TLL</t>
  </si>
  <si>
    <t>IBM MAXIMO HEALTH,SAFETY AND ENVIRONMENT MANAGER AUTHORIZED USER LICENSE + SW SUBSCRIPTION &amp; SUPPORT 12 MONTHS</t>
  </si>
  <si>
    <t>D0L7ULL</t>
  </si>
  <si>
    <t>IBM MAXIMO HEALTH,SAFETY AND ENVIRONMENT MANAGER AUTHORIZED USER SW SUBSCRIPTION &amp; SUPPORT REINSTATEMENT 12 MONTHS</t>
  </si>
  <si>
    <t>D1Q7BLL</t>
  </si>
  <si>
    <t>IBM MAXIMO HEALTH,SAFETY AND ENVIRONMENT MANAGER CONCURRENT USER LINUX ON Z SYSTEM TRADE UP FROM 3 MAXIMO HEALTH,SAFETY AND ENVIRONMENT MANAGER AUTHORIZED USER LINUX ON Z SYSTEM + SW SUBSCRIPTION &amp; SUPPORT 12 MONTHS</t>
  </si>
  <si>
    <t>D1Q79LL</t>
  </si>
  <si>
    <t>E0N2VLL</t>
  </si>
  <si>
    <t>IBM MAXIMO HEALTH,SAFETY AND ENVIRONMENT MANAGER CONCURRENT USER LINUX Z SYSTEM ANNUAL SW SUBSCRIPTION &amp; SUPPORT RENEWAL</t>
  </si>
  <si>
    <t>IBM MAXIMO HEALTH,SAFETY AND ENVIRONMENT MANAGER CONCURRENT USER LINUX Z SYSTEM + SW SUBSCRIPTION &amp; SUPPORT 12 MONTHS</t>
  </si>
  <si>
    <t>D1Q7ALL</t>
  </si>
  <si>
    <t>IBM MAXIMO HEALTH,SAFETY AND ENVIRONMENT MANAGER CONCURRENT USER LINUX Z SYSTEM SW SUBSCRIPTION &amp; SUPPORT REINSTATEMENT 12 MONTHS</t>
  </si>
  <si>
    <t>D1Q77LL</t>
  </si>
  <si>
    <t>IBM MAXIMO HEALTH,SAFETY AND ENVIRONMENT MANAGER CONCURRENT USER TRADE UP FROM 3 MAXIMO HEALTH,SAFETY AND ENVIRONMENT MANAGER AUTHORIZED USER + SW SUBSCRIPTION &amp; SUPPORT 12 MONTHS</t>
  </si>
  <si>
    <t>MXA LINEAR</t>
  </si>
  <si>
    <t>E04STLL</t>
  </si>
  <si>
    <t>IBM MAXIMO LINEAR ASSET MANAGER AUTHORIZED USER ANNUAL SW SUBSCRIPTION &amp; SUPPORT RENEWAL</t>
  </si>
  <si>
    <t>D040SLL</t>
  </si>
  <si>
    <t>IBM MAXIMO LINEAR ASSET MANAGER AUTHORIZED USER LICENSE + SW SUBSCRIPTION &amp; SUPPORT 12 MONTHS</t>
  </si>
  <si>
    <t>D040TLL</t>
  </si>
  <si>
    <t>IBM MAXIMO LINEAR ASSET MANAGER AUTHORIZED USER SW SUBSCRIPTION &amp; SUPPORT REINSTATEMENT 12 MONTHS</t>
  </si>
  <si>
    <t>E0N81LL</t>
  </si>
  <si>
    <t>IBM MAXIMO LINEAR ASSET MANAGER CONCURRENT USER ANNUAL SW SUBSCRIPTION &amp; SUPPORT RENEWAL</t>
  </si>
  <si>
    <t>D1R6KLL</t>
  </si>
  <si>
    <t>IBM MAXIMO LINEAR ASSET MANAGER CONCURRENT USER LICENSE + SW SUBSCRIPTION &amp; SUPPORT 12 MONTHS</t>
  </si>
  <si>
    <t>D1R6LLL</t>
  </si>
  <si>
    <t>IBM MAXIMO LINEAR ASSET MANAGER CONCURRENT USER SW SUBSCRIPTION &amp; SUPPORT REINSTATEMENT 12 MONTHS</t>
  </si>
  <si>
    <t>E0N82LL</t>
  </si>
  <si>
    <t>IBM MAXIMO LINEAR ASSET MANAGER CONCURRENT USER LINUX Z SYSTEM ANNUAL SW SUBSCRIPTION &amp; SUPPORT RENEWAL</t>
  </si>
  <si>
    <t>D1R6PLL</t>
  </si>
  <si>
    <t>IBM MAXIMO LINEAR ASSET MANAGER CONCURRENT USER LICENSE LINUX Z SYSTEM + SW SUBSCRIPTION &amp; SUPPORT 12 MONTHS</t>
  </si>
  <si>
    <t>D1R6QLL</t>
  </si>
  <si>
    <t>IBM MAXIMO LINEAR ASSET MANAGER CONCURRENT USER LINUX Z SYSTEM SW SUBSCRIPTION &amp; SUPPORT REINSTATEMENT 12 MONTHS</t>
  </si>
  <si>
    <t>D1R6RLL</t>
  </si>
  <si>
    <t>IBM MAXIMO LINEAR ASSET MANAGER CONCURRENT USER LINUX Z SYSTEM TRADE UP FROM 3 MAXIMO LINEAR ASSET MANAGER AUTHORIZED USER LINUX Z SYSTEM + SW SUBSCRIPTION &amp; SUPPORT 12 MONTHS</t>
  </si>
  <si>
    <t>D1R6MLL</t>
  </si>
  <si>
    <t>IBM MAXIMO LINEAR ASSET MANAGER CONCURRENT USER TRADE UP FROM 3 MAXIMO LINEAR ASSET MANAGER AUTHORIZED USER + SW SUBSCRIPTION &amp; SUPPORT 12 MONTHS</t>
  </si>
  <si>
    <t>E05UDLL</t>
  </si>
  <si>
    <t>IBM MAXIMO LINEAR ASSET MANAGER FOR LINUX ON SYSTEM Z AUTHORIZED USER SW SUBSCRIPTION &amp; SUPPORT RENEWAL</t>
  </si>
  <si>
    <t>D06FKLL</t>
  </si>
  <si>
    <t>IBM MAXIMO LINEAR ASSET MANAGER FOR LINUX ON SYSTEM Z AUTHORIZED USER LICENSE + SW SUBSCRIPTION &amp; SUPPORT 12 MONTHS</t>
  </si>
  <si>
    <t>D06FLLL</t>
  </si>
  <si>
    <t>IBM MAXIMO LINEAR ASSET MANAGER FOR LINUX ON SYSTEM Z AUTHORIZED USER SW SUBSCRIPTION &amp; SUPPORT REINSTATEMENT 12 MONTHS</t>
  </si>
  <si>
    <t>MXA SPACIAL</t>
  </si>
  <si>
    <t>5724U36</t>
  </si>
  <si>
    <t>IBM Maximo Spatial Asset Management</t>
  </si>
  <si>
    <t>Maximo Spatial Asset Management</t>
  </si>
  <si>
    <t>E0AVZLL</t>
  </si>
  <si>
    <t>IBM MAXIMO SPATIAL ASSET MANAGEMENT AUTHORIZED USER ANNUAL SW SUBSCRIPTION &amp; SUPPORT RENEWAL</t>
  </si>
  <si>
    <t>D0H1BLL</t>
  </si>
  <si>
    <t>IBM MAXIMO SPATIAL ASSET MANAGEMENT AUTHORIZED USER LICENSE + SW SUBSCRIPTION &amp; SUPPORT 12 MONTHS</t>
  </si>
  <si>
    <t>D0H1CLL</t>
  </si>
  <si>
    <t>IBM MAXIMO SPATIAL ASSET MANAGEMENT AUTHORIZED USER SW SUBSCRIPTION &amp; SUPPORT REINSTATEMENT 12 MONTHS</t>
  </si>
  <si>
    <t>E0N8DLL</t>
  </si>
  <si>
    <t>IBM MAXIMO SPATIAL ASSET MANAGEMENT CONCURRENT USER ANNUAL SW SUBSCRIPTION &amp; SUPPORT RENEWAL</t>
  </si>
  <si>
    <t>D1R82LL</t>
  </si>
  <si>
    <t>IBM MAXIMO SPATIAL ASSET MANAGEMENT CONCURRENT USER LICENSE + SW SUBSCRIPTION &amp; SUPPORT 12 MONTHS</t>
  </si>
  <si>
    <t>D1R83LL</t>
  </si>
  <si>
    <t>IBM MAXIMO SPATIAL ASSET MANAGEMENT CONCURRENT USER SW SUBSCRIPTION &amp; SUPPORT REINSTATEMENT 12 MONTHS</t>
  </si>
  <si>
    <t>E0N8ELL</t>
  </si>
  <si>
    <t>IBM MAXIMO SPATIAL ASSET MANAGEMENT CONCURRENT USER LINUX Z SYSTEM ANNUAL SW SUBSCRIPTION &amp; SUPPORT RENEWAL</t>
  </si>
  <si>
    <t>D1R86LL</t>
  </si>
  <si>
    <t>IBM MAXIMO SPATIAL ASSET MANAGEMENT CONCURRENT USER LICENSE LINUX Z SYSTEM + SW SUBSCRIPTION &amp; SUPPORT 12 MONTHS</t>
  </si>
  <si>
    <t>D1R87LL</t>
  </si>
  <si>
    <t>IBM MAXIMO SPATIAL ASSET MANAGEMENT CONCURRENT USER LINUX Z SYSTEM SW SUBSCRIPTION &amp; SUPPORT REINSTATEMENT 12 MONTHS</t>
  </si>
  <si>
    <t>D1R88LL</t>
  </si>
  <si>
    <t>IBM MAXIMO SPATIAL ASSET MANAGEMENT CONCURRENT USER LINUX Z SYSTEM TRADE UP FROM 3 MAXIMO SPATIAL AUTHORIZED USER LINUX Z SYSTEM+ SW SUBSCRIPTION &amp; SUPPORT 12 MONTHS</t>
  </si>
  <si>
    <t>D1R84LL</t>
  </si>
  <si>
    <t>IBM MAXIMO SPATIAL ASSET MANAGEMENT CONCURRENT USER TRADE UP FROM 3 MAXIMO SPATIAL AUTHORIZED USER + SW SUBSCRIPTION &amp; SUPPORT 12 MONTHS</t>
  </si>
  <si>
    <t>E0AW0LL</t>
  </si>
  <si>
    <t>IBM MAXIMO SPATIAL ASSET MANAGEMENT FOR LINUX ON SYSTEM Z AUTHORIZED USER ANNUAL SW SUBSCRIPTION &amp; SUPPORT RENEWAL</t>
  </si>
  <si>
    <t>D0H1DLL</t>
  </si>
  <si>
    <t>IBM MAXIMO SPATIAL ASSET MANAGEMENT FOR LINUX ON SYSTEM Z AUTHORIZED USER LICENSE + SW SUBSCRIPTION &amp; SUPPORT 12 MONTHS</t>
  </si>
  <si>
    <t>D0H1ELL</t>
  </si>
  <si>
    <t>IBM MAXIMO SPATIAL ASSET MANAGEMENT FOR LINUX ON SYSTEM Z AUTHORIZED USER SW SUBSCRIPTION &amp; SUPPORT REINSTATEMENT 12 MONTHS</t>
  </si>
  <si>
    <t>E0AW1LL</t>
  </si>
  <si>
    <t>IBM MAXIMO SPATIAL ASSET MANAGEMENT FOR LINUX ON SYSTEM Z INSTALL ANNUAL SW SUBSCRIPTION &amp; SUPPORT RENEWAL</t>
  </si>
  <si>
    <t>D0H1FLL</t>
  </si>
  <si>
    <t>Install</t>
  </si>
  <si>
    <t>IBM MAXIMO SPATIAL ASSET MANAGEMENT FOR LINUX ON SYSTEM Z INSTALL LICENSE + SW SUBSCRIPTION &amp; SUPPORT 12 MONTHS</t>
  </si>
  <si>
    <t>D0H1GLL</t>
  </si>
  <si>
    <t>IBM MAXIMO SPATIAL ASSET MANAGEMENT FOR LINUX ON SYSTEM Z INSTALL SW SUBSCRIPTION &amp; SUPPORT REINSTATEMENT 12 MONTHS</t>
  </si>
  <si>
    <t>E0AVYLL</t>
  </si>
  <si>
    <t>IBM MAXIMO SPATIAL ASSET MANAGEMENT INSTALL ANNUAL SW SUBSCRIPTION &amp; SUPPORT RENEWAL</t>
  </si>
  <si>
    <t>D0H19LL</t>
  </si>
  <si>
    <t>IBM MAXIMO SPATIAL ASSET MANAGEMENT INSTALL LICENSE + SW SUBSCRIPTION &amp; SUPPORT 12 MONTHS</t>
  </si>
  <si>
    <t>D0H1ALL</t>
  </si>
  <si>
    <t>IBM MAXIMO SPATIAL ASSET MANAGEMENT INSTALL SW SUBSCRIPTION &amp; SUPPORT REINSTATEMENT 12 MONTHS</t>
  </si>
  <si>
    <t>Asset Performance Management</t>
  </si>
  <si>
    <t>APM EU</t>
  </si>
  <si>
    <t>ENERGY SIGHT</t>
  </si>
  <si>
    <t>5725W39</t>
  </si>
  <si>
    <t>IBM Maximo Ass Perf Mgnt for Engy &amp; Uti On-prem</t>
  </si>
  <si>
    <t>Max APM for Energy &amp; Utilities</t>
  </si>
  <si>
    <t>E0LT5LL</t>
  </si>
  <si>
    <t>IBM MAXIMO APM FOR E&amp;U ON-PREMISE - ASSETS PER RESOURCE VALUE UNIT ANNUAL SW SUBSCRIPTION &amp; SUPPORT RENEWAL</t>
  </si>
  <si>
    <t>D1I2WLL</t>
  </si>
  <si>
    <t>IBM MAXIMO APM FOR E&amp;U ON-PREMISE - ASSETS PER RESOURCE VALUE UNIT LICENSE + SW SUBSCRIPTION &amp; SUPPORT 12 MONTHS</t>
  </si>
  <si>
    <t>D1I2XLL</t>
  </si>
  <si>
    <t>IBM MAXIMO APM FOR E&amp;U ON-PREMISE - ASSETS PER RESOURCE VALUE UNIT SW SUBSCRIPTION &amp; SUPPORT REINSTATEMENT 12 MONTHS</t>
  </si>
  <si>
    <t>E0LT3LL</t>
  </si>
  <si>
    <t>IBM MAXIMO APM FOR E&amp;U ON-PREMISE - LIMITED USER PER USER VALUE UNIT ANNUAL SW SUBSCRIPTION &amp; SUPPORT RENEWAL</t>
  </si>
  <si>
    <t>D1I2TLL</t>
  </si>
  <si>
    <t>User Value Unit</t>
  </si>
  <si>
    <t>IBM MAXIMO APM FOR E&amp;U ON-PREMISE - LIMITED USER PER USER VALUE UNIT LICENSE + SW SUBSCRIPTION &amp; SUPPORT 12 MONTHS</t>
  </si>
  <si>
    <t>D1I2ULL</t>
  </si>
  <si>
    <t>IBM MAXIMO APM FOR E&amp;U ON-PREMISE - LIMITED USER PER USER VALUE UNIT SW SUBSCRIPTION &amp; SUPPORT REINSTATEMENT 12 MONTHS</t>
  </si>
  <si>
    <t>E0LT2LL</t>
  </si>
  <si>
    <t>IBM MAXIMO APM FOR E&amp;U ON-PREMISE - STANDARD USER PER AUTHORIZED USER ANNUAL SW SUBSCRIPTION &amp; SUPPORT RENEWAL</t>
  </si>
  <si>
    <t>D1I2QLL</t>
  </si>
  <si>
    <t>IBM MAXIMO APM FOR E&amp;U ON-PREMISE - STANDARD USER PER AUTHORIZED USER LICENSE + SW SUBSCRIPTION &amp; SUPPORT 12 MONTHS</t>
  </si>
  <si>
    <t>D1I2RLL</t>
  </si>
  <si>
    <t>IBM MAXIMO APM FOR E&amp;U ON-PREMISE - STANDARD USER PER AUTHORIZED USER SW SUBSCRIPTION &amp; SUPPORT REINSTATEMENT 12 MONTHS</t>
  </si>
  <si>
    <t>E0P37LL</t>
  </si>
  <si>
    <t>IBM MAXIMO APM FOR E&amp;U ON-PREMISE - STANDARD USER PER CONCURRENT USER ANNUAL SW SUBSCRIPTION &amp; SUPPORT RENEWAL</t>
  </si>
  <si>
    <t>D1W7FLL</t>
  </si>
  <si>
    <t>IBM MAXIMO APM FOR E&amp;U ON-PREMISE - STANDARD USER PER CONCURRENT USER LICENSE + SW SUBSCRIPTION &amp; SUPPORT 12 MONTHS</t>
  </si>
  <si>
    <t>D1W7GLL</t>
  </si>
  <si>
    <t>IBM MAXIMO APM FOR E&amp;U ON-PREMISE - STANDARD USER PER CONCURRENT USER SW SUBSCRIPTION &amp; SUPPORT REINSTATEMENT 12 MONTHS</t>
  </si>
  <si>
    <t>E0PTCLL</t>
  </si>
  <si>
    <t>IBM MAXIMO APM FOR E&amp;U ON-PREMISES VISUAL INSIGHTS - NON PRODUCTION ADDRESSABLE DEVICE ANNUAL SW SUBSCRIPTION &amp; SUPPORT RENEWAL</t>
  </si>
  <si>
    <t>D227ULL</t>
  </si>
  <si>
    <t>Addressable Device</t>
  </si>
  <si>
    <t>IBM MAXIMO APM FOR E&amp;U ON-PREMISES VISUAL INSIGHTS - NON PRODUCTION ADDRESSABLE DEVICE LICENSE + SW SUBSCRIPTION &amp; SUPPORT 12 MONTHS</t>
  </si>
  <si>
    <t>D227VLL</t>
  </si>
  <si>
    <t>IBM MAXIMO APM FOR E&amp;U ON-PREMISES VISUAL INSIGHTS - NON PRODUCTION ADDRESSABLE DEVICE SW SUBSCRIPTION &amp; SUPPORT REINSTATEMENT 12 MONTHS</t>
  </si>
  <si>
    <t>E0PTBLL</t>
  </si>
  <si>
    <t>IBM MAXIMO APM FOR E&amp;U ON-PREMISES VISUAL INSIGHTS ADDRESSABLE DEVICE ANNUAL SW SUBSCRIPTION &amp; SUPPORT RENEWAL</t>
  </si>
  <si>
    <t>D227RLL</t>
  </si>
  <si>
    <t>IBM MAXIMO APM FOR E&amp;U ON-PREMISES VISUAL INSIGHTS ADDRESSABLE DEVICE LICENSE + SW SUBSCRIPTION &amp; SUPPORT 12 MONTHS</t>
  </si>
  <si>
    <t>D227SLL</t>
  </si>
  <si>
    <t>IBM MAXIMO APM FOR E&amp;U ON-PREMISES VISUAL INSIGHTS ADDRESSABLE DEVICE SW SUBSCRIPTION &amp; SUPPORT REINSTATEMENT 12 MONTHS</t>
  </si>
  <si>
    <t>PRED MAINT</t>
  </si>
  <si>
    <t>5737I74</t>
  </si>
  <si>
    <t>IBM Maximo Asset Performance Mgmnt On-Premise</t>
  </si>
  <si>
    <t>Maximo Asset Performance Manag OP</t>
  </si>
  <si>
    <t>D1TUTLL</t>
  </si>
  <si>
    <t>IBM MAXIMO APM PREDICTIVE MAINTENANCE INSIGHTS NON PRODUCTION ON PREMISES INSTALL FROM PREDICT MAINTEN AND QUALITY NON PRODUCTION INSTALL TRADE UP LICENSE + SW SUBSCRIPTION &amp; SUPPORT 12 MONTHS</t>
  </si>
  <si>
    <t>D1TUALL</t>
  </si>
  <si>
    <t>E0NRALL</t>
  </si>
  <si>
    <t>IBM MAXIMO APM PREDICTIVE MAINTENANCE INSIGHTS NON PRODUCTION ON PREMISES INSTALL ANNUAL SW SUBSCRIPTION &amp; SUPPORT RENEWAL 12 MONTHS</t>
  </si>
  <si>
    <t>IBM MAXIMO APM PREDICTIVE MAINTENANCE INSIGHTS NON PRODUCTION ON PREMISES INSTALL LICENSE + SW SUBSCRIPTION &amp; SUPPORT 12 MONTHS</t>
  </si>
  <si>
    <t>D1TUCLL</t>
  </si>
  <si>
    <t>IBM MAXIMO APM PREDICTIVE MAINTENANCE INSIGHTS NON PRODUCTION ON PREMISES INSTALL SW SUBSCRIPTION &amp; SUPPORT REINSTATEMENT 12 MONTHS</t>
  </si>
  <si>
    <t>D1TUQLL</t>
  </si>
  <si>
    <t>IBM MAXIMO APM PREDICTIVE MAINTENANCE INSIGHTS ON PREMISES INSTALL FROM PREDICTIVE MAINTENANCE AND QUALITY INSTALL TRADE UP LICENSE + SW SUBSCRIPTION &amp; SUPPORT 12 MONTHS</t>
  </si>
  <si>
    <t>D1TU3LL</t>
  </si>
  <si>
    <t>E0NR8LL</t>
  </si>
  <si>
    <t>IBM MAXIMO APM PREDICTIVE MAINTENANCE INSIGHTS ON PREMISES INSTALL ANNUAL SW SUBSCRIPTION &amp; SUPPORT RENEWAL 12 MONTHS</t>
  </si>
  <si>
    <t>IBM MAXIMO APM PREDICTIVE MAINTENANCE INSIGHTS ON PREMISES INSTALL LICENSE + SW SUBSCRIPTION &amp; SUPPORT 12 MONTHS</t>
  </si>
  <si>
    <t>D1TU4LL</t>
  </si>
  <si>
    <t>IBM MAXIMO APM PREDICTIVE MAINTENANCE INSIGHTS ON PREMISES INSTALL SW SUBSCRIPTION &amp; SUPPORT REINSTATEMENT 12 MONTHS</t>
  </si>
  <si>
    <t>D1TURLL</t>
  </si>
  <si>
    <t>IBM MAXIMO APM PREDICTIVE MAINTENANCE INSIGHTS ON PREMISES RESOURCE VALUE UNIT FROM PREDICTIVE MAINTENANCE AND QUALITY RVU TRADE UP LICENSE + SW SUBSCRIPTION &amp; SUPPORT 12 MONTHS</t>
  </si>
  <si>
    <t>D1TU5LL</t>
  </si>
  <si>
    <t>E0NR9LL</t>
  </si>
  <si>
    <t>IBM MAXIMO APM PREDICTIVE MAINTENANCE INSIGHTS ON PREMISES RESOURCE VALUE UNIT ANNUAL SW SUBSCRIPTION &amp; SUPPORT RENEWAL 12 MONTHS</t>
  </si>
  <si>
    <t>IBM MAXIMO APM PREDICTIVE MAINTENANCE INSIGHTS ON PREMISES RESOURCE VALUE UNIT LICENSE + SW SUBSCRIPTION &amp; SUPPORT 12 MONTHS</t>
  </si>
  <si>
    <t>D1TU6LL</t>
  </si>
  <si>
    <t>IBM MAXIMO APM PREDICTIVE MAINTENANCE INSIGHTS ON PREMISES RESOURCE VALUE UNIT SW SUBSCRIPTION &amp; SUPPORT REINSTATEMENT 12 MONTHS</t>
  </si>
  <si>
    <t>Worker Insights</t>
  </si>
  <si>
    <t>ASST SAFETY</t>
  </si>
  <si>
    <t>EMA ICP4D</t>
  </si>
  <si>
    <t>5737L60</t>
  </si>
  <si>
    <t>IBM Maximo Workforce Assistant Solutions On-Premises</t>
  </si>
  <si>
    <t>Maximo Equipment Maint Assistant OP</t>
  </si>
  <si>
    <t>E0QKXLL</t>
  </si>
  <si>
    <t>IBM MAXIMO EQUIPMENT MAINTENANCE ASSISTANT ADDITIONAL CAPACITY PER 4 VIRTUAL PROCESSOR CORE ANNUAL SW SUBSCRIPTION &amp; SUPPORT RENEWAL 12 MONTHS</t>
  </si>
  <si>
    <t>D26GGLL</t>
  </si>
  <si>
    <t>4 Virtual Processor Core</t>
  </si>
  <si>
    <t>IBM MAXIMO EQUIPMENT MAINTENANCE ASSISTANT ADDITIONAL CAPACITY PER 4 VIRTUAL PROCESSOR CORE LICENSE + SW SUBSCRIPTION &amp; SUPPORT 12 MONTHS</t>
  </si>
  <si>
    <t>D26GHLL</t>
  </si>
  <si>
    <t>IBM MAXIMO EQUIPMENT MAINTENANCE ASSISTANT ADDITIONAL CAPACITY PER 4 VIRTUAL PROCESSOR CORE SW SUBSCRIPTION &amp; SUPPORT REINSTATEMENT 12 MONTHS</t>
  </si>
  <si>
    <t>E0QL3LL</t>
  </si>
  <si>
    <t>IBM MAXIMO EQUIPMENT MAINTENANCE ASSISTANT ADD-ON ADDITIONAL CAPACITY PER 4 VIRTUAL PROCESSOR CORE ANNUAL SW SUBSCRIPTION &amp; SUPPORT RENEWAL 12 MONTHS</t>
  </si>
  <si>
    <t>D26GWLL</t>
  </si>
  <si>
    <t>IBM MAXIMO EQUIPMENT MAINTENANCE ASSISTANT ADD-ON ADDITIONAL CAPACITY PER 4 VIRTUAL PROCESSOR CORE LICENSE + SW SUBSCRIPTION &amp; SUPPORT 12 MONTHS</t>
  </si>
  <si>
    <t>D26GXLL</t>
  </si>
  <si>
    <t>IBM MAXIMO EQUIPMENT MAINTENANCE ASSISTANT ADD-ON ADDITIONAL CAPACITY PER 4 VIRTUAL PROCESSOR CORE SW SUBSCRIPTION &amp; SUPPORT REINSTATEMENT 12 MONTHS</t>
  </si>
  <si>
    <t>E0QL8LL</t>
  </si>
  <si>
    <t>IBM MAXIMO EQUIPMENT MAINTENANCE ASSISTANT ADD-ON BASE PER 48 VIRTUAL PROCESSOR CORES ANNUAL SW SUBSCRIPTION &amp; SUPPORT RENEWAL 12 MONTHS</t>
  </si>
  <si>
    <t>D26HDLL</t>
  </si>
  <si>
    <t>48 Virtual Processor Cores</t>
  </si>
  <si>
    <t>IBM MAXIMO EQUIPMENT MAINTENANCE ASSISTANT ADD-ON BASE PER 48 VIRTUAL PROCESSOR CORES LICENSE + SW SUBSCRIPTION &amp; SUPPORT 12 MONTHS</t>
  </si>
  <si>
    <t>D26HELL</t>
  </si>
  <si>
    <t>IBM MAXIMO EQUIPMENT MAINTENANCE ASSISTANT ADD-ON BASE PER 48 VIRTUAL PROCESSOR CORES SW SUBSCRIPTION &amp; SUPPORT REINSTATEMENT 12 MONTHS</t>
  </si>
  <si>
    <t>E0QCALL</t>
  </si>
  <si>
    <t>IBM MAXIMO EQUIPMENT MAINTENANCE ASSISTANT ADD-ON PER RESOURCE VALUE UNIT ANNUAL SW SUBSCRIPTION &amp; SUPPORT RENEWAL 12 MONTHS</t>
  </si>
  <si>
    <t>D24ZALL</t>
  </si>
  <si>
    <t>IBM MAXIMO EQUIPMENT MAINTENANCE ASSISTANT ADD-ON PER RESOURCE VALUE UNIT LICENSE + SW SUBSCRIPTION &amp; SUPPORT 12 MONTHS</t>
  </si>
  <si>
    <t>D24ZBLL</t>
  </si>
  <si>
    <t>IBM MAXIMO EQUIPMENT MAINTENANCE ASSISTANT ADD-ON PER RESOURCE VALUE UNIT SW SUBSCRIPTION &amp; SUPPORT REINSTATEMENT 12 MONTHS</t>
  </si>
  <si>
    <t>E0QC7LL</t>
  </si>
  <si>
    <t>IBM MAXIMO EQUIPMENT MAINTENANCE ASSISTANT BASE PER 48 VIRTUAL PROCESSOR CORES ANNUAL SW SUBSCRIPTION &amp; SUPPORT RENEWAL 12 MONTHS</t>
  </si>
  <si>
    <t>D24Z1LL</t>
  </si>
  <si>
    <t>IBM MAXIMO EQUIPMENT MAINTENANCE ASSISTANT BASE PER 48 VIRTUAL PROCESSOR CORES LICENSE + SW SUBSCRIPTION &amp; SUPPORT 12 MONTHS</t>
  </si>
  <si>
    <t>D24Z2LL</t>
  </si>
  <si>
    <t>IBM MAXIMO EQUIPMENT MAINTENANCE ASSISTANT BASE PER 48 VIRTUAL PROCESSOR CORES SW SUBSCRIPTION &amp; SUPPORT REINSTATEMENT 12 MONTHS</t>
  </si>
  <si>
    <t>E0NJ7LL</t>
  </si>
  <si>
    <t>IBM MAXIMO EQUIPMENT MAINTENANCE ASSISTANT ON PREMISES CLASSIC RESOURCE VALUE UNIT ANNUAL SW SUBSCRIPTION &amp; SUPPORT RENEWAL 12 MONTHS</t>
  </si>
  <si>
    <t>D1SUJLL</t>
  </si>
  <si>
    <t>IBM MAXIMO EQUIPMENT MAINTENANCE ASSISTANT ON PREMISES CLASSIC RESOURCE VALUE UNIT LICENSE + SW SUBSCRIPTION &amp; SUPPORT 12 MONTHS</t>
  </si>
  <si>
    <t>D1SUKLL</t>
  </si>
  <si>
    <t>IBM MAXIMO EQUIPMENT MAINTENANCE ASSISTANT ON PREMISES CLASSIC RESOURCE VALUE UNIT SW SUBSCRIPTION &amp; SUPPORT REINSTATEMENT 12 MONTHS</t>
  </si>
  <si>
    <t>E0QC9LL</t>
  </si>
  <si>
    <t>IBM MAXIMO EQUIPMENT MAINTENANCE ASSISTANT ON-PREMISES FOR IBM CLOUD PAK FOR DATA PER VIRTUAL PROCESSOR CORE ANNUAL SW SUBSCRIPTION &amp; SUPPORT RENEWAL 12 MONTHS</t>
  </si>
  <si>
    <t>D24Z7LL</t>
  </si>
  <si>
    <t>Virtual Processor Core</t>
  </si>
  <si>
    <t>IBM MAXIMO EQUIPMENT MAINTENANCE ASSISTANT ON-PREMISES FOR IBM CLOUD PAK FOR DATA PER VIRTUAL PROCESSOR CORE LICENSE + SW SUBSCRIPTION &amp; SUPPORT 12 MONTHS</t>
  </si>
  <si>
    <t>D24Z8LL</t>
  </si>
  <si>
    <t>IBM MAXIMO EQUIPMENT MAINTENANCE ASSISTANT ON-PREMISES FOR IBM CLOUD PAK FOR DATA PER VIRTUAL PROCESSOR CORE SW SUBSCRIPTION &amp; SUPPORT REINSTATEMENT 12 MONTHS</t>
  </si>
  <si>
    <t>E0QC8LL</t>
  </si>
  <si>
    <t>IBM MAXIMO EQUIPMENT MAINTENANCE ASSISTANT PER RESOURCE VALUE UNIT ANNUAL SW SUBSCRIPTION &amp; SUPPORT RENEWAL 12 MONTHS</t>
  </si>
  <si>
    <t>D24Z4LL</t>
  </si>
  <si>
    <t>IBM MAXIMO EQUIPMENT MAINTENANCE ASSISTANT PER RESOURCE VALUE UNIT LICENSE + SW SUBSCRIPTION &amp; SUPPORT 12 MONTHS</t>
  </si>
  <si>
    <t>D24Z5LL</t>
  </si>
  <si>
    <t>IBM MAXIMO EQUIPMENT MAINTENANCE ASSISTANT PER RESOURCE VALUE UNIT SW SUBSCRIPTION &amp; SUPPORT REINSTATEMENT 12 MONTHS</t>
  </si>
  <si>
    <t>5725K39</t>
  </si>
  <si>
    <t>IBM Predictive Maintenance and Quality</t>
  </si>
  <si>
    <t>Predictive Mntnance and Qlty</t>
  </si>
  <si>
    <t>E0JRLLL</t>
  </si>
  <si>
    <t>IBM PREDICTIVE MAINTENANCE AND QUALITY FOR NON-PRODUCTION ENVIRONMENT INSTALL ANNUAL SW SUBSCRIPTION &amp; SUPPORT RENEWAL</t>
  </si>
  <si>
    <t>D15HELL</t>
  </si>
  <si>
    <t>IBM PREDICTIVE MAINTENANCE AND QUALITY FOR NON-PRODUCTION ENVIRONMENT INSTALL LICENSE + SW SUBSCRIPTION &amp; SUPPORT 12 MONTHS</t>
  </si>
  <si>
    <t>D15HFLL</t>
  </si>
  <si>
    <t>IBM PREDICTIVE MAINTENANCE AND QUALITY FOR NON-PRODUCTION ENVIRONMENT INSTALL SW SUBSCRIPTION &amp; SUPPORT REINSTATEMENT 12 MONTHS</t>
  </si>
  <si>
    <t>D1H6NLL</t>
  </si>
  <si>
    <t>IBM PREDICTIVE MAINTENANCE AND QUALITY FOR NON-PRODUCTION ENVIRONMENT INSTALL TRADE UP FROM PREDICTIVE MAINTENANCE AND QUALITY FOR MAXIMO FOR NON-PRODUCTION ENVIRONMENT INSTALL LICENSE + SW SUBSCRIPTION &amp; SUPPORT 12 MONTHS</t>
  </si>
  <si>
    <t>E0JRJLL</t>
  </si>
  <si>
    <t>IBM PREDICTIVE MAINTENANCE AND QUALITY INSTALL ANNUAL SW SUBSCRIPTION &amp; SUPPORT RENEWAL</t>
  </si>
  <si>
    <t>D15H6LL</t>
  </si>
  <si>
    <t>IBM PREDICTIVE MAINTENANCE AND QUALITY INSTALL LICENSE + SW SUBSCRIPTION &amp; SUPPORT 12 MONTHS</t>
  </si>
  <si>
    <t>D15H7LL</t>
  </si>
  <si>
    <t>IBM PREDICTIVE MAINTENANCE AND QUALITY INSTALL SW SUBSCRIPTION &amp; SUPPORT REINSTATEMENT 12 MONTHS</t>
  </si>
  <si>
    <t>D1H6LLL</t>
  </si>
  <si>
    <t>IBM PREDICTIVE MAINTENANCE AND QUALITY INSTALL TRADE UP FROM PREDICTIVE MAINTENANCE AND QUALITY FOR MAXIMO INSTALL LICENSE + SW SUBSCRIPTION &amp; SUPPORT 12 MONTHS</t>
  </si>
  <si>
    <t>E0JRKLL</t>
  </si>
  <si>
    <t>IBM PREDICTIVE MAINTENANCE AND QUALITY RESOURCE VALUE UNIT ANNUAL SW SUBSCRIPTION &amp; SUPPORT RENEWAL</t>
  </si>
  <si>
    <t>D15HCLL</t>
  </si>
  <si>
    <t>IBM PREDICTIVE MAINTENANCE AND QUALITY RESOURCE VALUE UNIT LICENSE + SW SUBSCRIPTION &amp; SUPPORT 12 MONTHS</t>
  </si>
  <si>
    <t>D15HDLL</t>
  </si>
  <si>
    <t>IBM PREDICTIVE MAINTENANCE AND QUALITY RESOURCE VALUE UNIT SW SUBSCRIPTION &amp; SUPPORT REINSTATEMENT 12 MONTHS</t>
  </si>
  <si>
    <t>D1H6MLL</t>
  </si>
  <si>
    <t>IBM PREDICTIVE MAINTENANCE AND QUALITY RVU TRADE UP FROM PREDICTIVE MAINTENANCE AND QUALITY FOR MAXIMO RVU LICENSE + SW SUBSCRIPTION &amp; SUPPORT 12 MONTHS</t>
  </si>
  <si>
    <t>Production Quality Insights</t>
  </si>
  <si>
    <t>QLTY INSPECT</t>
  </si>
  <si>
    <t>5737E09</t>
  </si>
  <si>
    <t>IBM IoT for Manufacturing Private</t>
  </si>
  <si>
    <t>IoT for Mfg Private</t>
  </si>
  <si>
    <t>E0NY1LL</t>
  </si>
  <si>
    <t>IBM PRESCRIPTIVE QUALITY FOR MANUFACTURING PRIVATE RESOURCE VALUE UNIT ANNUAL SW SUBSCRIPTION &amp; SUPPORT RENEWAL 12 MONTHS</t>
  </si>
  <si>
    <t>D1VFPLL</t>
  </si>
  <si>
    <t>IBM PRESCRIPTIVE QUALITY FOR MANUFACTURING PRIVATE RESOURCE VALUE UNIT LICENSE + SW SUBSCRIPTION &amp; SUPPORT 12 MONTHS</t>
  </si>
  <si>
    <t>D1VFQLL</t>
  </si>
  <si>
    <t>IBM PRESCRIPTIVE QUALITY FOR MANUFACTURING PRIVATE RESOURCE VALUE UNIT SW SUBSCRIPTION &amp; SUPPORT REINSTATEMENT 12 MONTHS</t>
  </si>
  <si>
    <t>ASSET HEALTH</t>
  </si>
  <si>
    <t>MXA AHI</t>
  </si>
  <si>
    <t>Maximo Asset Health Insights</t>
  </si>
  <si>
    <t>E0MT5LL</t>
  </si>
  <si>
    <t>IBM MAXIMO APM ASSET HEALTH INSIGHTS ON PREMISES LINUX ON IBM Z RESOURCE VALUE UNIT ANNUAL SW SUBSCRIPTION &amp; SUPPORT RENEWAL 12 MONTHS</t>
  </si>
  <si>
    <t>D1NPXLL</t>
  </si>
  <si>
    <t>IBM MAXIMO APM ASSET HEALTH INSIGHTS ON PREMISES LINUX ON IBM Z RESOURCE VALUE UNIT LICENSE + SW SUBSCRIPTION &amp; SUPPORT 12 MONTHS</t>
  </si>
  <si>
    <t>D1NPYLL</t>
  </si>
  <si>
    <t>IBM MAXIMO APM ASSET HEALTH INSIGHTS ON PREMISES LINUX ON IBM Z RESOURCE VALUE UNIT SW SUBSCRIPTION &amp; SUPPORT REINSTATEMENT 12 MONTHS</t>
  </si>
  <si>
    <t>E0MT4LL</t>
  </si>
  <si>
    <t>IBM MAXIMO APM ASSET HEALTH INSIGHTS ON PREMISES RESOURCE VALUE UNIT ANNUAL SW SUBSCRIPTION &amp; SUPPORT RENEWAL 12 MONTHS</t>
  </si>
  <si>
    <t>D1NPVLL</t>
  </si>
  <si>
    <t>IBM MAXIMO APM ASSET HEALTH INSIGHTS ON PREMISES RESOURCE VALUE UNIT LICENSE + SW SUBSCRIPTION &amp; SUPPORT 12 MONTHS</t>
  </si>
  <si>
    <t>D1NPWLL</t>
  </si>
  <si>
    <t>IBM MAXIMO APM ASSET HEALTH INSIGHTS ON PREMISES RESOURCE VALUE UNIT SW SUBSCRIPTION &amp; SUPPORT REINSTATEMENT 12 MONTHS</t>
  </si>
  <si>
    <t>Part #</t>
  </si>
  <si>
    <t>Current Customer Entitlement</t>
  </si>
  <si>
    <t>AppPoints for Upgrade</t>
  </si>
  <si>
    <t>Total Upgradable AppPoints</t>
  </si>
  <si>
    <t>Total</t>
  </si>
  <si>
    <t>Customer name</t>
  </si>
  <si>
    <t>Maximo upgradable parts calculator for MAS</t>
  </si>
  <si>
    <t>ASSET MANAGEMENT (CORE)</t>
  </si>
  <si>
    <t>INDUSTRY SOLUTION</t>
  </si>
  <si>
    <t>AVIATION</t>
  </si>
  <si>
    <t>NUCLEAR POWER</t>
  </si>
  <si>
    <t>OIL AND GAS</t>
  </si>
  <si>
    <t>TRANSPORATION</t>
  </si>
  <si>
    <t>UTILITIES</t>
  </si>
  <si>
    <t>SCHEDULER</t>
  </si>
  <si>
    <t>SCHEDULER PLUS</t>
  </si>
  <si>
    <t>GRAPHICAL APPOINTMENT BOOK</t>
  </si>
  <si>
    <t>CALIBRATION</t>
  </si>
  <si>
    <t>SAFETY AND ENVIRONMENT MANAGER</t>
  </si>
  <si>
    <t>LINEAR</t>
  </si>
  <si>
    <t>SPATIAL</t>
  </si>
  <si>
    <t>LIFE SCIENCES</t>
  </si>
  <si>
    <t>HEALTH SAFETY AND ENVIRONMENT MANAGER</t>
  </si>
  <si>
    <t>ASSET CONFIGURATION MANAGER</t>
  </si>
  <si>
    <t>ADAPTER</t>
  </si>
  <si>
    <t>ADAPTER FOR ORACLE</t>
  </si>
  <si>
    <t>ADAPTER FOR SAP</t>
  </si>
  <si>
    <t>Requester Info</t>
  </si>
  <si>
    <t>S&amp;S Renewal Rep Info</t>
  </si>
  <si>
    <t>http://dimond.naasc.ibm.com:9080/DimondWebApp</t>
  </si>
  <si>
    <t>Customer Info</t>
  </si>
  <si>
    <t>Was the existing entitlement purchased direct through IBM or partner (channel)?</t>
  </si>
  <si>
    <t>*Note: Flips from direct to channel not allowed. Exception approval needed by WW S&amp;S</t>
  </si>
  <si>
    <t xml:space="preserve">Sales Connect Opportunity Number  </t>
  </si>
  <si>
    <t>When is the opportunity expected to close?</t>
  </si>
  <si>
    <t>DD/MM/YYYY</t>
  </si>
  <si>
    <t xml:space="preserve">Currency  </t>
  </si>
  <si>
    <t>Further Details of the Deal</t>
  </si>
  <si>
    <t xml:space="preserve">When is the S&amp;S renewal date?                                      </t>
  </si>
  <si>
    <t xml:space="preserve">Has the dealmaker been engaged? </t>
  </si>
  <si>
    <t xml:space="preserve">Dealmaker Name </t>
  </si>
  <si>
    <t xml:space="preserve">Original contract start date </t>
  </si>
  <si>
    <t xml:space="preserve">Contract end date </t>
  </si>
  <si>
    <t>Year to year S&amp;S growth rate on existing agreement (ex: Flat, 3%, 5% etc)</t>
  </si>
  <si>
    <t>If the contract is NOT expiring, is this part of an amendment or termination of the contract? Please select one option.</t>
  </si>
  <si>
    <t xml:space="preserve">  </t>
  </si>
  <si>
    <t>Please complete all questions</t>
  </si>
  <si>
    <t>Is the customer on a Hotlist or the IWL? YES / NO / Don't Know (from SQO)</t>
  </si>
  <si>
    <t>Is there existing S&amp;S on these products?  If yes, fill out the S&amp;S section below</t>
  </si>
  <si>
    <t>Have you analyzed your customer's entire entitlement for all eligible parts for upgrade?</t>
  </si>
  <si>
    <t>Contract type holding entitlements for upgrade</t>
  </si>
  <si>
    <t>*Note: Upgrade should happen at the client's renewal date. There is no credit on exiting S&amp;S for an early upgrade</t>
  </si>
  <si>
    <t xml:space="preserve">Are you requesting ALL active licenses for upgrade?  </t>
  </si>
  <si>
    <t>Is there a request to upgrade expired SS?</t>
  </si>
  <si>
    <t xml:space="preserve">Have you engaged your S&amp;S Renewal Rep for a reach back quote to bring the entitlements current on S&amp;S?               </t>
  </si>
  <si>
    <t xml:space="preserve">   (only required if "Yes" to above)</t>
  </si>
  <si>
    <t>Have all parts for upgrade been declared to IBM with reports / Proof of Entitlement?</t>
  </si>
  <si>
    <t xml:space="preserve">Expected New Contract Duration? (minimum 12 months) </t>
  </si>
  <si>
    <t>Projected Close Date</t>
  </si>
  <si>
    <t>Projected Deal Size</t>
  </si>
  <si>
    <t>Will the deal be financed? with RBD? Y/N</t>
  </si>
  <si>
    <t xml:space="preserve">Will special terms be required, if yes, explain?  </t>
  </si>
  <si>
    <t>Is customer a service provider?  If yes, do you need SP Contract Variant? (Must include DM), migration period for S&amp;S?</t>
  </si>
  <si>
    <t>MAS REQUEST</t>
  </si>
  <si>
    <t>Part Description</t>
  </si>
  <si>
    <t>AppPoints Required</t>
  </si>
  <si>
    <t>ASSET CONFIGURATION MANAGER LIMITED</t>
  </si>
  <si>
    <t>ASSET MANAGEMENT (CORE) LIMITED</t>
  </si>
  <si>
    <t>AVIATION LIMITED</t>
  </si>
  <si>
    <t>CALIBRATION FULL</t>
  </si>
  <si>
    <t>CALIBRATION LIMITED</t>
  </si>
  <si>
    <t>CIVIL INFRASTRUCTRE</t>
  </si>
  <si>
    <t>CIVIL INFRASTRUCTURE LIMITED</t>
  </si>
  <si>
    <t>HEALTH SAFETY &amp; ENVIORNMENT</t>
  </si>
  <si>
    <t>HEALTH SAFETY &amp; ENVIORNMENT LIMITED</t>
  </si>
  <si>
    <t>LINEAR FULL</t>
  </si>
  <si>
    <t>LINEAR LIMITED</t>
  </si>
  <si>
    <t>NUCLEAR POWER LIMITED</t>
  </si>
  <si>
    <t>OIL AND GAS LIMITED</t>
  </si>
  <si>
    <t>SCHEDULER FULL</t>
  </si>
  <si>
    <t>SERVICE PROVIDER</t>
  </si>
  <si>
    <t>SERVICE PROVIDER LIMITED</t>
  </si>
  <si>
    <t>SPATIAL Install</t>
  </si>
  <si>
    <t>SPATIAL FULL</t>
  </si>
  <si>
    <t>SPATIAL LIMITED</t>
  </si>
  <si>
    <t>TRANSPORATION LIMITED</t>
  </si>
  <si>
    <t>UTILITIES LIMITED</t>
  </si>
  <si>
    <t>Required AppPoints</t>
  </si>
  <si>
    <t>Total Required AppPoints</t>
  </si>
  <si>
    <t>MAS New Deal calculator</t>
  </si>
  <si>
    <t>Premium Concurrent User</t>
  </si>
  <si>
    <t>Limited Concurrent User</t>
  </si>
  <si>
    <t>Base Concurrent User</t>
  </si>
  <si>
    <t>Install - Spatial</t>
  </si>
  <si>
    <t>License Type</t>
  </si>
  <si>
    <t>Is this a GTS/GBS contract?</t>
  </si>
  <si>
    <t>*These are Not eligible - Answer should be NO</t>
  </si>
  <si>
    <t xml:space="preserve">Is this an ESA contract?  </t>
  </si>
  <si>
    <t>* If yes, ESA exception approval required</t>
  </si>
  <si>
    <t>Is the customer under an audit? YES / NO / Don't Know (from SQO)</t>
  </si>
  <si>
    <t>Will special terms be required, if yes, explain?</t>
  </si>
  <si>
    <t>Quantity</t>
  </si>
  <si>
    <r>
      <t xml:space="preserve">Is this a GTS/GBS contract?                                                       </t>
    </r>
    <r>
      <rPr>
        <b/>
        <sz val="16"/>
        <color rgb="FFFF0000"/>
        <rFont val="Verdana"/>
        <family val="2"/>
      </rPr>
      <t>*These are Not eligible - Answer should be NO</t>
    </r>
  </si>
  <si>
    <r>
      <t xml:space="preserve">Is this an ESA contract?                                                                               </t>
    </r>
    <r>
      <rPr>
        <b/>
        <sz val="16"/>
        <color rgb="FFFF0000"/>
        <rFont val="Verdana"/>
        <family val="2"/>
      </rPr>
      <t>* If yes, ESA exception approval required</t>
    </r>
  </si>
  <si>
    <r>
      <t>Is the customer under an audit</t>
    </r>
    <r>
      <rPr>
        <sz val="16"/>
        <color theme="1"/>
        <rFont val="Calibri"/>
        <family val="2"/>
      </rPr>
      <t>? YES / NO / Don't Know (from SQO)</t>
    </r>
  </si>
  <si>
    <r>
      <t xml:space="preserve"> Please provide justification for partial upgrade                             </t>
    </r>
    <r>
      <rPr>
        <b/>
        <sz val="16"/>
        <color theme="4"/>
        <rFont val="Verdana"/>
        <family val="2"/>
      </rPr>
      <t xml:space="preserve">  (only required if "No" to above)</t>
    </r>
  </si>
  <si>
    <r>
      <t xml:space="preserve">When is declaration expected?                                                         </t>
    </r>
    <r>
      <rPr>
        <b/>
        <sz val="16"/>
        <color theme="4"/>
        <rFont val="Verdana"/>
        <family val="2"/>
      </rPr>
      <t>(only required if "No" to above)</t>
    </r>
  </si>
  <si>
    <r>
      <t xml:space="preserve">*Note - </t>
    </r>
    <r>
      <rPr>
        <b/>
        <u/>
        <sz val="16"/>
        <color rgb="FFFF0000"/>
        <rFont val="Verdana"/>
        <family val="2"/>
      </rPr>
      <t>Mid-term</t>
    </r>
    <r>
      <rPr>
        <b/>
        <sz val="16"/>
        <color rgb="FFFF0000"/>
        <rFont val="Verdana"/>
        <family val="2"/>
      </rPr>
      <t xml:space="preserve"> upgrade is NOT allowed without an amendment to an ELA or termination of IULA</t>
    </r>
  </si>
  <si>
    <t>ACM</t>
  </si>
  <si>
    <t>ASSET</t>
  </si>
  <si>
    <t>EXPRESS</t>
  </si>
  <si>
    <t>RESOURCE VALUE</t>
  </si>
  <si>
    <t>HSE</t>
  </si>
  <si>
    <t>INSTALL</t>
  </si>
  <si>
    <t>APM FOR E&amp;U</t>
  </si>
  <si>
    <t>ADDRESSABLE DEVICE</t>
  </si>
  <si>
    <t>APM PREDICTIVE MAINTENANCE INSIGHTS</t>
  </si>
  <si>
    <t>NON PRODUCTION INSTALL</t>
  </si>
  <si>
    <t>EQUIPMENT MAINTENANCE ASSISTANT</t>
  </si>
  <si>
    <t>VIRTUAL PROCESSOR CORE</t>
  </si>
  <si>
    <t>PREDICTIVE MAINTENANCE AND QUALITY</t>
  </si>
  <si>
    <t>PRESCRIPTIVE QUALITYQUALITY FOR MANUFACTURING</t>
  </si>
  <si>
    <t>APM ASSET HEALTH INSIGHTS</t>
  </si>
  <si>
    <t>Will the upgrade be purchased direct through IBM or partner (channel)?</t>
  </si>
  <si>
    <r>
      <rPr>
        <b/>
        <sz val="16"/>
        <color rgb="FFFF0000"/>
        <rFont val="Verdana"/>
        <family val="2"/>
      </rPr>
      <t>*</t>
    </r>
    <r>
      <rPr>
        <b/>
        <sz val="16"/>
        <color theme="1"/>
        <rFont val="Verdana"/>
        <family val="2"/>
      </rPr>
      <t xml:space="preserve">Requester Name  </t>
    </r>
  </si>
  <si>
    <r>
      <rPr>
        <b/>
        <sz val="16"/>
        <color rgb="FFFF0000"/>
        <rFont val="Verdana"/>
        <family val="2"/>
      </rPr>
      <t>*</t>
    </r>
    <r>
      <rPr>
        <b/>
        <sz val="16"/>
        <color theme="1"/>
        <rFont val="Verdana"/>
        <family val="2"/>
      </rPr>
      <t xml:space="preserve">Requester Email  </t>
    </r>
  </si>
  <si>
    <r>
      <rPr>
        <b/>
        <sz val="16"/>
        <color rgb="FFFF0000"/>
        <rFont val="Verdana"/>
        <family val="2"/>
      </rPr>
      <t>*</t>
    </r>
    <r>
      <rPr>
        <b/>
        <sz val="16"/>
        <color theme="1"/>
        <rFont val="Verdana"/>
        <family val="2"/>
      </rPr>
      <t xml:space="preserve">S&amp;S Renewal Rep Name  </t>
    </r>
  </si>
  <si>
    <r>
      <rPr>
        <b/>
        <sz val="16"/>
        <color rgb="FFFF0000"/>
        <rFont val="Verdana"/>
        <family val="2"/>
      </rPr>
      <t>*</t>
    </r>
    <r>
      <rPr>
        <b/>
        <sz val="16"/>
        <color theme="1"/>
        <rFont val="Verdana"/>
        <family val="2"/>
      </rPr>
      <t xml:space="preserve">S&amp;S Renewal Rep Email  </t>
    </r>
  </si>
  <si>
    <r>
      <rPr>
        <b/>
        <sz val="16"/>
        <color rgb="FFFF0000"/>
        <rFont val="Verdana"/>
        <family val="2"/>
      </rPr>
      <t>*</t>
    </r>
    <r>
      <rPr>
        <b/>
        <sz val="16"/>
        <color theme="1"/>
        <rFont val="Verdana"/>
        <family val="2"/>
      </rPr>
      <t xml:space="preserve">Customer Name  </t>
    </r>
  </si>
  <si>
    <r>
      <rPr>
        <b/>
        <sz val="16"/>
        <color rgb="FFFF0000"/>
        <rFont val="Verdana"/>
        <family val="2"/>
      </rPr>
      <t>*</t>
    </r>
    <r>
      <rPr>
        <b/>
        <sz val="16"/>
        <color theme="1"/>
        <rFont val="Verdana"/>
        <family val="2"/>
      </rPr>
      <t xml:space="preserve">Site Number  </t>
    </r>
  </si>
  <si>
    <r>
      <rPr>
        <b/>
        <sz val="16"/>
        <color rgb="FFFF0000"/>
        <rFont val="Verdana"/>
        <family val="2"/>
      </rPr>
      <t>*</t>
    </r>
    <r>
      <rPr>
        <b/>
        <sz val="16"/>
        <color theme="1"/>
        <rFont val="Verdana"/>
        <family val="2"/>
      </rPr>
      <t xml:space="preserve">IBM Customer Number  </t>
    </r>
  </si>
  <si>
    <r>
      <t xml:space="preserve">Upgrade Request Form </t>
    </r>
    <r>
      <rPr>
        <b/>
        <sz val="16"/>
        <color rgb="FFFF0000"/>
        <rFont val="Verdana"/>
        <family val="2"/>
      </rPr>
      <t xml:space="preserve"> *</t>
    </r>
    <r>
      <rPr>
        <b/>
        <sz val="16"/>
        <color theme="1"/>
        <rFont val="Verdana"/>
        <family val="2"/>
      </rPr>
      <t>Required Fields</t>
    </r>
  </si>
  <si>
    <r>
      <t xml:space="preserve">New Deal Request Form  </t>
    </r>
    <r>
      <rPr>
        <b/>
        <sz val="14"/>
        <color rgb="FFFF0000"/>
        <rFont val="Verdana"/>
        <family val="2"/>
      </rPr>
      <t>*</t>
    </r>
    <r>
      <rPr>
        <b/>
        <sz val="14"/>
        <color theme="1"/>
        <rFont val="Verdana"/>
        <family val="2"/>
      </rPr>
      <t>Required Fields</t>
    </r>
  </si>
  <si>
    <r>
      <rPr>
        <b/>
        <sz val="14"/>
        <color rgb="FFFF0000"/>
        <rFont val="Verdana"/>
        <family val="2"/>
      </rPr>
      <t>*</t>
    </r>
    <r>
      <rPr>
        <b/>
        <sz val="14"/>
        <color theme="1"/>
        <rFont val="Verdana"/>
        <family val="2"/>
      </rPr>
      <t xml:space="preserve">Requester Name  </t>
    </r>
  </si>
  <si>
    <r>
      <rPr>
        <b/>
        <sz val="14"/>
        <color rgb="FFFF0000"/>
        <rFont val="Verdana"/>
        <family val="2"/>
      </rPr>
      <t>*</t>
    </r>
    <r>
      <rPr>
        <b/>
        <sz val="14"/>
        <color theme="1"/>
        <rFont val="Verdana"/>
        <family val="2"/>
      </rPr>
      <t xml:space="preserve">Requester Email  </t>
    </r>
  </si>
  <si>
    <r>
      <rPr>
        <b/>
        <sz val="14"/>
        <color rgb="FFFF0000"/>
        <rFont val="Verdana"/>
        <family val="2"/>
      </rPr>
      <t>*</t>
    </r>
    <r>
      <rPr>
        <b/>
        <sz val="14"/>
        <color theme="1"/>
        <rFont val="Verdana"/>
        <family val="2"/>
      </rPr>
      <t xml:space="preserve">Customer Name  </t>
    </r>
  </si>
  <si>
    <r>
      <rPr>
        <b/>
        <sz val="14"/>
        <color rgb="FFFF0000"/>
        <rFont val="Verdana"/>
        <family val="2"/>
      </rPr>
      <t>*</t>
    </r>
    <r>
      <rPr>
        <b/>
        <sz val="14"/>
        <color theme="1"/>
        <rFont val="Verdana"/>
        <family val="2"/>
      </rPr>
      <t xml:space="preserve">Site Number  </t>
    </r>
  </si>
  <si>
    <r>
      <rPr>
        <b/>
        <sz val="14"/>
        <color rgb="FFFF0000"/>
        <rFont val="Verdana"/>
        <family val="2"/>
      </rPr>
      <t>*</t>
    </r>
    <r>
      <rPr>
        <b/>
        <sz val="14"/>
        <color theme="1"/>
        <rFont val="Verdana"/>
        <family val="2"/>
      </rPr>
      <t xml:space="preserve">IBM Customer Number  </t>
    </r>
  </si>
  <si>
    <t>xxxx</t>
  </si>
  <si>
    <t>Customer Name</t>
  </si>
  <si>
    <t>ww</t>
  </si>
  <si>
    <t>IBM CONFIDENTIAL</t>
  </si>
  <si>
    <t>Note : Please fill in the green highlighted cells only</t>
  </si>
  <si>
    <t>MAS upgrade pricing needs to be uplifted a minimum of 35% (Could be higher but not lower than 35%)</t>
  </si>
  <si>
    <t>Contact MAS project office for pricing guidance /non standard pricing</t>
  </si>
  <si>
    <t>Is this an FCT client (y/n)</t>
  </si>
  <si>
    <t>NO</t>
  </si>
  <si>
    <t>MAS STL Pricing (USD)</t>
  </si>
  <si>
    <t>LPP on FCT 2020 (Provided by the FCT S&amp;S rep)</t>
  </si>
  <si>
    <t>LPP on PA uplifted 0% from FCT LPP (Provided by S&amp;S rep)</t>
  </si>
  <si>
    <t>MAS Points needed</t>
  </si>
  <si>
    <t>Upgrade Yearly List Price</t>
  </si>
  <si>
    <t>Discount</t>
  </si>
  <si>
    <t>Net Price/Year</t>
  </si>
  <si>
    <t>Import Managed Services pricing from Managed services Calculator</t>
  </si>
  <si>
    <t>MAS STL + Managed Services</t>
  </si>
  <si>
    <t>Year 2</t>
  </si>
  <si>
    <t>Year 3</t>
  </si>
  <si>
    <t>Year 4</t>
  </si>
  <si>
    <t>Year 5</t>
  </si>
  <si>
    <t>MAS STL Bookable</t>
  </si>
  <si>
    <t>TOTAL 3yr</t>
  </si>
  <si>
    <t>TOTAL 5yr</t>
  </si>
  <si>
    <t>MAS Managed Services</t>
  </si>
  <si>
    <t>Concurrent Users</t>
  </si>
  <si>
    <t>Services</t>
  </si>
  <si>
    <t>VPC</t>
  </si>
  <si>
    <t>GB</t>
  </si>
  <si>
    <t>Unit List Price</t>
  </si>
  <si>
    <t xml:space="preserve">Net Price /Year </t>
  </si>
  <si>
    <t>SQO billing needs to be "Upfront" for the term of the deal. IGF financing can be leveraged for yearly billing.</t>
  </si>
  <si>
    <t>MAS Yearly List Price</t>
  </si>
  <si>
    <t>Maximo Visual Inspections</t>
  </si>
  <si>
    <t>D1Y6BLL</t>
  </si>
  <si>
    <t>IBM Maximo Visual Inspections</t>
  </si>
  <si>
    <t>per vServer</t>
  </si>
  <si>
    <t>Visual Inspections</t>
  </si>
  <si>
    <t>Maximo</t>
  </si>
  <si>
    <t>MVI</t>
  </si>
  <si>
    <t>Maximo trade-up parts calculator for MAS</t>
  </si>
  <si>
    <r>
      <t xml:space="preserve">Trade-up Request Form </t>
    </r>
    <r>
      <rPr>
        <b/>
        <sz val="16"/>
        <color rgb="FFFF0000"/>
        <rFont val="Verdana"/>
        <family val="2"/>
      </rPr>
      <t xml:space="preserve"> *</t>
    </r>
    <r>
      <rPr>
        <b/>
        <sz val="16"/>
        <color theme="1"/>
        <rFont val="Verdana"/>
        <family val="2"/>
      </rPr>
      <t>Required Fields</t>
    </r>
  </si>
  <si>
    <t xml:space="preserve">Is this an ESA contract?                                                                               </t>
  </si>
  <si>
    <t>Will the deal be financed? with IGF? Y/N</t>
  </si>
  <si>
    <t>Admin Base User</t>
  </si>
  <si>
    <t>Admin Premium User</t>
  </si>
  <si>
    <t>MAS New Deal/Upgrade/Trade-up Request Forms</t>
  </si>
  <si>
    <t xml:space="preserve">Note : Please fill in the green highlighted cells only using local currency </t>
  </si>
  <si>
    <t>MAS Perpetual Trade-up pricing needs to be uplifted a minimum of 48.5%</t>
  </si>
  <si>
    <t>MAS Uplift of 48.5%</t>
  </si>
  <si>
    <t>Uprade Price /Point (Local Currency)</t>
  </si>
  <si>
    <t>MAS Trans Bookable</t>
  </si>
  <si>
    <t>TradeUp Yearly List Price</t>
  </si>
  <si>
    <t>TradeUp Price /Point (Local Currency)</t>
  </si>
  <si>
    <t>IBM Maximo Visual Inspection</t>
  </si>
  <si>
    <t>Install - Visual Inspection</t>
  </si>
  <si>
    <t>(If NO, leave cell "A11" blank )</t>
  </si>
  <si>
    <t>MAS STL Pricing (USD) / Update to local currency if ouside US and note currency being used</t>
  </si>
  <si>
    <t>MAS Perpetual Pricing (USD) / Update to Local Currency if outside US and note currency being used (confirm from SQO)</t>
  </si>
  <si>
    <t>S&amp;S Organization has delegation on non-committed outyear Uplifts</t>
  </si>
  <si>
    <t>Input Cells</t>
  </si>
  <si>
    <t xml:space="preserve">Formula Cells </t>
  </si>
  <si>
    <t>IBM Internal and Business Partner Use Only</t>
  </si>
  <si>
    <t>Version</t>
  </si>
  <si>
    <t>Date</t>
  </si>
  <si>
    <t>Changes</t>
  </si>
  <si>
    <t>11/24/2020</t>
  </si>
  <si>
    <t>Updated New Deal Calculator tab  -  N/A error on MVI after first row</t>
  </si>
  <si>
    <t>11/25/2020</t>
  </si>
  <si>
    <t>5.4a</t>
  </si>
  <si>
    <t>Rounded to the 5th on Upgrade/Tradeup Total cell</t>
  </si>
  <si>
    <t>12/14/2020</t>
  </si>
  <si>
    <t>5.4b</t>
  </si>
  <si>
    <t>Line Item Description</t>
  </si>
  <si>
    <t>Added new Line Item Description column to New Deal Calc tab &amp; sorted Upgrade/Tradeup lookup list</t>
  </si>
  <si>
    <t>Install - Assist</t>
  </si>
  <si>
    <t>Maximo Equipment Maintenance Assistant</t>
  </si>
  <si>
    <t>IBM Maximo Equipment Maintenance Assistant</t>
  </si>
  <si>
    <t>APM</t>
  </si>
  <si>
    <t>EMA</t>
  </si>
  <si>
    <t>RVU</t>
  </si>
  <si>
    <t>EU RVU</t>
  </si>
  <si>
    <t>Authorized User to Concurrent User Normalization by Dividing by 3, Health RVU by 10</t>
  </si>
  <si>
    <t>Added Assist, APM4EU, MVI Edge to New Deal tab, Assist/APM4EU parts to Upgrade and Tradeup tabs</t>
  </si>
  <si>
    <t>Install - MVI Edge</t>
  </si>
  <si>
    <t>01/07/2021</t>
  </si>
  <si>
    <t>S&amp;S</t>
  </si>
  <si>
    <t>Sales</t>
  </si>
  <si>
    <t>Rev License</t>
  </si>
  <si>
    <t>03/12/2021</t>
  </si>
  <si>
    <t>Updated Perpetual Trade-up Pricing tab to add S&amp;S and Sales perentages along with YoY at 10% per S&amp;S request/ Updated Note section in New Deal tab</t>
  </si>
  <si>
    <t>At least 1 Admin Premium User must be added to a New Deal bid.</t>
  </si>
  <si>
    <t xml:space="preserve">NOTE: </t>
  </si>
  <si>
    <t>Install - Civil Infrastructure</t>
  </si>
  <si>
    <t>Added Civil Infrastructure Install AppPoints on New Deal tab</t>
  </si>
  <si>
    <t>Install - SAP Connector</t>
  </si>
  <si>
    <t>Install - Oracle Connector</t>
  </si>
  <si>
    <t>Install - Health &amp; Predict-Utilities</t>
  </si>
  <si>
    <t>04/06/2021</t>
  </si>
  <si>
    <t>06/14/2021</t>
  </si>
  <si>
    <t>Updated default List Price on Pricing tabs</t>
  </si>
  <si>
    <t>06/22/2021</t>
  </si>
  <si>
    <t>6.3a</t>
  </si>
  <si>
    <t xml:space="preserve">Added additional rows to the Upgrade/Trade up tabs </t>
  </si>
  <si>
    <r>
      <t xml:space="preserve">NOTE: Pricing and Packaging Guides located on Seismic under Maximo Application Suite/Pricing Plan - </t>
    </r>
    <r>
      <rPr>
        <b/>
        <sz val="10"/>
        <color theme="1"/>
        <rFont val="Verdana"/>
        <family val="2"/>
      </rPr>
      <t>https://ibm.seismic.com/Link/Content/DCV7TR4HYCgUaD2mrkzrxzAQ</t>
    </r>
  </si>
  <si>
    <t>Premium Authorized User</t>
  </si>
  <si>
    <t>Base Authorized User</t>
  </si>
  <si>
    <t>Limited Authorized User</t>
  </si>
  <si>
    <t>08/16/2021</t>
  </si>
  <si>
    <t xml:space="preserve">Addition of Authorized Users to New Deal and Updated Sales S&amp;S on Trade-up Pricing tab </t>
  </si>
  <si>
    <t>Upgrade AppPoints / Health RVU divide by 10</t>
  </si>
  <si>
    <t>Price /Point (USD)</t>
  </si>
  <si>
    <t>5737H10</t>
  </si>
  <si>
    <t>ERVU</t>
  </si>
  <si>
    <t>SQO billing needs to be "Upfront" for the term of the deal if &gt;$2M. IGF financing can be leveraged for yearly payments</t>
  </si>
  <si>
    <t>Contact MAS project office for pricing guidance /non standard pricing; Consult the 7.14 Play for Uplifts on RTM shifts and guidance</t>
  </si>
  <si>
    <t>Min Price required w RTM Shift</t>
  </si>
  <si>
    <t>Add'l Incentive Uplifts if required (modify the % based on Lamar Murphy input)</t>
  </si>
  <si>
    <t>MAS Uplift of 35%*</t>
  </si>
  <si>
    <t>*Adjust this rate for Play approved RTM shifts if approved.</t>
  </si>
  <si>
    <t>* Adjust this rate to what John Dewey/Carlos Belak tell you; Also add the add'l incentive from Lamar Murphy.</t>
  </si>
  <si>
    <t>RTM Shift Scenario outside of the Play approved scenarios or when Geo rates are not available in the Play:</t>
  </si>
  <si>
    <t>Is this a new customer / non upgradable</t>
  </si>
  <si>
    <t>Was the Channel Inentive code BP-Led for prior purchases</t>
  </si>
  <si>
    <t>*Note: Flips from direct to channel not allowed if Incentive Code was Direct or Co-Led.  See Play 7.14 for instructions if the Channel Incentive code was BP-Led.  Exception approval needed by WW S&amp;S; Add'l Uplifts will apply</t>
  </si>
  <si>
    <t>10/05/2021</t>
  </si>
  <si>
    <t>Addition of Eligible Parts tab and details added to Pricing tabs</t>
  </si>
  <si>
    <t>Reminder :  Attach the S&amp;S checklist (See Play 7.14); Make sure you say Yes in the SQO bid that a Play is being used (see Play 7.14)</t>
  </si>
  <si>
    <t>11/04/2021</t>
  </si>
  <si>
    <t>6.5a</t>
  </si>
  <si>
    <t>Added part numbers to the upgrade/tradeup pricing tabs</t>
  </si>
  <si>
    <t xml:space="preserve">MAS Points needed (qty for the Upgrade part number D28B5LL) </t>
  </si>
  <si>
    <t xml:space="preserve">MAS Points needed (qty for the Tradeup part number D29HYLL) </t>
  </si>
  <si>
    <t>MAS Perpetual Pricing (USD) / Update to local currency if ouside US and note currency being used</t>
  </si>
  <si>
    <t>6.5b</t>
  </si>
  <si>
    <t>corrected aviation CU mapping part to 15 app points vs 5.</t>
  </si>
  <si>
    <t>06/02/2022</t>
  </si>
  <si>
    <t>6.5c</t>
  </si>
  <si>
    <t>addition of SP internal Install part</t>
  </si>
  <si>
    <t>E05B6LL</t>
  </si>
  <si>
    <t>IBM MAXIMO ASSET MANAGEMENT INTERNAL SERVICE PROVIDERS  Install + SW SUBSCRIPTION &amp; SUPPORT 12 MONTHS</t>
  </si>
  <si>
    <t>renewal</t>
  </si>
  <si>
    <t>IBM MAXIMO ASSET MANAGEMENT INTERNAL SERVICE PROVIDERS  INSTALL + SW SUBSCRIPTION &amp; SUPPORT 12 MONTHS</t>
  </si>
  <si>
    <t xml:space="preserve">Renewal </t>
  </si>
  <si>
    <t>LPP on FCT 2022 (Provided by the FCT S&amp;S rep)</t>
  </si>
  <si>
    <t>Install - Optimizer</t>
  </si>
  <si>
    <t>Install - Optimizer Limited</t>
  </si>
  <si>
    <t xml:space="preserve">addition of Maximo Optimizer along with update of Edge as 1 AppPoint </t>
  </si>
  <si>
    <t>05/22/2022</t>
  </si>
  <si>
    <t>MXS scheduler</t>
  </si>
  <si>
    <t>D28NMLL</t>
  </si>
  <si>
    <t>IBM MAXIMO SCHEDULER OPTIMIZATION PER INSTALL LICENSE + SW SUBSCRIPTION &amp; SUPPORT 12 MONTHS</t>
  </si>
  <si>
    <t>LICENSE S&amp;S</t>
  </si>
  <si>
    <t>E0R3ELL</t>
  </si>
  <si>
    <t>IBM MAXIMO SCHEDULER OPTIMIZATION PER INSTALL ANNUAL SW SUBSCRIPTION &amp; SUPPORT RENEWAL</t>
  </si>
  <si>
    <t>MXS AVIATION</t>
  </si>
  <si>
    <t>D20V8LL</t>
  </si>
  <si>
    <t>IBM MAXIMO FOR AVIATION MAINTENANCE OPTIMIZATION INSTALL LICENSE SW SUBSCRIPTION &amp; SUPPORT 12 MONTHS</t>
  </si>
  <si>
    <t>E0PNBLL</t>
  </si>
  <si>
    <t>IBM MAXIMO FOR AVIATION MAINTENANCE OPTIMIZATION INSTALL LICENCE ANNUAL SW SUBSCRIPTION &amp; SUPPORT RENEWAL</t>
  </si>
  <si>
    <t xml:space="preserve">APM FOR E&amp;U </t>
  </si>
  <si>
    <t>D1W7HLL</t>
  </si>
  <si>
    <t>IBM MAXIMO APM FOR E&amp;U ON-PREMISE - DECISION OPTIMIZATION USER PER CONCURRENT USER LICENSE + SW SUBSCRIPTION &amp; SUPPORT 12 MONTHS</t>
  </si>
  <si>
    <t>E0P38LL</t>
  </si>
  <si>
    <t>IBM MAXIMO APM FOR E&amp;U ON-PREMISE - DECISION OPTIMIZATION USER PER CONCURRENT USER ANNUAL SW SUBSCRIPTION &amp; SUPPORT RENEWAL</t>
  </si>
  <si>
    <t>OPTIMIZATION</t>
  </si>
  <si>
    <t>User</t>
  </si>
  <si>
    <t>07/26/2022</t>
  </si>
  <si>
    <t>7a</t>
  </si>
  <si>
    <r>
      <t xml:space="preserve"> </t>
    </r>
    <r>
      <rPr>
        <b/>
        <sz val="11"/>
        <color rgb="FFFF0000"/>
        <rFont val="Calibri (Body)"/>
      </rPr>
      <t>UPFRONT PAYMENTS at 3%</t>
    </r>
    <r>
      <rPr>
        <b/>
        <sz val="11"/>
        <color theme="1"/>
        <rFont val="Calibri"/>
        <family val="2"/>
        <scheme val="minor"/>
      </rPr>
      <t xml:space="preserve"> - MAS STL Pricing (USD) / Update to local currency if ouside US and note currency being used</t>
    </r>
  </si>
  <si>
    <r>
      <rPr>
        <b/>
        <sz val="11"/>
        <color rgb="FFFF0000"/>
        <rFont val="Calibri (Body)"/>
      </rPr>
      <t xml:space="preserve">ANNUAL PAYMENTS at 5% </t>
    </r>
    <r>
      <rPr>
        <b/>
        <sz val="11"/>
        <color theme="1"/>
        <rFont val="Calibri"/>
        <family val="2"/>
        <scheme val="minor"/>
      </rPr>
      <t>- MAS STL Pricing (USD) / Update to local currency if ouside US and note currency being used</t>
    </r>
  </si>
  <si>
    <t>updated add-on AppPoints to authorized plus addition of upfront and annual pricing to subscription pricing tab</t>
  </si>
  <si>
    <r>
      <rPr>
        <b/>
        <sz val="10"/>
        <color theme="1"/>
        <rFont val="Verdana"/>
        <family val="2"/>
      </rPr>
      <t>Instructions</t>
    </r>
    <r>
      <rPr>
        <sz val="10"/>
        <color theme="1"/>
        <rFont val="Verdana"/>
        <family val="2"/>
      </rPr>
      <t xml:space="preserve">
All fields in the forms are required to be filled out for consideration of an upgrade or trade-up.                                                                                                                                             
Go to the Details tab to enter the bid details. You will also need to fill in information regarding the parts to be trading up and/or upgrading to.  Follow the below steps to complete the process of raising the request:
</t>
    </r>
    <r>
      <rPr>
        <b/>
        <sz val="10"/>
        <color theme="1"/>
        <rFont val="Verdana"/>
        <family val="2"/>
      </rPr>
      <t xml:space="preserve">i. Complete the DETAILS tab: </t>
    </r>
    <r>
      <rPr>
        <sz val="10"/>
        <color theme="1"/>
        <rFont val="Verdana"/>
        <family val="2"/>
      </rPr>
      <t xml:space="preserve">
</t>
    </r>
    <r>
      <rPr>
        <sz val="8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 xml:space="preserve">Please ensure all required fields are filled out. 
</t>
    </r>
    <r>
      <rPr>
        <b/>
        <sz val="10"/>
        <color theme="1"/>
        <rFont val="Verdana"/>
        <family val="2"/>
      </rPr>
      <t xml:space="preserve">
ii. </t>
    </r>
    <r>
      <rPr>
        <sz val="10"/>
        <color theme="1"/>
        <rFont val="Verdana"/>
        <family val="2"/>
      </rPr>
      <t xml:space="preserve">Complete the </t>
    </r>
    <r>
      <rPr>
        <b/>
        <sz val="10"/>
        <color theme="1"/>
        <rFont val="Verdana"/>
        <family val="2"/>
      </rPr>
      <t>Calculator</t>
    </r>
    <r>
      <rPr>
        <sz val="10"/>
        <color theme="1"/>
        <rFont val="Verdana"/>
        <family val="2"/>
      </rPr>
      <t xml:space="preserve"> Tab with the current entitlement being requested to upgrade.
</t>
    </r>
    <r>
      <rPr>
        <sz val="8"/>
        <color theme="1"/>
        <rFont val="Verdana"/>
        <family val="2"/>
      </rPr>
      <t xml:space="preserve"> </t>
    </r>
  </si>
  <si>
    <t>10/26/2022</t>
  </si>
  <si>
    <t>10/28/2022</t>
  </si>
  <si>
    <t>7b</t>
  </si>
  <si>
    <t xml:space="preserve">updated HSE concurrent </t>
  </si>
  <si>
    <t xml:space="preserve">Last updated 10/28/2022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</si>
</sst>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0.0"/>
  </numFmts>
  <fonts count="5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ahoma"/>
      <family val="2"/>
    </font>
    <font>
      <b/>
      <sz val="9"/>
      <color rgb="FFFFFFFF"/>
      <name val="Andale WT"/>
      <family val="2"/>
    </font>
    <font>
      <sz val="9"/>
      <color theme="1"/>
      <name val="Andale WT"/>
      <family val="2"/>
    </font>
    <font>
      <sz val="9"/>
      <color rgb="FF000000"/>
      <name val="Andale WT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Verdana"/>
      <family val="2"/>
    </font>
    <font>
      <b/>
      <sz val="14"/>
      <color rgb="FFFF0000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8"/>
      <color theme="1"/>
      <name val="Verdana"/>
      <family val="2"/>
    </font>
    <font>
      <sz val="14"/>
      <color theme="1"/>
      <name val="Verdana"/>
      <family val="2"/>
    </font>
    <font>
      <b/>
      <sz val="14"/>
      <color theme="4" tint="-0.249977111117893"/>
      <name val="Verdana"/>
      <family val="2"/>
    </font>
    <font>
      <u/>
      <sz val="14"/>
      <color theme="10"/>
      <name val="Calibri"/>
      <family val="2"/>
      <scheme val="minor"/>
    </font>
    <font>
      <b/>
      <sz val="14"/>
      <name val="Verdana"/>
      <family val="2"/>
    </font>
    <font>
      <sz val="14"/>
      <name val="Verdana"/>
      <family val="2"/>
    </font>
    <font>
      <sz val="14"/>
      <color theme="0"/>
      <name val="Verdana"/>
      <family val="2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rgb="FFFF0000"/>
      <name val="Verdana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Verdana"/>
      <family val="2"/>
    </font>
    <font>
      <sz val="16"/>
      <color theme="1"/>
      <name val="Verdana"/>
      <family val="2"/>
    </font>
    <font>
      <b/>
      <sz val="16"/>
      <color theme="4" tint="-0.249977111117893"/>
      <name val="Verdana"/>
      <family val="2"/>
    </font>
    <font>
      <u/>
      <sz val="16"/>
      <color theme="10"/>
      <name val="Calibri"/>
      <family val="2"/>
      <scheme val="minor"/>
    </font>
    <font>
      <b/>
      <sz val="16"/>
      <name val="Verdana"/>
      <family val="2"/>
    </font>
    <font>
      <sz val="16"/>
      <name val="Verdana"/>
      <family val="2"/>
    </font>
    <font>
      <sz val="16"/>
      <color theme="1"/>
      <name val="Calibri"/>
      <family val="2"/>
    </font>
    <font>
      <sz val="16"/>
      <color theme="0"/>
      <name val="Verdana"/>
      <family val="2"/>
    </font>
    <font>
      <b/>
      <sz val="16"/>
      <color theme="4"/>
      <name val="Verdana"/>
      <family val="2"/>
    </font>
    <font>
      <b/>
      <u/>
      <sz val="16"/>
      <color rgb="FFFF0000"/>
      <name val="Verdana"/>
      <family val="2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theme="1"/>
      <name val="Andale Mono"/>
      <family val="2"/>
    </font>
    <font>
      <sz val="9"/>
      <color theme="1"/>
      <name val="Andale Mono"/>
      <family val="2"/>
    </font>
    <font>
      <b/>
      <sz val="14"/>
      <color theme="4" tint="-0.249977111117893"/>
      <name val="Calibri (Body)"/>
    </font>
    <font>
      <b/>
      <sz val="11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1D1C1D"/>
      <name val="Arial"/>
      <family val="2"/>
    </font>
    <font>
      <sz val="9"/>
      <color rgb="FF1D1C1D"/>
      <name val="Arial"/>
      <family val="2"/>
    </font>
    <font>
      <sz val="9"/>
      <color rgb="FF1D1C1D"/>
      <name val="Calibri"/>
      <family val="2"/>
      <scheme val="minor"/>
    </font>
    <font>
      <b/>
      <sz val="11"/>
      <color rgb="FFFF0000"/>
      <name val="Calibri (Body)"/>
    </font>
  </fonts>
  <fills count="1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77CC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A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21B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theme="9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</borders>
  <cellStyleXfs count="7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64" fontId="38" fillId="0" borderId="0" applyFont="0" applyFill="0" applyBorder="0" applyAlignment="0" applyProtection="0"/>
  </cellStyleXfs>
  <cellXfs count="305">
    <xf numFmtId="0" fontId="0" fillId="0" borderId="0" xfId="0"/>
    <xf numFmtId="0" fontId="2" fillId="2" borderId="0" xfId="1" applyFill="1"/>
    <xf numFmtId="2" fontId="2" fillId="2" borderId="0" xfId="1" applyNumberFormat="1" applyFill="1"/>
    <xf numFmtId="44" fontId="0" fillId="2" borderId="0" xfId="2" applyFont="1" applyFill="1"/>
    <xf numFmtId="0" fontId="2" fillId="0" borderId="0" xfId="1"/>
    <xf numFmtId="0" fontId="3" fillId="3" borderId="1" xfId="1" applyFont="1" applyFill="1" applyBorder="1" applyAlignment="1">
      <alignment horizontal="left" vertical="center" wrapText="1"/>
    </xf>
    <xf numFmtId="44" fontId="3" fillId="3" borderId="1" xfId="2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2" fontId="3" fillId="3" borderId="1" xfId="1" applyNumberFormat="1" applyFont="1" applyFill="1" applyBorder="1" applyAlignment="1">
      <alignment horizontal="left" vertical="center" wrapText="1"/>
    </xf>
    <xf numFmtId="0" fontId="2" fillId="0" borderId="0" xfId="1" applyAlignment="1">
      <alignment wrapText="1"/>
    </xf>
    <xf numFmtId="0" fontId="4" fillId="0" borderId="2" xfId="1" applyFont="1" applyBorder="1" applyAlignment="1">
      <alignment horizontal="left" vertical="center"/>
    </xf>
    <xf numFmtId="44" fontId="4" fillId="0" borderId="2" xfId="2" applyFont="1" applyBorder="1" applyAlignment="1">
      <alignment horizontal="left" vertical="center"/>
    </xf>
    <xf numFmtId="2" fontId="4" fillId="0" borderId="2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44" fontId="4" fillId="0" borderId="1" xfId="2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2" fontId="5" fillId="0" borderId="2" xfId="1" applyNumberFormat="1" applyFont="1" applyBorder="1" applyAlignment="1">
      <alignment horizontal="left" vertical="center"/>
    </xf>
    <xf numFmtId="2" fontId="4" fillId="0" borderId="3" xfId="1" applyNumberFormat="1" applyFont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/>
    </xf>
    <xf numFmtId="44" fontId="4" fillId="5" borderId="2" xfId="2" applyFont="1" applyFill="1" applyBorder="1" applyAlignment="1">
      <alignment horizontal="left" vertical="center"/>
    </xf>
    <xf numFmtId="2" fontId="4" fillId="5" borderId="2" xfId="1" applyNumberFormat="1" applyFont="1" applyFill="1" applyBorder="1" applyAlignment="1">
      <alignment horizontal="left" vertical="center"/>
    </xf>
    <xf numFmtId="0" fontId="2" fillId="5" borderId="0" xfId="1" applyFill="1"/>
    <xf numFmtId="44" fontId="0" fillId="0" borderId="0" xfId="2" applyFont="1"/>
    <xf numFmtId="2" fontId="2" fillId="0" borderId="0" xfId="1" applyNumberFormat="1"/>
    <xf numFmtId="0" fontId="2" fillId="7" borderId="4" xfId="1" applyFill="1" applyBorder="1"/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1" fillId="10" borderId="0" xfId="0" applyFont="1" applyFill="1"/>
    <xf numFmtId="0" fontId="11" fillId="0" borderId="0" xfId="0" applyFont="1"/>
    <xf numFmtId="0" fontId="12" fillId="0" borderId="1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1" fillId="10" borderId="15" xfId="0" applyFont="1" applyFill="1" applyBorder="1"/>
    <xf numFmtId="0" fontId="11" fillId="11" borderId="0" xfId="0" applyFont="1" applyFill="1"/>
    <xf numFmtId="0" fontId="0" fillId="10" borderId="0" xfId="0" applyFill="1"/>
    <xf numFmtId="0" fontId="11" fillId="0" borderId="0" xfId="0" applyFont="1" applyProtection="1">
      <protection hidden="1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right"/>
      <protection locked="0"/>
    </xf>
    <xf numFmtId="0" fontId="15" fillId="9" borderId="4" xfId="0" applyFont="1" applyFill="1" applyBorder="1" applyAlignment="1" applyProtection="1">
      <alignment horizontal="left" vertical="center" wrapText="1"/>
      <protection locked="0"/>
    </xf>
    <xf numFmtId="0" fontId="15" fillId="8" borderId="0" xfId="0" applyFont="1" applyFill="1" applyAlignment="1" applyProtection="1">
      <alignment horizontal="left" vertical="center" wrapText="1"/>
      <protection locked="0"/>
    </xf>
    <xf numFmtId="0" fontId="17" fillId="9" borderId="4" xfId="3" applyFont="1" applyFill="1" applyBorder="1" applyAlignment="1" applyProtection="1">
      <alignment horizontal="left" vertical="center" wrapText="1"/>
      <protection locked="0"/>
    </xf>
    <xf numFmtId="0" fontId="8" fillId="8" borderId="0" xfId="0" applyFont="1" applyFill="1" applyAlignment="1" applyProtection="1">
      <alignment horizontal="right" vertical="center"/>
      <protection locked="0"/>
    </xf>
    <xf numFmtId="0" fontId="15" fillId="8" borderId="0" xfId="0" applyFont="1" applyFill="1" applyAlignment="1" applyProtection="1">
      <alignment horizontal="left" vertical="center"/>
      <protection locked="0"/>
    </xf>
    <xf numFmtId="0" fontId="18" fillId="8" borderId="0" xfId="0" applyFont="1" applyFill="1" applyAlignment="1">
      <alignment horizontal="right" vertical="center" wrapText="1"/>
    </xf>
    <xf numFmtId="0" fontId="15" fillId="9" borderId="4" xfId="0" applyFont="1" applyFill="1" applyBorder="1" applyAlignment="1" applyProtection="1">
      <alignment horizontal="right" vertical="center" wrapText="1"/>
      <protection locked="0"/>
    </xf>
    <xf numFmtId="0" fontId="20" fillId="8" borderId="0" xfId="0" applyFont="1" applyFill="1" applyAlignment="1" applyProtection="1">
      <alignment horizontal="right"/>
      <protection locked="0"/>
    </xf>
    <xf numFmtId="0" fontId="15" fillId="8" borderId="0" xfId="0" applyFont="1" applyFill="1" applyAlignment="1" applyProtection="1">
      <alignment wrapText="1"/>
      <protection locked="0"/>
    </xf>
    <xf numFmtId="0" fontId="8" fillId="8" borderId="0" xfId="0" applyFont="1" applyFill="1" applyAlignment="1" applyProtection="1">
      <alignment horizontal="right" vertical="center" wrapText="1"/>
      <protection locked="0"/>
    </xf>
    <xf numFmtId="0" fontId="19" fillId="9" borderId="4" xfId="0" applyFont="1" applyFill="1" applyBorder="1" applyAlignment="1" applyProtection="1">
      <alignment horizontal="left" vertical="center" wrapText="1"/>
      <protection locked="0"/>
    </xf>
    <xf numFmtId="0" fontId="19" fillId="9" borderId="4" xfId="0" applyFont="1" applyFill="1" applyBorder="1" applyAlignment="1" applyProtection="1">
      <alignment horizontal="right" vertical="center" wrapText="1"/>
      <protection locked="0"/>
    </xf>
    <xf numFmtId="0" fontId="17" fillId="8" borderId="0" xfId="3" applyFont="1" applyFill="1" applyAlignment="1" applyProtection="1">
      <alignment horizontal="left" vertical="center"/>
      <protection locked="0"/>
    </xf>
    <xf numFmtId="0" fontId="21" fillId="6" borderId="0" xfId="0" applyFont="1" applyFill="1" applyAlignment="1">
      <alignment wrapText="1"/>
    </xf>
    <xf numFmtId="0" fontId="21" fillId="4" borderId="0" xfId="0" applyFont="1" applyFill="1" applyAlignment="1">
      <alignment wrapText="1"/>
    </xf>
    <xf numFmtId="0" fontId="22" fillId="0" borderId="4" xfId="0" applyFont="1" applyBorder="1" applyProtection="1">
      <protection hidden="1"/>
    </xf>
    <xf numFmtId="1" fontId="22" fillId="0" borderId="4" xfId="0" applyNumberFormat="1" applyFont="1" applyBorder="1" applyProtection="1">
      <protection hidden="1"/>
    </xf>
    <xf numFmtId="0" fontId="23" fillId="0" borderId="0" xfId="0" applyFont="1"/>
    <xf numFmtId="0" fontId="2" fillId="0" borderId="4" xfId="1" applyBorder="1"/>
    <xf numFmtId="0" fontId="2" fillId="12" borderId="4" xfId="1" applyFill="1" applyBorder="1"/>
    <xf numFmtId="0" fontId="2" fillId="12" borderId="4" xfId="1" applyFill="1" applyBorder="1" applyAlignment="1">
      <alignment vertical="center"/>
    </xf>
    <xf numFmtId="0" fontId="2" fillId="12" borderId="4" xfId="1" applyFill="1" applyBorder="1" applyAlignment="1">
      <alignment horizontal="left" vertical="center"/>
    </xf>
    <xf numFmtId="0" fontId="2" fillId="12" borderId="8" xfId="1" applyFill="1" applyBorder="1"/>
    <xf numFmtId="0" fontId="16" fillId="5" borderId="0" xfId="0" applyFont="1" applyFill="1" applyAlignment="1" applyProtection="1">
      <alignment horizontal="left" vertical="center"/>
      <protection locked="0"/>
    </xf>
    <xf numFmtId="0" fontId="8" fillId="8" borderId="0" xfId="0" applyFont="1" applyFill="1" applyAlignment="1">
      <alignment horizontal="right" vertical="center" wrapText="1"/>
    </xf>
    <xf numFmtId="0" fontId="0" fillId="0" borderId="4" xfId="0" applyBorder="1"/>
    <xf numFmtId="0" fontId="15" fillId="0" borderId="0" xfId="0" applyFont="1" applyProtection="1">
      <protection locked="0"/>
    </xf>
    <xf numFmtId="0" fontId="15" fillId="8" borderId="0" xfId="0" applyFont="1" applyFill="1" applyProtection="1">
      <protection locked="0"/>
    </xf>
    <xf numFmtId="0" fontId="24" fillId="8" borderId="0" xfId="0" applyFont="1" applyFill="1" applyProtection="1">
      <protection locked="0"/>
    </xf>
    <xf numFmtId="0" fontId="20" fillId="8" borderId="0" xfId="0" applyFont="1" applyFill="1" applyProtection="1">
      <protection locked="0"/>
    </xf>
    <xf numFmtId="0" fontId="8" fillId="8" borderId="0" xfId="0" applyFont="1" applyFill="1" applyAlignment="1">
      <alignment horizontal="right" wrapText="1"/>
    </xf>
    <xf numFmtId="0" fontId="10" fillId="0" borderId="0" xfId="0" applyFont="1" applyAlignment="1" applyProtection="1">
      <alignment wrapText="1"/>
      <protection locked="0"/>
    </xf>
    <xf numFmtId="0" fontId="22" fillId="0" borderId="5" xfId="0" applyFont="1" applyBorder="1"/>
    <xf numFmtId="0" fontId="26" fillId="0" borderId="0" xfId="0" applyFont="1"/>
    <xf numFmtId="0" fontId="28" fillId="0" borderId="0" xfId="0" applyFont="1" applyAlignment="1" applyProtection="1">
      <alignment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29" fillId="5" borderId="0" xfId="0" applyFont="1" applyFill="1" applyAlignment="1" applyProtection="1">
      <alignment horizontal="left" vertical="center" wrapText="1"/>
      <protection locked="0"/>
    </xf>
    <xf numFmtId="0" fontId="28" fillId="5" borderId="0" xfId="0" applyFont="1" applyFill="1" applyProtection="1">
      <protection locked="0"/>
    </xf>
    <xf numFmtId="0" fontId="28" fillId="8" borderId="0" xfId="0" applyFont="1" applyFill="1" applyAlignment="1" applyProtection="1">
      <alignment wrapText="1"/>
      <protection locked="0"/>
    </xf>
    <xf numFmtId="0" fontId="28" fillId="8" borderId="0" xfId="0" applyFont="1" applyFill="1" applyProtection="1">
      <protection locked="0"/>
    </xf>
    <xf numFmtId="0" fontId="12" fillId="8" borderId="0" xfId="0" applyFont="1" applyFill="1" applyAlignment="1">
      <alignment horizontal="right" vertical="center" wrapText="1"/>
    </xf>
    <xf numFmtId="0" fontId="28" fillId="9" borderId="4" xfId="0" applyFont="1" applyFill="1" applyBorder="1" applyAlignment="1" applyProtection="1">
      <alignment horizontal="left" vertical="center" wrapText="1"/>
      <protection locked="0"/>
    </xf>
    <xf numFmtId="0" fontId="28" fillId="8" borderId="0" xfId="0" applyFont="1" applyFill="1" applyAlignment="1" applyProtection="1">
      <alignment horizontal="left" vertical="center" wrapText="1"/>
      <protection locked="0"/>
    </xf>
    <xf numFmtId="0" fontId="30" fillId="9" borderId="4" xfId="3" applyFont="1" applyFill="1" applyBorder="1" applyAlignment="1" applyProtection="1">
      <alignment horizontal="left" vertical="center" wrapText="1"/>
      <protection locked="0"/>
    </xf>
    <xf numFmtId="0" fontId="30" fillId="8" borderId="0" xfId="3" applyFont="1" applyFill="1" applyAlignment="1" applyProtection="1">
      <alignment horizontal="left" vertical="center" wrapText="1"/>
      <protection locked="0"/>
    </xf>
    <xf numFmtId="0" fontId="12" fillId="8" borderId="0" xfId="0" applyFont="1" applyFill="1" applyAlignment="1" applyProtection="1">
      <alignment horizontal="right" vertical="center" wrapText="1"/>
      <protection locked="0"/>
    </xf>
    <xf numFmtId="0" fontId="30" fillId="8" borderId="0" xfId="3" applyFont="1" applyFill="1" applyAlignment="1" applyProtection="1">
      <protection locked="0"/>
    </xf>
    <xf numFmtId="0" fontId="28" fillId="5" borderId="0" xfId="0" applyFont="1" applyFill="1" applyAlignment="1" applyProtection="1">
      <alignment horizontal="left" vertical="center"/>
      <protection locked="0"/>
    </xf>
    <xf numFmtId="0" fontId="31" fillId="8" borderId="0" xfId="0" applyFont="1" applyFill="1" applyAlignment="1" applyProtection="1">
      <alignment vertical="center"/>
      <protection locked="0"/>
    </xf>
    <xf numFmtId="0" fontId="28" fillId="9" borderId="4" xfId="0" applyFont="1" applyFill="1" applyBorder="1" applyAlignment="1" applyProtection="1">
      <alignment horizontal="left" vertical="center"/>
      <protection locked="0"/>
    </xf>
    <xf numFmtId="0" fontId="12" fillId="8" borderId="0" xfId="0" applyFont="1" applyFill="1" applyAlignment="1" applyProtection="1">
      <alignment horizontal="right" vertical="center"/>
      <protection locked="0"/>
    </xf>
    <xf numFmtId="0" fontId="32" fillId="9" borderId="4" xfId="0" applyFont="1" applyFill="1" applyBorder="1" applyAlignment="1" applyProtection="1">
      <alignment horizontal="left" vertical="center"/>
      <protection locked="0"/>
    </xf>
    <xf numFmtId="0" fontId="27" fillId="8" borderId="0" xfId="0" applyFont="1" applyFill="1" applyProtection="1">
      <protection locked="0"/>
    </xf>
    <xf numFmtId="0" fontId="31" fillId="8" borderId="0" xfId="0" applyFont="1" applyFill="1" applyAlignment="1">
      <alignment horizontal="right" vertical="center"/>
    </xf>
    <xf numFmtId="0" fontId="31" fillId="8" borderId="0" xfId="0" applyFont="1" applyFill="1" applyAlignment="1">
      <alignment horizontal="right" vertical="center" wrapText="1"/>
    </xf>
    <xf numFmtId="0" fontId="31" fillId="7" borderId="0" xfId="0" applyFont="1" applyFill="1" applyAlignment="1">
      <alignment horizontal="left" vertical="center" wrapText="1"/>
    </xf>
    <xf numFmtId="0" fontId="34" fillId="8" borderId="0" xfId="0" applyFont="1" applyFill="1" applyAlignment="1" applyProtection="1">
      <alignment wrapText="1"/>
      <protection locked="0"/>
    </xf>
    <xf numFmtId="0" fontId="34" fillId="8" borderId="0" xfId="0" applyFont="1" applyFill="1" applyProtection="1">
      <protection locked="0"/>
    </xf>
    <xf numFmtId="0" fontId="32" fillId="9" borderId="4" xfId="0" applyFont="1" applyFill="1" applyBorder="1" applyAlignment="1" applyProtection="1">
      <alignment horizontal="left" vertical="center" wrapText="1"/>
      <protection locked="0"/>
    </xf>
    <xf numFmtId="0" fontId="35" fillId="8" borderId="0" xfId="0" applyFont="1" applyFill="1" applyAlignment="1" applyProtection="1">
      <alignment horizontal="right" vertical="top" wrapText="1"/>
      <protection locked="0"/>
    </xf>
    <xf numFmtId="0" fontId="27" fillId="8" borderId="0" xfId="0" applyFont="1" applyFill="1" applyAlignment="1" applyProtection="1">
      <alignment wrapText="1"/>
      <protection locked="0"/>
    </xf>
    <xf numFmtId="0" fontId="27" fillId="8" borderId="0" xfId="0" applyFont="1" applyFill="1"/>
    <xf numFmtId="0" fontId="28" fillId="9" borderId="4" xfId="0" applyFont="1" applyFill="1" applyBorder="1" applyAlignment="1" applyProtection="1">
      <alignment horizontal="right" vertical="center" wrapText="1"/>
      <protection locked="0"/>
    </xf>
    <xf numFmtId="0" fontId="34" fillId="8" borderId="0" xfId="0" applyFont="1" applyFill="1" applyAlignment="1" applyProtection="1">
      <alignment horizontal="right" wrapText="1"/>
      <protection locked="0"/>
    </xf>
    <xf numFmtId="0" fontId="27" fillId="8" borderId="0" xfId="0" applyFont="1" applyFill="1" applyAlignment="1" applyProtection="1">
      <alignment horizontal="right"/>
      <protection locked="0"/>
    </xf>
    <xf numFmtId="0" fontId="27" fillId="8" borderId="0" xfId="0" applyFont="1" applyFill="1" applyAlignment="1">
      <alignment horizontal="right"/>
    </xf>
    <xf numFmtId="0" fontId="34" fillId="8" borderId="0" xfId="0" applyFont="1" applyFill="1" applyAlignment="1" applyProtection="1">
      <alignment horizontal="right"/>
      <protection locked="0"/>
    </xf>
    <xf numFmtId="0" fontId="32" fillId="9" borderId="4" xfId="0" applyFont="1" applyFill="1" applyBorder="1" applyAlignment="1" applyProtection="1">
      <alignment horizontal="right" vertical="center" wrapText="1"/>
      <protection locked="0"/>
    </xf>
    <xf numFmtId="0" fontId="27" fillId="7" borderId="0" xfId="0" applyFont="1" applyFill="1" applyAlignment="1">
      <alignment wrapText="1"/>
    </xf>
    <xf numFmtId="0" fontId="6" fillId="0" borderId="4" xfId="0" applyFont="1" applyBorder="1" applyProtection="1">
      <protection hidden="1"/>
    </xf>
    <xf numFmtId="1" fontId="6" fillId="0" borderId="4" xfId="0" applyNumberFormat="1" applyFont="1" applyBorder="1" applyProtection="1">
      <protection hidden="1"/>
    </xf>
    <xf numFmtId="0" fontId="22" fillId="0" borderId="4" xfId="0" applyFont="1" applyBorder="1" applyProtection="1">
      <protection locked="0"/>
    </xf>
    <xf numFmtId="0" fontId="25" fillId="0" borderId="0" xfId="0" applyFont="1" applyProtection="1">
      <protection locked="0"/>
    </xf>
    <xf numFmtId="0" fontId="10" fillId="0" borderId="0" xfId="0" applyFont="1"/>
    <xf numFmtId="0" fontId="37" fillId="9" borderId="4" xfId="0" applyFont="1" applyFill="1" applyBorder="1"/>
    <xf numFmtId="44" fontId="4" fillId="0" borderId="2" xfId="2" applyFont="1" applyFill="1" applyBorder="1" applyAlignment="1">
      <alignment horizontal="left" vertical="center"/>
    </xf>
    <xf numFmtId="0" fontId="22" fillId="0" borderId="7" xfId="0" applyFont="1" applyBorder="1" applyProtection="1">
      <protection hidden="1"/>
    </xf>
    <xf numFmtId="2" fontId="22" fillId="0" borderId="4" xfId="0" applyNumberFormat="1" applyFont="1" applyBorder="1" applyProtection="1">
      <protection hidden="1"/>
    </xf>
    <xf numFmtId="0" fontId="22" fillId="0" borderId="4" xfId="0" applyFont="1" applyBorder="1" applyProtection="1">
      <protection locked="0" hidden="1"/>
    </xf>
    <xf numFmtId="0" fontId="0" fillId="13" borderId="0" xfId="0" applyFill="1"/>
    <xf numFmtId="0" fontId="26" fillId="0" borderId="21" xfId="0" applyFont="1" applyBorder="1" applyAlignment="1">
      <alignment wrapText="1"/>
    </xf>
    <xf numFmtId="0" fontId="26" fillId="0" borderId="22" xfId="0" applyFont="1" applyBorder="1" applyAlignment="1">
      <alignment horizontal="left" wrapText="1"/>
    </xf>
    <xf numFmtId="0" fontId="26" fillId="0" borderId="22" xfId="0" applyFont="1" applyBorder="1" applyAlignment="1">
      <alignment wrapText="1"/>
    </xf>
    <xf numFmtId="0" fontId="26" fillId="0" borderId="22" xfId="0" applyFont="1" applyBorder="1"/>
    <xf numFmtId="0" fontId="26" fillId="0" borderId="23" xfId="0" applyFont="1" applyBorder="1"/>
    <xf numFmtId="0" fontId="26" fillId="0" borderId="0" xfId="0" applyFont="1" applyAlignment="1">
      <alignment horizontal="center"/>
    </xf>
    <xf numFmtId="0" fontId="39" fillId="0" borderId="15" xfId="0" applyFont="1" applyBorder="1" applyAlignment="1">
      <alignment horizontal="center" wrapText="1"/>
    </xf>
    <xf numFmtId="43" fontId="0" fillId="13" borderId="10" xfId="4" applyFont="1" applyFill="1" applyBorder="1"/>
    <xf numFmtId="43" fontId="0" fillId="0" borderId="10" xfId="4" applyFont="1" applyBorder="1"/>
    <xf numFmtId="43" fontId="0" fillId="0" borderId="10" xfId="0" applyNumberFormat="1" applyBorder="1"/>
    <xf numFmtId="10" fontId="0" fillId="7" borderId="10" xfId="5" applyNumberFormat="1" applyFont="1" applyFill="1" applyBorder="1"/>
    <xf numFmtId="0" fontId="26" fillId="0" borderId="15" xfId="0" applyFont="1" applyBorder="1" applyAlignment="1">
      <alignment wrapText="1"/>
    </xf>
    <xf numFmtId="43" fontId="0" fillId="0" borderId="0" xfId="4" applyFont="1"/>
    <xf numFmtId="43" fontId="0" fillId="0" borderId="4" xfId="4" applyFont="1" applyBorder="1"/>
    <xf numFmtId="43" fontId="0" fillId="0" borderId="25" xfId="4" applyFont="1" applyBorder="1"/>
    <xf numFmtId="0" fontId="26" fillId="0" borderId="26" xfId="0" applyFont="1" applyBorder="1" applyAlignment="1">
      <alignment wrapText="1"/>
    </xf>
    <xf numFmtId="0" fontId="26" fillId="0" borderId="4" xfId="0" applyFont="1" applyBorder="1"/>
    <xf numFmtId="43" fontId="0" fillId="0" borderId="26" xfId="0" applyNumberFormat="1" applyBorder="1"/>
    <xf numFmtId="0" fontId="26" fillId="0" borderId="0" xfId="0" applyFont="1" applyAlignment="1">
      <alignment wrapText="1"/>
    </xf>
    <xf numFmtId="43" fontId="0" fillId="0" borderId="15" xfId="4" applyFont="1" applyBorder="1"/>
    <xf numFmtId="43" fontId="0" fillId="0" borderId="0" xfId="0" applyNumberFormat="1"/>
    <xf numFmtId="43" fontId="0" fillId="0" borderId="15" xfId="0" applyNumberFormat="1" applyBorder="1"/>
    <xf numFmtId="0" fontId="26" fillId="0" borderId="28" xfId="0" applyFont="1" applyBorder="1" applyAlignment="1">
      <alignment horizontal="center" wrapText="1"/>
    </xf>
    <xf numFmtId="0" fontId="26" fillId="0" borderId="29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0" fillId="0" borderId="0" xfId="0" applyAlignment="1">
      <alignment wrapText="1"/>
    </xf>
    <xf numFmtId="164" fontId="0" fillId="0" borderId="0" xfId="6" applyFont="1"/>
    <xf numFmtId="9" fontId="0" fillId="7" borderId="0" xfId="0" applyNumberFormat="1" applyFill="1"/>
    <xf numFmtId="164" fontId="0" fillId="0" borderId="0" xfId="0" applyNumberFormat="1"/>
    <xf numFmtId="164" fontId="0" fillId="0" borderId="30" xfId="0" applyNumberFormat="1" applyBorder="1"/>
    <xf numFmtId="0" fontId="26" fillId="0" borderId="31" xfId="0" applyFont="1" applyBorder="1"/>
    <xf numFmtId="10" fontId="0" fillId="13" borderId="10" xfId="5" applyNumberFormat="1" applyFont="1" applyFill="1" applyBorder="1"/>
    <xf numFmtId="43" fontId="26" fillId="0" borderId="22" xfId="4" applyFont="1" applyBorder="1"/>
    <xf numFmtId="43" fontId="26" fillId="0" borderId="27" xfId="0" applyNumberFormat="1" applyFont="1" applyBorder="1"/>
    <xf numFmtId="6" fontId="4" fillId="0" borderId="2" xfId="2" applyNumberFormat="1" applyFont="1" applyBorder="1" applyAlignment="1">
      <alignment horizontal="left" vertical="center"/>
    </xf>
    <xf numFmtId="0" fontId="40" fillId="2" borderId="0" xfId="1" applyFont="1" applyFill="1"/>
    <xf numFmtId="0" fontId="41" fillId="3" borderId="1" xfId="1" applyFont="1" applyFill="1" applyBorder="1" applyAlignment="1">
      <alignment horizontal="left" vertical="center" wrapText="1"/>
    </xf>
    <xf numFmtId="0" fontId="42" fillId="0" borderId="2" xfId="1" applyFont="1" applyBorder="1" applyAlignment="1">
      <alignment horizontal="left" vertical="center"/>
    </xf>
    <xf numFmtId="0" fontId="42" fillId="0" borderId="1" xfId="1" applyFont="1" applyBorder="1" applyAlignment="1">
      <alignment horizontal="left" vertical="center"/>
    </xf>
    <xf numFmtId="0" fontId="42" fillId="5" borderId="2" xfId="1" applyFont="1" applyFill="1" applyBorder="1" applyAlignment="1">
      <alignment horizontal="left" vertical="center"/>
    </xf>
    <xf numFmtId="0" fontId="40" fillId="0" borderId="0" xfId="1" applyFont="1"/>
    <xf numFmtId="0" fontId="43" fillId="3" borderId="1" xfId="1" applyFont="1" applyFill="1" applyBorder="1" applyAlignment="1">
      <alignment horizontal="left" vertical="center" wrapText="1"/>
    </xf>
    <xf numFmtId="0" fontId="40" fillId="0" borderId="2" xfId="1" applyFont="1" applyBorder="1" applyAlignment="1">
      <alignment horizontal="left" vertical="center"/>
    </xf>
    <xf numFmtId="0" fontId="40" fillId="0" borderId="1" xfId="1" applyFont="1" applyBorder="1" applyAlignment="1">
      <alignment horizontal="left" vertical="center"/>
    </xf>
    <xf numFmtId="0" fontId="40" fillId="5" borderId="2" xfId="1" applyFont="1" applyFill="1" applyBorder="1" applyAlignment="1">
      <alignment horizontal="left" vertical="center"/>
    </xf>
    <xf numFmtId="0" fontId="42" fillId="0" borderId="2" xfId="1" applyFont="1" applyBorder="1" applyAlignment="1">
      <alignment horizontal="left" vertical="center" wrapText="1"/>
    </xf>
    <xf numFmtId="0" fontId="42" fillId="5" borderId="2" xfId="1" applyFont="1" applyFill="1" applyBorder="1" applyAlignment="1">
      <alignment horizontal="left" vertical="center" wrapText="1"/>
    </xf>
    <xf numFmtId="0" fontId="42" fillId="2" borderId="0" xfId="1" applyFont="1" applyFill="1"/>
    <xf numFmtId="0" fontId="42" fillId="0" borderId="0" xfId="1" applyFont="1"/>
    <xf numFmtId="44" fontId="40" fillId="0" borderId="2" xfId="2" applyFont="1" applyBorder="1" applyAlignment="1">
      <alignment horizontal="left" vertical="center"/>
    </xf>
    <xf numFmtId="0" fontId="21" fillId="14" borderId="0" xfId="0" applyFont="1" applyFill="1" applyAlignment="1">
      <alignment wrapText="1"/>
    </xf>
    <xf numFmtId="0" fontId="0" fillId="11" borderId="0" xfId="0" applyFill="1"/>
    <xf numFmtId="0" fontId="0" fillId="0" borderId="0" xfId="0" applyAlignment="1">
      <alignment horizontal="left"/>
    </xf>
    <xf numFmtId="1" fontId="44" fillId="0" borderId="4" xfId="0" applyNumberFormat="1" applyFont="1" applyBorder="1" applyProtection="1">
      <protection hidden="1"/>
    </xf>
    <xf numFmtId="0" fontId="26" fillId="0" borderId="22" xfId="0" applyFont="1" applyBorder="1" applyAlignment="1">
      <alignment horizontal="center" wrapText="1"/>
    </xf>
    <xf numFmtId="0" fontId="26" fillId="0" borderId="7" xfId="0" applyFont="1" applyBorder="1"/>
    <xf numFmtId="43" fontId="0" fillId="15" borderId="4" xfId="4" applyFont="1" applyFill="1" applyBorder="1"/>
    <xf numFmtId="43" fontId="0" fillId="15" borderId="25" xfId="4" applyFont="1" applyFill="1" applyBorder="1"/>
    <xf numFmtId="43" fontId="26" fillId="15" borderId="15" xfId="4" applyFont="1" applyFill="1" applyBorder="1"/>
    <xf numFmtId="43" fontId="26" fillId="15" borderId="15" xfId="0" applyNumberFormat="1" applyFont="1" applyFill="1" applyBorder="1"/>
    <xf numFmtId="43" fontId="26" fillId="15" borderId="27" xfId="4" applyFont="1" applyFill="1" applyBorder="1"/>
    <xf numFmtId="43" fontId="26" fillId="15" borderId="22" xfId="0" applyNumberFormat="1" applyFont="1" applyFill="1" applyBorder="1"/>
    <xf numFmtId="43" fontId="0" fillId="15" borderId="10" xfId="0" applyNumberFormat="1" applyFill="1" applyBorder="1"/>
    <xf numFmtId="43" fontId="0" fillId="15" borderId="24" xfId="4" applyFont="1" applyFill="1" applyBorder="1"/>
    <xf numFmtId="43" fontId="0" fillId="15" borderId="10" xfId="4" applyFont="1" applyFill="1" applyBorder="1"/>
    <xf numFmtId="43" fontId="0" fillId="15" borderId="26" xfId="0" applyNumberFormat="1" applyFill="1" applyBorder="1"/>
    <xf numFmtId="0" fontId="0" fillId="15" borderId="0" xfId="0" applyFill="1"/>
    <xf numFmtId="0" fontId="0" fillId="0" borderId="4" xfId="0" applyBorder="1" applyProtection="1">
      <protection locked="0"/>
    </xf>
    <xf numFmtId="0" fontId="26" fillId="0" borderId="4" xfId="0" applyFont="1" applyBorder="1" applyProtection="1">
      <protection locked="0"/>
    </xf>
    <xf numFmtId="0" fontId="0" fillId="0" borderId="0" xfId="0" applyAlignment="1">
      <alignment horizontal="right"/>
    </xf>
    <xf numFmtId="0" fontId="6" fillId="0" borderId="5" xfId="0" applyFont="1" applyBorder="1" applyProtection="1">
      <protection hidden="1"/>
    </xf>
    <xf numFmtId="44" fontId="4" fillId="0" borderId="14" xfId="2" applyFont="1" applyBorder="1" applyAlignment="1">
      <alignment horizontal="left" vertical="center"/>
    </xf>
    <xf numFmtId="0" fontId="40" fillId="0" borderId="32" xfId="1" applyFont="1" applyBorder="1" applyAlignment="1">
      <alignment horizontal="left" vertical="center"/>
    </xf>
    <xf numFmtId="49" fontId="0" fillId="0" borderId="4" xfId="0" applyNumberFormat="1" applyBorder="1"/>
    <xf numFmtId="0" fontId="42" fillId="0" borderId="32" xfId="1" applyFont="1" applyBorder="1" applyAlignment="1">
      <alignment horizontal="left" vertical="center"/>
    </xf>
    <xf numFmtId="9" fontId="0" fillId="0" borderId="4" xfId="0" applyNumberFormat="1" applyBorder="1"/>
    <xf numFmtId="0" fontId="4" fillId="0" borderId="3" xfId="1" applyFont="1" applyBorder="1" applyAlignment="1">
      <alignment horizontal="left" vertical="center"/>
    </xf>
    <xf numFmtId="0" fontId="4" fillId="0" borderId="32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6" fillId="0" borderId="0" xfId="0" applyFont="1" applyAlignment="1">
      <alignment horizontal="left"/>
    </xf>
    <xf numFmtId="0" fontId="45" fillId="0" borderId="4" xfId="0" applyFont="1" applyBorder="1" applyAlignment="1">
      <alignment horizontal="left"/>
    </xf>
    <xf numFmtId="49" fontId="0" fillId="0" borderId="2" xfId="0" applyNumberFormat="1" applyBorder="1"/>
    <xf numFmtId="0" fontId="40" fillId="0" borderId="4" xfId="1" applyFont="1" applyBorder="1" applyAlignment="1">
      <alignment horizontal="left" vertical="center"/>
    </xf>
    <xf numFmtId="9" fontId="0" fillId="0" borderId="2" xfId="0" applyNumberFormat="1" applyBorder="1"/>
    <xf numFmtId="0" fontId="42" fillId="0" borderId="4" xfId="1" applyFont="1" applyBorder="1" applyAlignment="1">
      <alignment horizontal="left" vertical="center"/>
    </xf>
    <xf numFmtId="0" fontId="46" fillId="0" borderId="2" xfId="0" applyFont="1" applyBorder="1" applyAlignment="1">
      <alignment horizontal="left"/>
    </xf>
    <xf numFmtId="0" fontId="45" fillId="0" borderId="2" xfId="0" applyFont="1" applyBorder="1" applyAlignment="1">
      <alignment horizontal="left"/>
    </xf>
    <xf numFmtId="0" fontId="0" fillId="0" borderId="2" xfId="0" applyBorder="1"/>
    <xf numFmtId="9" fontId="42" fillId="0" borderId="2" xfId="0" applyNumberFormat="1" applyFont="1" applyBorder="1"/>
    <xf numFmtId="49" fontId="42" fillId="0" borderId="2" xfId="0" applyNumberFormat="1" applyFont="1" applyBorder="1"/>
    <xf numFmtId="0" fontId="4" fillId="0" borderId="11" xfId="1" applyFont="1" applyBorder="1" applyAlignment="1">
      <alignment horizontal="left" vertical="center"/>
    </xf>
    <xf numFmtId="0" fontId="46" fillId="0" borderId="4" xfId="0" applyFont="1" applyBorder="1" applyAlignment="1">
      <alignment horizontal="left"/>
    </xf>
    <xf numFmtId="2" fontId="5" fillId="0" borderId="3" xfId="1" applyNumberFormat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43" fontId="26" fillId="16" borderId="4" xfId="0" applyNumberFormat="1" applyFont="1" applyFill="1" applyBorder="1"/>
    <xf numFmtId="0" fontId="0" fillId="16" borderId="0" xfId="0" applyFill="1"/>
    <xf numFmtId="0" fontId="47" fillId="0" borderId="0" xfId="0" applyFont="1" applyAlignment="1">
      <alignment wrapText="1"/>
    </xf>
    <xf numFmtId="0" fontId="48" fillId="0" borderId="0" xfId="0" applyFont="1"/>
    <xf numFmtId="0" fontId="49" fillId="0" borderId="0" xfId="0" applyFont="1"/>
    <xf numFmtId="0" fontId="1" fillId="0" borderId="0" xfId="0" applyFont="1"/>
    <xf numFmtId="165" fontId="0" fillId="0" borderId="0" xfId="0" quotePrefix="1" applyNumberFormat="1" applyAlignment="1">
      <alignment horizontal="right"/>
    </xf>
    <xf numFmtId="0" fontId="3" fillId="3" borderId="33" xfId="1" applyFont="1" applyFill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21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2" fontId="4" fillId="0" borderId="0" xfId="1" applyNumberFormat="1" applyFont="1" applyAlignment="1">
      <alignment horizontal="left" vertical="center"/>
    </xf>
    <xf numFmtId="6" fontId="4" fillId="0" borderId="0" xfId="2" applyNumberFormat="1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44" fontId="4" fillId="0" borderId="0" xfId="2" applyFont="1" applyBorder="1" applyAlignment="1">
      <alignment horizontal="left" vertical="center"/>
    </xf>
    <xf numFmtId="44" fontId="4" fillId="0" borderId="0" xfId="2" applyFont="1" applyFill="1" applyBorder="1" applyAlignment="1">
      <alignment horizontal="left" vertical="center"/>
    </xf>
    <xf numFmtId="0" fontId="26" fillId="0" borderId="0" xfId="0" applyFont="1" applyAlignment="1">
      <alignment horizontal="center" wrapText="1"/>
    </xf>
    <xf numFmtId="9" fontId="26" fillId="0" borderId="0" xfId="0" applyNumberFormat="1" applyFont="1"/>
    <xf numFmtId="43" fontId="26" fillId="0" borderId="0" xfId="0" applyNumberFormat="1" applyFont="1"/>
    <xf numFmtId="9" fontId="26" fillId="17" borderId="3" xfId="5" applyFont="1" applyFill="1" applyBorder="1"/>
    <xf numFmtId="0" fontId="26" fillId="7" borderId="19" xfId="0" applyFont="1" applyFill="1" applyBorder="1" applyAlignment="1">
      <alignment horizontal="center" wrapText="1"/>
    </xf>
    <xf numFmtId="0" fontId="26" fillId="7" borderId="16" xfId="0" applyFont="1" applyFill="1" applyBorder="1" applyAlignment="1">
      <alignment horizontal="center" wrapText="1"/>
    </xf>
    <xf numFmtId="0" fontId="26" fillId="7" borderId="31" xfId="0" applyFont="1" applyFill="1" applyBorder="1"/>
    <xf numFmtId="43" fontId="26" fillId="17" borderId="11" xfId="0" applyNumberFormat="1" applyFont="1" applyFill="1" applyBorder="1"/>
    <xf numFmtId="9" fontId="50" fillId="17" borderId="14" xfId="0" applyNumberFormat="1" applyFont="1" applyFill="1" applyBorder="1"/>
    <xf numFmtId="0" fontId="31" fillId="8" borderId="0" xfId="0" applyFont="1" applyFill="1" applyAlignment="1">
      <alignment horizontal="left" vertical="center" wrapText="1"/>
    </xf>
    <xf numFmtId="0" fontId="28" fillId="9" borderId="0" xfId="0" applyFont="1" applyFill="1" applyAlignment="1" applyProtection="1">
      <alignment horizontal="left" vertical="center"/>
      <protection locked="0"/>
    </xf>
    <xf numFmtId="0" fontId="31" fillId="8" borderId="0" xfId="0" applyFont="1" applyFill="1" applyAlignment="1">
      <alignment horizontal="left" vertical="center"/>
    </xf>
    <xf numFmtId="0" fontId="4" fillId="0" borderId="2" xfId="1" applyFont="1" applyBorder="1" applyAlignment="1" applyProtection="1">
      <alignment horizontal="left" vertical="center"/>
      <protection locked="0"/>
    </xf>
    <xf numFmtId="44" fontId="0" fillId="0" borderId="0" xfId="2" applyFont="1" applyFill="1"/>
    <xf numFmtId="44" fontId="4" fillId="0" borderId="1" xfId="2" applyFont="1" applyFill="1" applyBorder="1" applyAlignment="1">
      <alignment horizontal="left" vertical="center"/>
    </xf>
    <xf numFmtId="44" fontId="40" fillId="0" borderId="2" xfId="2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left" vertical="center"/>
    </xf>
    <xf numFmtId="6" fontId="4" fillId="0" borderId="2" xfId="2" applyNumberFormat="1" applyFont="1" applyFill="1" applyBorder="1" applyAlignment="1">
      <alignment horizontal="left" vertical="center"/>
    </xf>
    <xf numFmtId="44" fontId="4" fillId="0" borderId="14" xfId="2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44" fontId="4" fillId="0" borderId="3" xfId="2" applyFont="1" applyFill="1" applyBorder="1" applyAlignment="1">
      <alignment horizontal="left" vertical="center"/>
    </xf>
    <xf numFmtId="0" fontId="42" fillId="0" borderId="14" xfId="1" applyFont="1" applyBorder="1" applyAlignment="1">
      <alignment horizontal="left" vertical="center"/>
    </xf>
    <xf numFmtId="0" fontId="51" fillId="0" borderId="4" xfId="0" applyFont="1" applyBorder="1"/>
    <xf numFmtId="0" fontId="4" fillId="0" borderId="15" xfId="1" applyFont="1" applyBorder="1" applyAlignment="1" applyProtection="1">
      <alignment horizontal="left" vertical="center"/>
      <protection locked="0"/>
    </xf>
    <xf numFmtId="0" fontId="52" fillId="0" borderId="0" xfId="0" applyFont="1"/>
    <xf numFmtId="0" fontId="53" fillId="0" borderId="0" xfId="0" applyFont="1"/>
    <xf numFmtId="0" fontId="42" fillId="0" borderId="11" xfId="1" applyFont="1" applyBorder="1" applyAlignment="1">
      <alignment horizontal="left" vertical="center"/>
    </xf>
    <xf numFmtId="0" fontId="52" fillId="0" borderId="4" xfId="0" applyFont="1" applyBorder="1"/>
    <xf numFmtId="0" fontId="53" fillId="0" borderId="4" xfId="0" applyFont="1" applyBorder="1"/>
    <xf numFmtId="0" fontId="0" fillId="0" borderId="2" xfId="1" applyFont="1" applyBorder="1" applyAlignment="1" applyProtection="1">
      <alignment horizontal="left" vertical="center"/>
      <protection locked="0"/>
    </xf>
    <xf numFmtId="43" fontId="0" fillId="0" borderId="0" xfId="4" applyFont="1" applyBorder="1"/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1" fillId="0" borderId="0" xfId="0" applyFont="1"/>
    <xf numFmtId="0" fontId="16" fillId="5" borderId="0" xfId="0" applyFont="1" applyFill="1" applyAlignment="1" applyProtection="1">
      <alignment horizontal="left" vertical="center"/>
      <protection locked="0"/>
    </xf>
    <xf numFmtId="0" fontId="8" fillId="0" borderId="11" xfId="0" applyFont="1" applyBorder="1" applyAlignment="1" applyProtection="1">
      <alignment horizontal="left" vertical="center"/>
      <protection locked="0"/>
    </xf>
    <xf numFmtId="0" fontId="16" fillId="5" borderId="0" xfId="0" applyFont="1" applyFill="1" applyAlignment="1" applyProtection="1">
      <alignment horizontal="left" vertical="center" wrapText="1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9" xfId="0" applyFont="1" applyBorder="1" applyAlignment="1" applyProtection="1">
      <alignment horizontal="center" vertical="center"/>
      <protection locked="0"/>
    </xf>
    <xf numFmtId="0" fontId="22" fillId="0" borderId="10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2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6" fillId="0" borderId="28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12" fillId="8" borderId="0" xfId="0" applyFont="1" applyFill="1" applyAlignment="1">
      <alignment horizontal="right" vertical="center" wrapText="1"/>
    </xf>
    <xf numFmtId="0" fontId="12" fillId="8" borderId="12" xfId="0" applyFont="1" applyFill="1" applyBorder="1" applyAlignment="1">
      <alignment horizontal="right" vertical="center" wrapText="1"/>
    </xf>
    <xf numFmtId="0" fontId="12" fillId="8" borderId="0" xfId="0" applyFont="1" applyFill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29" fillId="5" borderId="0" xfId="0" applyFont="1" applyFill="1" applyAlignment="1" applyProtection="1">
      <alignment horizontal="left" vertical="center" wrapText="1"/>
      <protection locked="0"/>
    </xf>
    <xf numFmtId="0" fontId="12" fillId="7" borderId="0" xfId="0" applyFont="1" applyFill="1" applyAlignment="1">
      <alignment horizontal="center" vertical="center" wrapText="1"/>
    </xf>
    <xf numFmtId="0" fontId="31" fillId="8" borderId="0" xfId="0" applyFont="1" applyFill="1" applyAlignment="1">
      <alignment horizontal="left" vertical="center" wrapText="1"/>
    </xf>
    <xf numFmtId="0" fontId="31" fillId="8" borderId="12" xfId="0" applyFont="1" applyFill="1" applyBorder="1" applyAlignment="1">
      <alignment horizontal="left" vertical="center" wrapText="1"/>
    </xf>
    <xf numFmtId="0" fontId="12" fillId="0" borderId="11" xfId="0" applyFont="1" applyBorder="1" applyAlignment="1" applyProtection="1">
      <alignment horizontal="left" vertical="center" wrapText="1"/>
      <protection locked="0"/>
    </xf>
    <xf numFmtId="0" fontId="27" fillId="7" borderId="16" xfId="0" applyFont="1" applyFill="1" applyBorder="1" applyAlignment="1" applyProtection="1">
      <alignment horizontal="center" vertical="center" wrapText="1"/>
      <protection locked="0"/>
    </xf>
    <xf numFmtId="0" fontId="22" fillId="0" borderId="17" xfId="0" applyFont="1" applyBorder="1" applyAlignment="1" applyProtection="1">
      <alignment horizontal="center" vertical="center"/>
      <protection locked="0"/>
    </xf>
    <xf numFmtId="0" fontId="22" fillId="0" borderId="18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right"/>
    </xf>
    <xf numFmtId="0" fontId="22" fillId="0" borderId="5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3" xfId="0" applyFont="1" applyBorder="1" applyAlignment="1">
      <alignment horizontal="center"/>
    </xf>
  </cellXfs>
  <cellStyles count="7">
    <cellStyle name="Comma" xfId="4" builtinId="3"/>
    <cellStyle name="Currency 2" xfId="2" xr:uid="{64743D49-F29A-4FB7-B71C-F9F5A1BCC728}"/>
    <cellStyle name="Currency 3" xfId="6" xr:uid="{6756C7C3-84D5-CD42-A370-A419920C405F}"/>
    <cellStyle name="Hyperlink" xfId="3" builtinId="8"/>
    <cellStyle name="Normal" xfId="0" builtinId="0"/>
    <cellStyle name="Normal 2" xfId="1" xr:uid="{C0CF79E6-C433-481B-8528-870697B00D49}"/>
    <cellStyle name="Percent" xfId="5" builtinId="5"/>
  </cellStyles>
  <dxfs count="4">
    <dxf>
      <font>
        <strike/>
        <color theme="0" tint="-0.499984740745262"/>
      </font>
      <fill>
        <patternFill>
          <bgColor theme="0" tint="-0.499984740745262"/>
        </patternFill>
      </fill>
    </dxf>
    <dxf>
      <font>
        <strike/>
        <color theme="0" tint="-0.499984740745262"/>
      </font>
      <fill>
        <patternFill>
          <bgColor theme="0" tint="-0.499984740745262"/>
        </patternFill>
      </fill>
    </dxf>
    <dxf>
      <font>
        <strike/>
        <color theme="0" tint="-0.499984740745262"/>
      </font>
      <fill>
        <patternFill>
          <bgColor theme="0" tint="-0.499984740745262"/>
        </patternFill>
      </fill>
    </dxf>
    <dxf>
      <font>
        <strike/>
        <color theme="0" tint="-0.499984740745262"/>
      </font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9300"/>
      <color rgb="FF73FEFF"/>
      <color rgb="FF521B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Details - New Deal'!A1"/><Relationship Id="rId2" Type="http://schemas.openxmlformats.org/officeDocument/2006/relationships/hyperlink" Target="#'Details - Upgrade Parts'!A1"/><Relationship Id="rId1" Type="http://schemas.openxmlformats.org/officeDocument/2006/relationships/image" Target="../media/image1.png"/><Relationship Id="rId4" Type="http://schemas.openxmlformats.org/officeDocument/2006/relationships/hyperlink" Target="#'Details - Trade-up Parts 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New Deal Calculator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Upgradable parts Calculator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Trade-up Parts Calculator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76201</xdr:rowOff>
    </xdr:from>
    <xdr:to>
      <xdr:col>1</xdr:col>
      <xdr:colOff>397510</xdr:colOff>
      <xdr:row>2</xdr:row>
      <xdr:rowOff>65196</xdr:rowOff>
    </xdr:to>
    <xdr:pic>
      <xdr:nvPicPr>
        <xdr:cNvPr id="2" name="Picture 1" descr="Image result for ibm logo">
          <a:extLst>
            <a:ext uri="{FF2B5EF4-FFF2-40B4-BE49-F238E27FC236}">
              <a16:creationId xmlns:a16="http://schemas.microsoft.com/office/drawing/2014/main" id="{485A2E09-E4E3-46CA-B33A-ED9F6230D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76201"/>
          <a:ext cx="800100" cy="299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9525</xdr:colOff>
      <xdr:row>17</xdr:row>
      <xdr:rowOff>85725</xdr:rowOff>
    </xdr:from>
    <xdr:to>
      <xdr:col>18</xdr:col>
      <xdr:colOff>380999</xdr:colOff>
      <xdr:row>20</xdr:row>
      <xdr:rowOff>180976</xdr:rowOff>
    </xdr:to>
    <xdr:sp macro="" textlink="">
      <xdr:nvSpPr>
        <xdr:cNvPr id="6" name="Arrow: Pentagon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3EEB7B-223B-48EE-B5BF-32CF2634B5F3}"/>
            </a:ext>
          </a:extLst>
        </xdr:cNvPr>
        <xdr:cNvSpPr/>
      </xdr:nvSpPr>
      <xdr:spPr>
        <a:xfrm>
          <a:off x="9058275" y="3171825"/>
          <a:ext cx="1571624" cy="666751"/>
        </a:xfrm>
        <a:prstGeom prst="homePlat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   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Upgrade D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etails</a:t>
          </a:r>
          <a:endParaRPr lang="en-US" sz="1200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9525</xdr:colOff>
      <xdr:row>13</xdr:row>
      <xdr:rowOff>133350</xdr:rowOff>
    </xdr:from>
    <xdr:to>
      <xdr:col>18</xdr:col>
      <xdr:colOff>375284</xdr:colOff>
      <xdr:row>17</xdr:row>
      <xdr:rowOff>38101</xdr:rowOff>
    </xdr:to>
    <xdr:sp macro="" textlink="">
      <xdr:nvSpPr>
        <xdr:cNvPr id="8" name="Arrow: Pentagon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02D69D-C398-4E1D-8350-9B974BB18CE8}"/>
            </a:ext>
          </a:extLst>
        </xdr:cNvPr>
        <xdr:cNvSpPr/>
      </xdr:nvSpPr>
      <xdr:spPr>
        <a:xfrm>
          <a:off x="9058275" y="2457450"/>
          <a:ext cx="1565909" cy="666751"/>
        </a:xfrm>
        <a:prstGeom prst="homePlat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Deal 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Details </a:t>
          </a:r>
          <a:endParaRPr lang="en-US" sz="1200">
            <a:effectLst/>
          </a:endParaRPr>
        </a:p>
        <a:p>
          <a:pPr algn="ctr"/>
          <a:endParaRPr lang="en-US" sz="1200"/>
        </a:p>
      </xdr:txBody>
    </xdr:sp>
    <xdr:clientData/>
  </xdr:twoCellAnchor>
  <xdr:twoCellAnchor>
    <xdr:from>
      <xdr:col>16</xdr:col>
      <xdr:colOff>9525</xdr:colOff>
      <xdr:row>21</xdr:row>
      <xdr:rowOff>85725</xdr:rowOff>
    </xdr:from>
    <xdr:to>
      <xdr:col>18</xdr:col>
      <xdr:colOff>380999</xdr:colOff>
      <xdr:row>24</xdr:row>
      <xdr:rowOff>180976</xdr:rowOff>
    </xdr:to>
    <xdr:sp macro="" textlink="">
      <xdr:nvSpPr>
        <xdr:cNvPr id="5" name="Arrow: Pentagon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F19372-A1FB-8843-8B2F-4CFD4FEE299F}"/>
            </a:ext>
          </a:extLst>
        </xdr:cNvPr>
        <xdr:cNvSpPr/>
      </xdr:nvSpPr>
      <xdr:spPr>
        <a:xfrm>
          <a:off x="10131425" y="3133725"/>
          <a:ext cx="1717674" cy="666751"/>
        </a:xfrm>
        <a:prstGeom prst="homePlate">
          <a:avLst/>
        </a:prstGeom>
        <a:solidFill>
          <a:srgbClr val="521B9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    </a:t>
          </a: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Trade-up D</a:t>
          </a:r>
          <a:r>
            <a:rPr lang="en-US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etails</a:t>
          </a:r>
          <a:endParaRPr lang="en-US" sz="12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404403</xdr:colOff>
      <xdr:row>1</xdr:row>
      <xdr:rowOff>282212</xdr:rowOff>
    </xdr:from>
    <xdr:to>
      <xdr:col>28</xdr:col>
      <xdr:colOff>202201</xdr:colOff>
      <xdr:row>5</xdr:row>
      <xdr:rowOff>149679</xdr:rowOff>
    </xdr:to>
    <xdr:sp macro="" textlink="">
      <xdr:nvSpPr>
        <xdr:cNvPr id="2" name="Arrow: Pentago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1FFCB2-2416-4646-B902-3F8A9D007E33}"/>
            </a:ext>
          </a:extLst>
        </xdr:cNvPr>
        <xdr:cNvSpPr/>
      </xdr:nvSpPr>
      <xdr:spPr>
        <a:xfrm>
          <a:off x="15630796" y="445498"/>
          <a:ext cx="1593941" cy="697502"/>
        </a:xfrm>
        <a:prstGeom prst="homePlat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US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Deal  </a:t>
          </a:r>
          <a:r>
            <a:rPr lang="en-US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Calculator</a:t>
          </a:r>
          <a:endParaRPr lang="en-US" sz="1600">
            <a:effectLst/>
          </a:endParaRPr>
        </a:p>
        <a:p>
          <a:pPr algn="l"/>
          <a:endParaRPr lang="en-US" sz="1600"/>
        </a:p>
      </xdr:txBody>
    </xdr:sp>
    <xdr:clientData/>
  </xdr:twoCellAnchor>
  <xdr:twoCellAnchor>
    <xdr:from>
      <xdr:col>3</xdr:col>
      <xdr:colOff>122464</xdr:colOff>
      <xdr:row>1</xdr:row>
      <xdr:rowOff>285749</xdr:rowOff>
    </xdr:from>
    <xdr:to>
      <xdr:col>5</xdr:col>
      <xdr:colOff>487135</xdr:colOff>
      <xdr:row>5</xdr:row>
      <xdr:rowOff>128180</xdr:rowOff>
    </xdr:to>
    <xdr:sp macro="" textlink="">
      <xdr:nvSpPr>
        <xdr:cNvPr id="3" name="Arrow: Pentago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603355-FCA6-4287-96BD-61810FAB5BE5}"/>
            </a:ext>
          </a:extLst>
        </xdr:cNvPr>
        <xdr:cNvSpPr/>
      </xdr:nvSpPr>
      <xdr:spPr>
        <a:xfrm>
          <a:off x="13430250" y="449035"/>
          <a:ext cx="1562099" cy="672466"/>
        </a:xfrm>
        <a:prstGeom prst="homePlat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US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Deal  </a:t>
          </a:r>
          <a:r>
            <a:rPr lang="en-U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Calculator </a:t>
          </a:r>
          <a:endParaRPr lang="en-US" sz="1400">
            <a:effectLst/>
          </a:endParaRPr>
        </a:p>
        <a:p>
          <a:pPr algn="ctr"/>
          <a:endParaRPr lang="en-US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155395</xdr:colOff>
      <xdr:row>2</xdr:row>
      <xdr:rowOff>46534</xdr:rowOff>
    </xdr:from>
    <xdr:to>
      <xdr:col>11</xdr:col>
      <xdr:colOff>163286</xdr:colOff>
      <xdr:row>6</xdr:row>
      <xdr:rowOff>15781</xdr:rowOff>
    </xdr:to>
    <xdr:sp macro="" textlink="">
      <xdr:nvSpPr>
        <xdr:cNvPr id="6" name="Arrow: Pentago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712976-CE7D-42E6-B0DA-913EAD1614B2}"/>
            </a:ext>
          </a:extLst>
        </xdr:cNvPr>
        <xdr:cNvSpPr/>
      </xdr:nvSpPr>
      <xdr:spPr>
        <a:xfrm>
          <a:off x="14728645" y="522784"/>
          <a:ext cx="1804034" cy="608783"/>
        </a:xfrm>
        <a:prstGeom prst="homePlat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  Upgradable</a:t>
          </a:r>
          <a:r>
            <a:rPr lang="en-U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Parts calculator</a:t>
          </a:r>
          <a:endParaRPr lang="en-US" sz="1600" b="1">
            <a:effectLst/>
          </a:endParaRPr>
        </a:p>
        <a:p>
          <a:pPr algn="ctr"/>
          <a:endParaRPr lang="en-US" sz="16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155395</xdr:colOff>
      <xdr:row>2</xdr:row>
      <xdr:rowOff>46534</xdr:rowOff>
    </xdr:from>
    <xdr:to>
      <xdr:col>11</xdr:col>
      <xdr:colOff>163286</xdr:colOff>
      <xdr:row>6</xdr:row>
      <xdr:rowOff>15781</xdr:rowOff>
    </xdr:to>
    <xdr:sp macro="" textlink="">
      <xdr:nvSpPr>
        <xdr:cNvPr id="2" name="Arrow: Pentagon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8329C5-DD80-FA4B-AFFA-19BECD682AB4}"/>
            </a:ext>
          </a:extLst>
        </xdr:cNvPr>
        <xdr:cNvSpPr/>
      </xdr:nvSpPr>
      <xdr:spPr>
        <a:xfrm>
          <a:off x="22862995" y="529134"/>
          <a:ext cx="2027191" cy="985247"/>
        </a:xfrm>
        <a:prstGeom prst="homePlate">
          <a:avLst/>
        </a:prstGeom>
        <a:solidFill>
          <a:srgbClr val="521B9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  Trade-up </a:t>
          </a:r>
          <a:r>
            <a:rPr lang="en-U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Parts calculator</a:t>
          </a:r>
          <a:endParaRPr lang="en-US" sz="1600" b="1">
            <a:effectLst/>
          </a:endParaRPr>
        </a:p>
        <a:p>
          <a:pPr algn="ctr"/>
          <a:endParaRPr lang="en-US" sz="16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133350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26B9D58C-5531-47A2-8582-4002C45C2A9B}"/>
            </a:ext>
          </a:extLst>
        </xdr:cNvPr>
        <xdr:cNvSpPr>
          <a:spLocks noChangeAspect="1" noChangeArrowheads="1"/>
        </xdr:cNvSpPr>
      </xdr:nvSpPr>
      <xdr:spPr bwMode="auto">
        <a:xfrm>
          <a:off x="1089660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133350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56AD4360-1370-401F-BFCC-62EE7520CAC0}"/>
            </a:ext>
          </a:extLst>
        </xdr:cNvPr>
        <xdr:cNvSpPr>
          <a:spLocks noChangeAspect="1" noChangeArrowheads="1"/>
        </xdr:cNvSpPr>
      </xdr:nvSpPr>
      <xdr:spPr bwMode="auto">
        <a:xfrm>
          <a:off x="1089660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15</xdr:row>
      <xdr:rowOff>133350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070E5990-D181-45C6-8FFC-5A083AC85485}"/>
            </a:ext>
          </a:extLst>
        </xdr:cNvPr>
        <xdr:cNvSpPr>
          <a:spLocks noChangeAspect="1" noChangeArrowheads="1"/>
        </xdr:cNvSpPr>
      </xdr:nvSpPr>
      <xdr:spPr bwMode="auto">
        <a:xfrm>
          <a:off x="1028700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2528047</xdr:colOff>
      <xdr:row>174</xdr:row>
      <xdr:rowOff>161365</xdr:rowOff>
    </xdr:from>
    <xdr:to>
      <xdr:col>26</xdr:col>
      <xdr:colOff>569207</xdr:colOff>
      <xdr:row>178</xdr:row>
      <xdr:rowOff>119360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2E7F10-8C46-8246-B523-10EEAE39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38447" y="1139265"/>
          <a:ext cx="10652260" cy="10628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2528047</xdr:colOff>
      <xdr:row>3</xdr:row>
      <xdr:rowOff>161365</xdr:rowOff>
    </xdr:from>
    <xdr:to>
      <xdr:col>26</xdr:col>
      <xdr:colOff>569207</xdr:colOff>
      <xdr:row>6</xdr:row>
      <xdr:rowOff>119360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060EC-08B6-4B7B-8FC8-AC1047836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75412" y="1192306"/>
          <a:ext cx="9390477" cy="10726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2528047</xdr:colOff>
      <xdr:row>174</xdr:row>
      <xdr:rowOff>161365</xdr:rowOff>
    </xdr:from>
    <xdr:to>
      <xdr:col>26</xdr:col>
      <xdr:colOff>569207</xdr:colOff>
      <xdr:row>532</xdr:row>
      <xdr:rowOff>119529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E4EC4C-266A-564C-833B-F5B0989EC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38447" y="46617965"/>
          <a:ext cx="10652260" cy="10755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2528047</xdr:colOff>
      <xdr:row>174</xdr:row>
      <xdr:rowOff>161365</xdr:rowOff>
    </xdr:from>
    <xdr:to>
      <xdr:col>26</xdr:col>
      <xdr:colOff>569207</xdr:colOff>
      <xdr:row>178</xdr:row>
      <xdr:rowOff>119360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754A7-3D4D-7A4E-8373-C1981A3E1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38447" y="1139265"/>
          <a:ext cx="10652260" cy="1062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awonPark/Box%20Sync/Financial%20data%20and%20analysis/2020/MAS/Maximo%20Upgradable%20parts%20and%20prices_v2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IMWOO~1/AppData/Local/Temp/notes32C5CD/Cloud%20Pak%20Request%20Form_May%204_202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AWONP~1/AppData/Local/Temp/notes97E53A/Cloud%20Pak%20Request%20Form_May%204_202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AWONP~1/AppData/Local/Temp/notes97E53A/~163734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AWONP~1/AppData/Local/Temp/notes97E53A/Maximo%20Upgradable%20parts%20Calculator_2.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ss/Downloads/Maximo%20Application%20Suite%20AppPoint%20calculator%20-%20Upgrade&amp;%20Trade-up%20tab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 Parts"/>
      <sheetName val="Rules"/>
      <sheetName val="Upgrade Parts Future"/>
      <sheetName val="Worksheet"/>
      <sheetName val="LIST"/>
      <sheetName val="Rules_K"/>
      <sheetName val="Sheet8"/>
      <sheetName val="Sheet7"/>
      <sheetName val="Sample Customers 35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ILL DETAILS"/>
      <sheetName val="Application"/>
      <sheetName val="Integration"/>
      <sheetName val="Automation"/>
      <sheetName val="Multicloud Management"/>
      <sheetName val="Security"/>
      <sheetName val="Netcool Ops"/>
      <sheetName val="Cloud DevOps"/>
      <sheetName val="Data &amp; Analytics"/>
      <sheetName val="Non Cloud Pak Requests"/>
      <sheetName val="Bundle Choices"/>
      <sheetName val="Renewal Part Number Lookups"/>
      <sheetName val="Named Ranges"/>
      <sheetName val="Cloud Pak Request Form_May 4_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AUS Dollar</v>
          </cell>
          <cell r="C2" t="str">
            <v>BL</v>
          </cell>
          <cell r="E2" t="str">
            <v>Direct</v>
          </cell>
        </row>
        <row r="3">
          <cell r="A3" t="str">
            <v>Brazilian Real</v>
          </cell>
          <cell r="C3" t="str">
            <v>D</v>
          </cell>
          <cell r="E3" t="str">
            <v>Channel</v>
          </cell>
        </row>
        <row r="4">
          <cell r="A4" t="str">
            <v>British Pound</v>
          </cell>
          <cell r="C4" t="str">
            <v>E</v>
          </cell>
        </row>
        <row r="5">
          <cell r="A5" t="str">
            <v>Canadian Dollar</v>
          </cell>
          <cell r="C5" t="str">
            <v>F</v>
          </cell>
        </row>
        <row r="6">
          <cell r="A6" t="str">
            <v>Chinese Yuan</v>
          </cell>
          <cell r="C6" t="str">
            <v>G</v>
          </cell>
        </row>
        <row r="7">
          <cell r="A7" t="str">
            <v>Danish Krone</v>
          </cell>
          <cell r="C7" t="str">
            <v>H</v>
          </cell>
        </row>
        <row r="8">
          <cell r="A8" t="str">
            <v>Euro</v>
          </cell>
          <cell r="C8" t="str">
            <v>I*</v>
          </cell>
        </row>
        <row r="9">
          <cell r="A9" t="str">
            <v>Indian Rupee</v>
          </cell>
          <cell r="C9" t="str">
            <v>J*</v>
          </cell>
        </row>
        <row r="10">
          <cell r="A10" t="str">
            <v>Indonesian Rupia</v>
          </cell>
          <cell r="C10" t="str">
            <v>ED</v>
          </cell>
        </row>
        <row r="11">
          <cell r="A11" t="str">
            <v>Japanese Yen</v>
          </cell>
          <cell r="C11" t="str">
            <v>GV</v>
          </cell>
        </row>
        <row r="12">
          <cell r="A12" t="str">
            <v>Non-US Dollar</v>
          </cell>
        </row>
        <row r="13">
          <cell r="A13" t="str">
            <v>Norwegian Krone</v>
          </cell>
        </row>
        <row r="14">
          <cell r="A14" t="str">
            <v>South African Rand</v>
          </cell>
        </row>
        <row r="15">
          <cell r="A15" t="str">
            <v>South Korean Won</v>
          </cell>
        </row>
        <row r="16">
          <cell r="A16" t="str">
            <v>Swedish Krona</v>
          </cell>
        </row>
        <row r="17">
          <cell r="A17" t="str">
            <v>Swiss Franc</v>
          </cell>
        </row>
        <row r="18">
          <cell r="A18" t="str">
            <v>US Dollar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ILL DETAILS"/>
      <sheetName val="Application"/>
      <sheetName val="Integration"/>
      <sheetName val="Automation"/>
      <sheetName val="Multicloud Management"/>
      <sheetName val="Security"/>
      <sheetName val="Netcool Ops"/>
      <sheetName val="Cloud DevOps"/>
      <sheetName val="Data &amp; Analytics"/>
      <sheetName val="Non Cloud Pak Requests"/>
      <sheetName val="Bundle Choices"/>
      <sheetName val="Renewal Part Number Lookups"/>
      <sheetName val="Named R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AUS Dollar</v>
          </cell>
          <cell r="C2" t="str">
            <v>BL</v>
          </cell>
          <cell r="E2" t="str">
            <v>Direct</v>
          </cell>
        </row>
        <row r="3">
          <cell r="A3" t="str">
            <v>Brazilian Real</v>
          </cell>
          <cell r="C3" t="str">
            <v>D</v>
          </cell>
          <cell r="E3" t="str">
            <v>Channel</v>
          </cell>
        </row>
        <row r="4">
          <cell r="A4" t="str">
            <v>British Pound</v>
          </cell>
          <cell r="C4" t="str">
            <v>E</v>
          </cell>
        </row>
        <row r="5">
          <cell r="A5" t="str">
            <v>Canadian Dollar</v>
          </cell>
          <cell r="C5" t="str">
            <v>F</v>
          </cell>
        </row>
        <row r="6">
          <cell r="A6" t="str">
            <v>Chinese Yuan</v>
          </cell>
          <cell r="C6" t="str">
            <v>G</v>
          </cell>
        </row>
        <row r="7">
          <cell r="A7" t="str">
            <v>Danish Krone</v>
          </cell>
          <cell r="C7" t="str">
            <v>H</v>
          </cell>
        </row>
        <row r="8">
          <cell r="A8" t="str">
            <v>Euro</v>
          </cell>
          <cell r="C8" t="str">
            <v>I*</v>
          </cell>
        </row>
        <row r="9">
          <cell r="A9" t="str">
            <v>Indian Rupee</v>
          </cell>
          <cell r="C9" t="str">
            <v>J*</v>
          </cell>
        </row>
        <row r="10">
          <cell r="A10" t="str">
            <v>Indonesian Rupia</v>
          </cell>
          <cell r="C10" t="str">
            <v>ED</v>
          </cell>
        </row>
        <row r="11">
          <cell r="A11" t="str">
            <v>Japanese Yen</v>
          </cell>
          <cell r="C11" t="str">
            <v>GV</v>
          </cell>
        </row>
        <row r="12">
          <cell r="A12" t="str">
            <v>Non-US Dollar</v>
          </cell>
        </row>
        <row r="13">
          <cell r="A13" t="str">
            <v>Norwegian Krone</v>
          </cell>
        </row>
        <row r="14">
          <cell r="A14" t="str">
            <v>South African Rand</v>
          </cell>
        </row>
        <row r="15">
          <cell r="A15" t="str">
            <v>South Korean Won</v>
          </cell>
        </row>
        <row r="16">
          <cell r="A16" t="str">
            <v>Swedish Krona</v>
          </cell>
        </row>
        <row r="17">
          <cell r="A17" t="str">
            <v>Swiss Franc</v>
          </cell>
        </row>
        <row r="18">
          <cell r="A18" t="str">
            <v>US Dollar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alculator"/>
      <sheetName val="Details Upgrade"/>
      <sheetName val="Upgrade Parts Future_K_v4.0"/>
      <sheetName val="Rules_K"/>
      <sheetName val="Details New Deal"/>
      <sheetName val="Rules_New Deal"/>
    </sheetNames>
    <sheetDataSet>
      <sheetData sheetId="0"/>
      <sheetData sheetId="1"/>
      <sheetData sheetId="2"/>
      <sheetData sheetId="3">
        <row r="3">
          <cell r="H3" t="str">
            <v>E0K39LL</v>
          </cell>
        </row>
        <row r="4">
          <cell r="H4" t="str">
            <v>D17CCLL</v>
          </cell>
        </row>
        <row r="5">
          <cell r="H5" t="str">
            <v>D17CDLL</v>
          </cell>
        </row>
        <row r="6">
          <cell r="H6" t="str">
            <v>E0N3QLL</v>
          </cell>
        </row>
        <row r="7">
          <cell r="H7" t="str">
            <v>D1QBGLL</v>
          </cell>
        </row>
        <row r="8">
          <cell r="H8" t="str">
            <v>D1QBHLL</v>
          </cell>
        </row>
        <row r="9">
          <cell r="H9" t="str">
            <v>D1QBMLL</v>
          </cell>
        </row>
        <row r="10">
          <cell r="H10" t="str">
            <v>E0N3RLL</v>
          </cell>
        </row>
        <row r="11">
          <cell r="H11" t="str">
            <v>D1QBKLL</v>
          </cell>
        </row>
        <row r="12">
          <cell r="H12" t="str">
            <v>D1QBLLL</v>
          </cell>
        </row>
        <row r="13">
          <cell r="H13" t="str">
            <v>D1QBILL</v>
          </cell>
        </row>
        <row r="14">
          <cell r="H14" t="str">
            <v>E0K3ALL</v>
          </cell>
        </row>
        <row r="15">
          <cell r="H15" t="str">
            <v>D17CELL</v>
          </cell>
        </row>
        <row r="16">
          <cell r="H16" t="str">
            <v>D17CFLL</v>
          </cell>
        </row>
        <row r="17">
          <cell r="H17" t="str">
            <v>E0N3NLL</v>
          </cell>
        </row>
        <row r="18">
          <cell r="H18" t="str">
            <v>D1QB8LL</v>
          </cell>
        </row>
        <row r="19">
          <cell r="H19" t="str">
            <v>D1QB9LL</v>
          </cell>
        </row>
        <row r="20">
          <cell r="H20" t="str">
            <v>D1QBELL</v>
          </cell>
        </row>
        <row r="21">
          <cell r="H21" t="str">
            <v>E0N3PLL</v>
          </cell>
        </row>
        <row r="22">
          <cell r="H22" t="str">
            <v>D1QBCLL</v>
          </cell>
        </row>
        <row r="23">
          <cell r="H23" t="str">
            <v>D1QBDLL</v>
          </cell>
        </row>
        <row r="24">
          <cell r="H24" t="str">
            <v>D1QBALL</v>
          </cell>
        </row>
        <row r="25">
          <cell r="H25" t="str">
            <v>D10SCLL</v>
          </cell>
        </row>
        <row r="26">
          <cell r="H26" t="str">
            <v>E0I3ZLL</v>
          </cell>
        </row>
        <row r="27">
          <cell r="H27" t="str">
            <v>D10SALL</v>
          </cell>
        </row>
        <row r="28">
          <cell r="H28" t="str">
            <v>D10SBLL</v>
          </cell>
        </row>
        <row r="29">
          <cell r="H29" t="str">
            <v>D10RBLL</v>
          </cell>
        </row>
        <row r="30">
          <cell r="H30" t="str">
            <v>E0I3NLL</v>
          </cell>
        </row>
        <row r="31">
          <cell r="H31" t="str">
            <v>D10R9LL</v>
          </cell>
        </row>
        <row r="32">
          <cell r="H32" t="str">
            <v>D10RALL</v>
          </cell>
        </row>
        <row r="33">
          <cell r="H33" t="str">
            <v>E04QNLL</v>
          </cell>
        </row>
        <row r="34">
          <cell r="H34" t="str">
            <v>D03WULL</v>
          </cell>
        </row>
        <row r="35">
          <cell r="H35" t="str">
            <v>D03WVLL</v>
          </cell>
        </row>
        <row r="36">
          <cell r="H36" t="str">
            <v>E04QQLL</v>
          </cell>
        </row>
        <row r="37">
          <cell r="H37" t="str">
            <v>D03WYLL</v>
          </cell>
        </row>
        <row r="38">
          <cell r="H38" t="str">
            <v>D03WZLL</v>
          </cell>
        </row>
        <row r="39">
          <cell r="H39" t="str">
            <v>E0N3LLL</v>
          </cell>
        </row>
        <row r="40">
          <cell r="H40" t="str">
            <v>D1QB0LL</v>
          </cell>
        </row>
        <row r="41">
          <cell r="H41" t="str">
            <v>D1QB1LL</v>
          </cell>
        </row>
        <row r="42">
          <cell r="H42" t="str">
            <v>D1QB6LL</v>
          </cell>
        </row>
        <row r="43">
          <cell r="H43" t="str">
            <v>E0N3MLL</v>
          </cell>
        </row>
        <row r="44">
          <cell r="H44" t="str">
            <v>D1QB4LL</v>
          </cell>
        </row>
        <row r="45">
          <cell r="H45" t="str">
            <v>D1QB5LL</v>
          </cell>
        </row>
        <row r="46">
          <cell r="H46" t="str">
            <v>D1QB2LL</v>
          </cell>
        </row>
        <row r="47">
          <cell r="H47" t="str">
            <v>E05USLL</v>
          </cell>
        </row>
        <row r="48">
          <cell r="H48" t="str">
            <v>D06GFLL</v>
          </cell>
        </row>
        <row r="49">
          <cell r="H49" t="str">
            <v>D06GGLL</v>
          </cell>
        </row>
        <row r="50">
          <cell r="H50" t="str">
            <v>E05UYLL</v>
          </cell>
        </row>
        <row r="51">
          <cell r="H51" t="str">
            <v>D06GWLL</v>
          </cell>
        </row>
        <row r="52">
          <cell r="H52" t="str">
            <v>D06GXLL</v>
          </cell>
        </row>
        <row r="53">
          <cell r="H53" t="str">
            <v>D0T0NLL</v>
          </cell>
        </row>
        <row r="54">
          <cell r="H54" t="str">
            <v>E0AUULL</v>
          </cell>
        </row>
        <row r="55">
          <cell r="H55" t="str">
            <v>D0GYALL</v>
          </cell>
        </row>
        <row r="56">
          <cell r="H56" t="str">
            <v>D0GYBLL</v>
          </cell>
        </row>
        <row r="57">
          <cell r="H57" t="str">
            <v>E0N2NLL</v>
          </cell>
        </row>
        <row r="58">
          <cell r="H58" t="str">
            <v>D1Q6ELL</v>
          </cell>
        </row>
        <row r="59">
          <cell r="H59" t="str">
            <v>D1Q6FLL</v>
          </cell>
        </row>
        <row r="60">
          <cell r="H60" t="str">
            <v>D1SVWLL</v>
          </cell>
        </row>
        <row r="61">
          <cell r="H61" t="str">
            <v>D1Q6LLL</v>
          </cell>
        </row>
        <row r="62">
          <cell r="H62" t="str">
            <v>D1Q6MLL</v>
          </cell>
        </row>
        <row r="63">
          <cell r="H63" t="str">
            <v>E0N2PLL</v>
          </cell>
        </row>
        <row r="64">
          <cell r="H64" t="str">
            <v>D1Q6JLL</v>
          </cell>
        </row>
        <row r="65">
          <cell r="H65" t="str">
            <v>D1Q6KLL</v>
          </cell>
        </row>
        <row r="66">
          <cell r="H66" t="str">
            <v>D1Q6GLL</v>
          </cell>
        </row>
        <row r="67">
          <cell r="H67" t="str">
            <v>D1SVVLL</v>
          </cell>
        </row>
        <row r="68">
          <cell r="H68" t="str">
            <v>D1Q6HLL</v>
          </cell>
        </row>
        <row r="69">
          <cell r="H69" t="str">
            <v>E0ED7LL</v>
          </cell>
        </row>
        <row r="70">
          <cell r="H70" t="str">
            <v>D0S8KLL</v>
          </cell>
        </row>
        <row r="71">
          <cell r="H71" t="str">
            <v>D0S8LLL</v>
          </cell>
        </row>
        <row r="72">
          <cell r="H72" t="str">
            <v>E0LM7LL</v>
          </cell>
        </row>
        <row r="73">
          <cell r="H73" t="str">
            <v>D1GVCLL</v>
          </cell>
        </row>
        <row r="74">
          <cell r="H74" t="str">
            <v>D1GVDLL</v>
          </cell>
        </row>
        <row r="75">
          <cell r="H75" t="str">
            <v>D1Q6VLL</v>
          </cell>
        </row>
        <row r="76">
          <cell r="H76" t="str">
            <v>D1Q6RLL</v>
          </cell>
        </row>
        <row r="77">
          <cell r="H77" t="str">
            <v>E0ED8LL</v>
          </cell>
        </row>
        <row r="78">
          <cell r="H78" t="str">
            <v>D0S8MLL</v>
          </cell>
        </row>
        <row r="79">
          <cell r="H79" t="str">
            <v>D0S8NLL</v>
          </cell>
        </row>
        <row r="80">
          <cell r="H80" t="str">
            <v>E0LMALL</v>
          </cell>
        </row>
        <row r="81">
          <cell r="H81" t="str">
            <v>D1GVLLL</v>
          </cell>
        </row>
        <row r="82">
          <cell r="H82" t="str">
            <v>D1GVPLL</v>
          </cell>
        </row>
        <row r="83">
          <cell r="H83" t="str">
            <v>E0N7ZLL</v>
          </cell>
        </row>
        <row r="84">
          <cell r="H84" t="str">
            <v>D1R6CLL</v>
          </cell>
        </row>
        <row r="85">
          <cell r="H85" t="str">
            <v>D1R6DLL</v>
          </cell>
        </row>
        <row r="86">
          <cell r="H86" t="str">
            <v>E0N80LL</v>
          </cell>
        </row>
        <row r="87">
          <cell r="H87" t="str">
            <v>D1R6GLL</v>
          </cell>
        </row>
        <row r="88">
          <cell r="H88" t="str">
            <v>D1R6HLL</v>
          </cell>
        </row>
        <row r="89">
          <cell r="H89" t="str">
            <v>D1R6ILL</v>
          </cell>
        </row>
        <row r="90">
          <cell r="H90" t="str">
            <v>D1R6ELL</v>
          </cell>
        </row>
        <row r="91">
          <cell r="H91" t="str">
            <v>D0T0QLL</v>
          </cell>
        </row>
        <row r="92">
          <cell r="H92" t="str">
            <v>E0AUXLL</v>
          </cell>
        </row>
        <row r="93">
          <cell r="H93" t="str">
            <v>D0GYHLL</v>
          </cell>
        </row>
        <row r="94">
          <cell r="H94" t="str">
            <v>D0GYILL</v>
          </cell>
        </row>
        <row r="95">
          <cell r="H95" t="str">
            <v>E0N7XLL</v>
          </cell>
        </row>
        <row r="96">
          <cell r="H96" t="str">
            <v>D1R64LL</v>
          </cell>
        </row>
        <row r="97">
          <cell r="H97" t="str">
            <v>D1R65LL</v>
          </cell>
        </row>
        <row r="98">
          <cell r="H98" t="str">
            <v>E0N7YLL</v>
          </cell>
        </row>
        <row r="99">
          <cell r="H99" t="str">
            <v>D1R68LL</v>
          </cell>
        </row>
        <row r="100">
          <cell r="H100" t="str">
            <v>D1R69LL</v>
          </cell>
        </row>
        <row r="101">
          <cell r="H101" t="str">
            <v>D1R6ALL</v>
          </cell>
        </row>
        <row r="102">
          <cell r="H102" t="str">
            <v>D1R66LL</v>
          </cell>
        </row>
        <row r="103">
          <cell r="H103" t="str">
            <v>E05B5LL</v>
          </cell>
        </row>
        <row r="104">
          <cell r="H104" t="str">
            <v>D04Y0LL</v>
          </cell>
        </row>
        <row r="105">
          <cell r="H105" t="str">
            <v>D04Y1LL</v>
          </cell>
        </row>
        <row r="106">
          <cell r="H106" t="str">
            <v>E05UFLL</v>
          </cell>
        </row>
        <row r="107">
          <cell r="H107" t="str">
            <v>D06FPLL</v>
          </cell>
        </row>
        <row r="108">
          <cell r="H108" t="str">
            <v>D06FQLL</v>
          </cell>
        </row>
        <row r="109">
          <cell r="H109" t="str">
            <v>D0T0SLL</v>
          </cell>
        </row>
        <row r="110">
          <cell r="H110" t="str">
            <v>E0AUTLL</v>
          </cell>
        </row>
        <row r="111">
          <cell r="H111" t="str">
            <v>D0GY8LL</v>
          </cell>
        </row>
        <row r="112">
          <cell r="H112" t="str">
            <v>D0GY9LL</v>
          </cell>
        </row>
        <row r="113">
          <cell r="H113" t="str">
            <v>D0T0TLL</v>
          </cell>
        </row>
        <row r="114">
          <cell r="H114" t="str">
            <v>E0AUYLL</v>
          </cell>
        </row>
        <row r="115">
          <cell r="H115" t="str">
            <v>D0GYKLL</v>
          </cell>
        </row>
        <row r="116">
          <cell r="H116" t="str">
            <v>D0GYLLL</v>
          </cell>
        </row>
        <row r="117">
          <cell r="H117" t="str">
            <v>E05B3LL</v>
          </cell>
        </row>
        <row r="118">
          <cell r="H118" t="str">
            <v>D04XWLL</v>
          </cell>
        </row>
        <row r="119">
          <cell r="H119" t="str">
            <v>D04XXLL</v>
          </cell>
        </row>
        <row r="120">
          <cell r="H120" t="str">
            <v>E05UCLL</v>
          </cell>
        </row>
        <row r="121">
          <cell r="H121" t="str">
            <v>D06FILL</v>
          </cell>
        </row>
        <row r="122">
          <cell r="H122" t="str">
            <v>D06FJLL</v>
          </cell>
        </row>
        <row r="123">
          <cell r="H123" t="str">
            <v>E05B1LL</v>
          </cell>
        </row>
        <row r="124">
          <cell r="H124" t="str">
            <v>D04XSLL</v>
          </cell>
        </row>
        <row r="125">
          <cell r="H125" t="str">
            <v>D04XTLL</v>
          </cell>
        </row>
        <row r="126">
          <cell r="H126" t="str">
            <v>E05UHLL</v>
          </cell>
        </row>
        <row r="127">
          <cell r="H127" t="str">
            <v>D06FULL</v>
          </cell>
        </row>
        <row r="128">
          <cell r="H128" t="str">
            <v>D06FVLL</v>
          </cell>
        </row>
        <row r="129">
          <cell r="H129" t="str">
            <v>D17I6LL</v>
          </cell>
        </row>
        <row r="130">
          <cell r="H130" t="str">
            <v>D17I5LL</v>
          </cell>
        </row>
        <row r="131">
          <cell r="H131" t="str">
            <v>E07QSLL</v>
          </cell>
        </row>
        <row r="132">
          <cell r="H132" t="str">
            <v>D0AYULL</v>
          </cell>
        </row>
        <row r="133">
          <cell r="H133" t="str">
            <v>D0AYVLL</v>
          </cell>
        </row>
        <row r="134">
          <cell r="H134" t="str">
            <v>E0N2SLL</v>
          </cell>
        </row>
        <row r="135">
          <cell r="H135" t="str">
            <v>D1Q6XLL</v>
          </cell>
        </row>
        <row r="136">
          <cell r="H136" t="str">
            <v>D1Q6YLL</v>
          </cell>
        </row>
        <row r="137">
          <cell r="H137" t="str">
            <v>D1Q73LL</v>
          </cell>
        </row>
        <row r="138">
          <cell r="H138" t="str">
            <v>E0N2TLL</v>
          </cell>
        </row>
        <row r="139">
          <cell r="H139" t="str">
            <v>D1Q71LL</v>
          </cell>
        </row>
        <row r="140">
          <cell r="H140" t="str">
            <v>D1Q72LL</v>
          </cell>
        </row>
        <row r="141">
          <cell r="H141" t="str">
            <v>D1Q6ZLL</v>
          </cell>
        </row>
        <row r="142">
          <cell r="H142" t="str">
            <v>D17I8LL</v>
          </cell>
        </row>
        <row r="143">
          <cell r="H143" t="str">
            <v>D17I7LL</v>
          </cell>
        </row>
        <row r="144">
          <cell r="H144" t="str">
            <v>E07QTLL</v>
          </cell>
        </row>
        <row r="145">
          <cell r="H145" t="str">
            <v>D0AYWLL</v>
          </cell>
        </row>
        <row r="146">
          <cell r="H146" t="str">
            <v>D0AYXLL</v>
          </cell>
        </row>
        <row r="147">
          <cell r="H147" t="str">
            <v>E0NSDLL</v>
          </cell>
        </row>
        <row r="148">
          <cell r="H148" t="str">
            <v>D1UE3LL</v>
          </cell>
        </row>
        <row r="149">
          <cell r="H149" t="str">
            <v>D1UE4LL</v>
          </cell>
        </row>
        <row r="150">
          <cell r="H150" t="str">
            <v>E0NSFLL</v>
          </cell>
        </row>
        <row r="151">
          <cell r="H151" t="str">
            <v>D1UE9LL</v>
          </cell>
        </row>
        <row r="152">
          <cell r="H152" t="str">
            <v>D1UEALL</v>
          </cell>
        </row>
        <row r="153">
          <cell r="H153" t="str">
            <v>D1UEBLL</v>
          </cell>
        </row>
        <row r="154">
          <cell r="H154" t="str">
            <v>D1UE5LL</v>
          </cell>
        </row>
        <row r="155">
          <cell r="H155" t="str">
            <v>E0NSELL</v>
          </cell>
        </row>
        <row r="156">
          <cell r="H156" t="str">
            <v>D1UE6LL</v>
          </cell>
        </row>
        <row r="157">
          <cell r="H157" t="str">
            <v>D1UE7LL</v>
          </cell>
        </row>
        <row r="158">
          <cell r="H158" t="str">
            <v>E0NSGLL</v>
          </cell>
        </row>
        <row r="159">
          <cell r="H159" t="str">
            <v>D1UECLL</v>
          </cell>
        </row>
        <row r="160">
          <cell r="H160" t="str">
            <v>D1UEDLL</v>
          </cell>
        </row>
        <row r="161">
          <cell r="H161" t="str">
            <v>D1UEELL</v>
          </cell>
        </row>
        <row r="162">
          <cell r="H162" t="str">
            <v>D1UE8LL</v>
          </cell>
        </row>
        <row r="163">
          <cell r="H163" t="str">
            <v>E0N29LL</v>
          </cell>
        </row>
        <row r="164">
          <cell r="H164" t="str">
            <v>D1Q4RLL</v>
          </cell>
        </row>
        <row r="165">
          <cell r="H165" t="str">
            <v>D1Q4SLL</v>
          </cell>
        </row>
        <row r="166">
          <cell r="H166" t="str">
            <v>E0N2ALL</v>
          </cell>
        </row>
        <row r="167">
          <cell r="H167" t="str">
            <v>D1Q4TLL</v>
          </cell>
        </row>
        <row r="168">
          <cell r="H168" t="str">
            <v>D1Q4ULL</v>
          </cell>
        </row>
        <row r="169">
          <cell r="H169" t="str">
            <v>E04QTLL</v>
          </cell>
        </row>
        <row r="170">
          <cell r="H170" t="str">
            <v>D03X4LL</v>
          </cell>
        </row>
        <row r="171">
          <cell r="H171" t="str">
            <v>D03X5LL</v>
          </cell>
        </row>
        <row r="172">
          <cell r="H172" t="str">
            <v>E0N8BLL</v>
          </cell>
        </row>
        <row r="173">
          <cell r="H173" t="str">
            <v>D1R7ULL</v>
          </cell>
        </row>
        <row r="174">
          <cell r="H174" t="str">
            <v>D1R7VLL</v>
          </cell>
        </row>
        <row r="175">
          <cell r="H175" t="str">
            <v>E0N8CLL</v>
          </cell>
        </row>
        <row r="176">
          <cell r="H176" t="str">
            <v>D1R7YLL</v>
          </cell>
        </row>
        <row r="177">
          <cell r="H177" t="str">
            <v>D1R7ZLL</v>
          </cell>
        </row>
        <row r="178">
          <cell r="H178" t="str">
            <v>D1R80LL</v>
          </cell>
        </row>
        <row r="179">
          <cell r="H179" t="str">
            <v>D1R7WLL</v>
          </cell>
        </row>
        <row r="180">
          <cell r="H180" t="str">
            <v>E05X3LL</v>
          </cell>
        </row>
        <row r="181">
          <cell r="H181" t="str">
            <v>D06MBLL</v>
          </cell>
        </row>
        <row r="182">
          <cell r="H182" t="str">
            <v>D06MCLL</v>
          </cell>
        </row>
        <row r="183">
          <cell r="H183" t="str">
            <v>E05VALL</v>
          </cell>
        </row>
        <row r="184">
          <cell r="H184" t="str">
            <v>D06HTLL</v>
          </cell>
        </row>
        <row r="185">
          <cell r="H185" t="str">
            <v>D06HULL</v>
          </cell>
        </row>
        <row r="186">
          <cell r="H186" t="str">
            <v>E03ZCLL</v>
          </cell>
        </row>
        <row r="187">
          <cell r="H187" t="str">
            <v>D61DGLL</v>
          </cell>
        </row>
        <row r="188">
          <cell r="H188" t="str">
            <v>D61DHLL</v>
          </cell>
        </row>
        <row r="189">
          <cell r="H189" t="str">
            <v>E05VMLL</v>
          </cell>
        </row>
        <row r="190">
          <cell r="H190" t="str">
            <v>D06ITLL</v>
          </cell>
        </row>
        <row r="191">
          <cell r="H191" t="str">
            <v>D06IULL</v>
          </cell>
        </row>
        <row r="192">
          <cell r="H192" t="str">
            <v>E0572LL</v>
          </cell>
        </row>
        <row r="193">
          <cell r="H193" t="str">
            <v>D04QDLL</v>
          </cell>
        </row>
        <row r="194">
          <cell r="H194" t="str">
            <v>D04QELL</v>
          </cell>
        </row>
        <row r="195">
          <cell r="H195" t="str">
            <v>E0LL2LL</v>
          </cell>
        </row>
        <row r="196">
          <cell r="H196" t="str">
            <v>D1GSQLL</v>
          </cell>
        </row>
        <row r="197">
          <cell r="H197" t="str">
            <v>D1GSRLL</v>
          </cell>
        </row>
        <row r="198">
          <cell r="H198" t="str">
            <v>E0LL3LL</v>
          </cell>
        </row>
        <row r="199">
          <cell r="H199" t="str">
            <v>D1GSSLL</v>
          </cell>
        </row>
        <row r="200">
          <cell r="H200" t="str">
            <v>D1GSTLL</v>
          </cell>
        </row>
        <row r="201">
          <cell r="H201" t="str">
            <v>E0LM8LL</v>
          </cell>
        </row>
        <row r="202">
          <cell r="H202" t="str">
            <v>D1GVGLL</v>
          </cell>
        </row>
        <row r="203">
          <cell r="H203" t="str">
            <v>D1GVHLL</v>
          </cell>
        </row>
        <row r="204">
          <cell r="H204" t="str">
            <v>E0LM6LL</v>
          </cell>
        </row>
        <row r="205">
          <cell r="H205" t="str">
            <v>D1GVALL</v>
          </cell>
        </row>
        <row r="206">
          <cell r="H206" t="str">
            <v>D1GVBLL</v>
          </cell>
        </row>
        <row r="207">
          <cell r="H207" t="str">
            <v>E0LL4LL</v>
          </cell>
        </row>
        <row r="208">
          <cell r="H208" t="str">
            <v>D1GSULL</v>
          </cell>
        </row>
        <row r="209">
          <cell r="H209" t="str">
            <v>D1GSVLL</v>
          </cell>
        </row>
        <row r="210">
          <cell r="H210" t="str">
            <v>E0LL5LL</v>
          </cell>
        </row>
        <row r="211">
          <cell r="H211" t="str">
            <v>D1GSWLL</v>
          </cell>
        </row>
        <row r="212">
          <cell r="H212" t="str">
            <v>D1GSXLL</v>
          </cell>
        </row>
        <row r="213">
          <cell r="H213" t="str">
            <v>E0LMBLL</v>
          </cell>
        </row>
        <row r="214">
          <cell r="H214" t="str">
            <v>D1GVQLL</v>
          </cell>
        </row>
        <row r="215">
          <cell r="H215" t="str">
            <v>D1GVRLL</v>
          </cell>
        </row>
        <row r="216">
          <cell r="H216" t="str">
            <v>E0LM9LL</v>
          </cell>
        </row>
        <row r="217">
          <cell r="H217" t="str">
            <v>D1GVILL</v>
          </cell>
        </row>
        <row r="218">
          <cell r="H218" t="str">
            <v>D1GVJLL</v>
          </cell>
        </row>
        <row r="219">
          <cell r="H219" t="str">
            <v>E0AVMLL</v>
          </cell>
        </row>
        <row r="220">
          <cell r="H220" t="str">
            <v>D0H0GLL</v>
          </cell>
        </row>
        <row r="221">
          <cell r="H221" t="str">
            <v>D0H0HLL</v>
          </cell>
        </row>
        <row r="222">
          <cell r="H222" t="str">
            <v>E0N89LL</v>
          </cell>
        </row>
        <row r="223">
          <cell r="H223" t="str">
            <v>D1R7LLL</v>
          </cell>
        </row>
        <row r="224">
          <cell r="H224" t="str">
            <v>D1R7MLL</v>
          </cell>
        </row>
        <row r="225">
          <cell r="H225" t="str">
            <v>E0N8ALL</v>
          </cell>
        </row>
        <row r="226">
          <cell r="H226" t="str">
            <v>D1R7QLL</v>
          </cell>
        </row>
        <row r="227">
          <cell r="H227" t="str">
            <v>D1R7RLL</v>
          </cell>
        </row>
        <row r="228">
          <cell r="H228" t="str">
            <v>D1R7SLL</v>
          </cell>
        </row>
        <row r="229">
          <cell r="H229" t="str">
            <v>D1R7NLL</v>
          </cell>
        </row>
        <row r="230">
          <cell r="H230" t="str">
            <v>D0H0FLL</v>
          </cell>
        </row>
        <row r="231">
          <cell r="H231" t="str">
            <v>D0H0ELL</v>
          </cell>
        </row>
        <row r="232">
          <cell r="H232" t="str">
            <v>D0T12LL</v>
          </cell>
        </row>
        <row r="233">
          <cell r="H233" t="str">
            <v>E0AVLLL</v>
          </cell>
        </row>
        <row r="234">
          <cell r="H234" t="str">
            <v>D0H0CLL</v>
          </cell>
        </row>
        <row r="235">
          <cell r="H235" t="str">
            <v>D0H0DLL</v>
          </cell>
        </row>
        <row r="236">
          <cell r="H236" t="str">
            <v>E0N87LL</v>
          </cell>
        </row>
        <row r="237">
          <cell r="H237" t="str">
            <v>D1R7BLL</v>
          </cell>
        </row>
        <row r="238">
          <cell r="H238" t="str">
            <v>D1R7CLL</v>
          </cell>
        </row>
        <row r="239">
          <cell r="H239" t="str">
            <v>E0N88LL</v>
          </cell>
        </row>
        <row r="240">
          <cell r="H240" t="str">
            <v>D1R7GLL</v>
          </cell>
        </row>
        <row r="241">
          <cell r="H241" t="str">
            <v>D1R7HLL</v>
          </cell>
        </row>
        <row r="242">
          <cell r="H242" t="str">
            <v>D1R7JLL</v>
          </cell>
        </row>
        <row r="243">
          <cell r="H243" t="str">
            <v>D1R7ILL</v>
          </cell>
        </row>
        <row r="244">
          <cell r="H244" t="str">
            <v>D1R7ELL</v>
          </cell>
        </row>
        <row r="245">
          <cell r="H245" t="str">
            <v>D1R7DLL</v>
          </cell>
        </row>
        <row r="246">
          <cell r="H246" t="str">
            <v>E0AVPLL</v>
          </cell>
        </row>
        <row r="247">
          <cell r="H247" t="str">
            <v>D0H0MLL</v>
          </cell>
        </row>
        <row r="248">
          <cell r="H248" t="str">
            <v>D0H0NLL</v>
          </cell>
        </row>
        <row r="249">
          <cell r="H249" t="str">
            <v>D0H0KLL</v>
          </cell>
        </row>
        <row r="250">
          <cell r="H250" t="str">
            <v>D0H0LLL</v>
          </cell>
        </row>
        <row r="251">
          <cell r="H251" t="str">
            <v>D0T13LL</v>
          </cell>
        </row>
        <row r="252">
          <cell r="H252" t="str">
            <v>E0AVNLL</v>
          </cell>
        </row>
        <row r="253">
          <cell r="H253" t="str">
            <v>D0H0ILL</v>
          </cell>
        </row>
        <row r="254">
          <cell r="H254" t="str">
            <v>D0H0JLL</v>
          </cell>
        </row>
        <row r="255">
          <cell r="H255" t="str">
            <v>D0T07LL</v>
          </cell>
        </row>
        <row r="256">
          <cell r="H256" t="str">
            <v>E0EEQLL</v>
          </cell>
        </row>
        <row r="257">
          <cell r="H257" t="str">
            <v>D0T05LL</v>
          </cell>
        </row>
        <row r="258">
          <cell r="H258" t="str">
            <v>D0T06LL</v>
          </cell>
        </row>
        <row r="259">
          <cell r="H259" t="str">
            <v>D0T0GLL</v>
          </cell>
        </row>
        <row r="260">
          <cell r="H260" t="str">
            <v>E0EESLL</v>
          </cell>
        </row>
        <row r="261">
          <cell r="H261" t="str">
            <v>D0T0ALL</v>
          </cell>
        </row>
        <row r="262">
          <cell r="H262" t="str">
            <v>D0T0CLL</v>
          </cell>
        </row>
        <row r="263">
          <cell r="H263" t="str">
            <v>E0AV6LL</v>
          </cell>
        </row>
        <row r="264">
          <cell r="H264" t="str">
            <v>D0GZ3LL</v>
          </cell>
        </row>
        <row r="265">
          <cell r="H265" t="str">
            <v>D0GZ4LL</v>
          </cell>
        </row>
        <row r="266">
          <cell r="H266" t="str">
            <v>E0NHXLL</v>
          </cell>
        </row>
        <row r="267">
          <cell r="H267" t="str">
            <v>D1SH0LL</v>
          </cell>
        </row>
        <row r="268">
          <cell r="H268" t="str">
            <v>D1SH1LL</v>
          </cell>
        </row>
        <row r="269">
          <cell r="H269" t="str">
            <v>D1SDCLL</v>
          </cell>
        </row>
        <row r="270">
          <cell r="H270" t="str">
            <v>D1SH2LL</v>
          </cell>
        </row>
        <row r="271">
          <cell r="H271" t="str">
            <v>E0NHWLL</v>
          </cell>
        </row>
        <row r="272">
          <cell r="H272" t="str">
            <v>D1SDALL</v>
          </cell>
        </row>
        <row r="273">
          <cell r="H273" t="str">
            <v>D1SDBLL</v>
          </cell>
        </row>
        <row r="274">
          <cell r="H274" t="str">
            <v>D0GZ1LL</v>
          </cell>
        </row>
        <row r="275">
          <cell r="H275" t="str">
            <v>D0GZ2LL</v>
          </cell>
        </row>
        <row r="276">
          <cell r="H276" t="str">
            <v>D0T0ULL</v>
          </cell>
        </row>
        <row r="277">
          <cell r="H277" t="str">
            <v>E0AV5LL</v>
          </cell>
        </row>
        <row r="278">
          <cell r="H278" t="str">
            <v>D0GYZLL</v>
          </cell>
        </row>
        <row r="279">
          <cell r="H279" t="str">
            <v>D0GZ0LL</v>
          </cell>
        </row>
        <row r="280">
          <cell r="H280" t="str">
            <v>E0NHVLL</v>
          </cell>
        </row>
        <row r="281">
          <cell r="H281" t="str">
            <v>D1SD0LL</v>
          </cell>
        </row>
        <row r="282">
          <cell r="H282" t="str">
            <v>D1SD1LL</v>
          </cell>
        </row>
        <row r="283">
          <cell r="H283" t="str">
            <v>D1SCZLL</v>
          </cell>
        </row>
        <row r="284">
          <cell r="H284" t="str">
            <v>D1SCYLL</v>
          </cell>
        </row>
        <row r="285">
          <cell r="H285" t="str">
            <v>D1SD3LL</v>
          </cell>
        </row>
        <row r="286">
          <cell r="H286" t="str">
            <v>D1SD2LL</v>
          </cell>
        </row>
        <row r="287">
          <cell r="H287" t="str">
            <v>E0NHULL</v>
          </cell>
        </row>
        <row r="288">
          <cell r="H288" t="str">
            <v>D1SCWLL</v>
          </cell>
        </row>
        <row r="289">
          <cell r="H289" t="str">
            <v>D1SCXLL</v>
          </cell>
        </row>
        <row r="290">
          <cell r="H290" t="str">
            <v>E0AV8LL</v>
          </cell>
        </row>
        <row r="291">
          <cell r="H291" t="str">
            <v>D0GZ9LL</v>
          </cell>
        </row>
        <row r="292">
          <cell r="H292" t="str">
            <v>D0GZALL</v>
          </cell>
        </row>
        <row r="293">
          <cell r="H293" t="str">
            <v>D0GZ8LL</v>
          </cell>
        </row>
        <row r="294">
          <cell r="H294" t="str">
            <v>D0GZ7LL</v>
          </cell>
        </row>
        <row r="295">
          <cell r="H295" t="str">
            <v>D0T0VLL</v>
          </cell>
        </row>
        <row r="296">
          <cell r="H296" t="str">
            <v>E0AV7LL</v>
          </cell>
        </row>
        <row r="297">
          <cell r="H297" t="str">
            <v>D0GZ5LL</v>
          </cell>
        </row>
        <row r="298">
          <cell r="H298" t="str">
            <v>D0GZ6LL</v>
          </cell>
        </row>
        <row r="299">
          <cell r="H299" t="str">
            <v>D0S8RLL</v>
          </cell>
        </row>
        <row r="300">
          <cell r="H300" t="str">
            <v>E0ED9LL</v>
          </cell>
        </row>
        <row r="301">
          <cell r="H301" t="str">
            <v>D0S8PLL</v>
          </cell>
        </row>
        <row r="302">
          <cell r="H302" t="str">
            <v>D0S8QLL</v>
          </cell>
        </row>
        <row r="303">
          <cell r="H303" t="str">
            <v>D0S8ULL</v>
          </cell>
        </row>
        <row r="304">
          <cell r="H304" t="str">
            <v>E0EDALL</v>
          </cell>
        </row>
        <row r="305">
          <cell r="H305" t="str">
            <v>D0S8SLL</v>
          </cell>
        </row>
        <row r="306">
          <cell r="H306" t="str">
            <v>D0S8TLL</v>
          </cell>
        </row>
        <row r="307">
          <cell r="H307" t="str">
            <v>E0AVALL</v>
          </cell>
        </row>
        <row r="308">
          <cell r="H308" t="str">
            <v>D0GZFLL</v>
          </cell>
        </row>
        <row r="309">
          <cell r="H309" t="str">
            <v>D0GZGLL</v>
          </cell>
        </row>
        <row r="310">
          <cell r="H310" t="str">
            <v>E0N2YLL</v>
          </cell>
        </row>
        <row r="311">
          <cell r="H311" t="str">
            <v>D1Q7NLL</v>
          </cell>
        </row>
        <row r="312">
          <cell r="H312" t="str">
            <v>D1Q7PLL</v>
          </cell>
        </row>
        <row r="313">
          <cell r="H313" t="str">
            <v>D1QAFLL</v>
          </cell>
        </row>
        <row r="314">
          <cell r="H314" t="str">
            <v>E0N3GLL</v>
          </cell>
        </row>
        <row r="315">
          <cell r="H315" t="str">
            <v>D1QADLL</v>
          </cell>
        </row>
        <row r="316">
          <cell r="H316" t="str">
            <v>D1QAELL</v>
          </cell>
        </row>
        <row r="317">
          <cell r="H317" t="str">
            <v>D1Q7QLL</v>
          </cell>
        </row>
        <row r="318">
          <cell r="H318" t="str">
            <v>D0GZELL</v>
          </cell>
        </row>
        <row r="319">
          <cell r="H319" t="str">
            <v>D0GZDLL</v>
          </cell>
        </row>
        <row r="320">
          <cell r="H320" t="str">
            <v>D0T0WLL</v>
          </cell>
        </row>
        <row r="321">
          <cell r="H321" t="str">
            <v>E0AV9LL</v>
          </cell>
        </row>
        <row r="322">
          <cell r="H322" t="str">
            <v>D0GZBLL</v>
          </cell>
        </row>
        <row r="323">
          <cell r="H323" t="str">
            <v>D0GZCLL</v>
          </cell>
        </row>
        <row r="324">
          <cell r="H324" t="str">
            <v>E0N2WLL</v>
          </cell>
        </row>
        <row r="325">
          <cell r="H325" t="str">
            <v>D1Q7DLL</v>
          </cell>
        </row>
        <row r="326">
          <cell r="H326" t="str">
            <v>D1Q7ELL</v>
          </cell>
        </row>
        <row r="327">
          <cell r="H327" t="str">
            <v>D1Q7LLL</v>
          </cell>
        </row>
        <row r="328">
          <cell r="H328" t="str">
            <v>D1Q7KLL</v>
          </cell>
        </row>
        <row r="329">
          <cell r="H329" t="str">
            <v>E0N2XLL</v>
          </cell>
        </row>
        <row r="330">
          <cell r="H330" t="str">
            <v>D1Q7ILL</v>
          </cell>
        </row>
        <row r="331">
          <cell r="H331" t="str">
            <v>D1Q7JLL</v>
          </cell>
        </row>
        <row r="332">
          <cell r="H332" t="str">
            <v>D1Q7GLL</v>
          </cell>
        </row>
        <row r="333">
          <cell r="H333" t="str">
            <v>D1Q7FLL</v>
          </cell>
        </row>
        <row r="334">
          <cell r="H334" t="str">
            <v>E0AVCLL</v>
          </cell>
        </row>
        <row r="335">
          <cell r="H335" t="str">
            <v>D0GZLLL</v>
          </cell>
        </row>
        <row r="336">
          <cell r="H336" t="str">
            <v>D0GZMLL</v>
          </cell>
        </row>
        <row r="337">
          <cell r="H337" t="str">
            <v>D0GZJLL</v>
          </cell>
        </row>
        <row r="338">
          <cell r="H338" t="str">
            <v>D0GZKLL</v>
          </cell>
        </row>
        <row r="339">
          <cell r="H339" t="str">
            <v>D0T0XLL</v>
          </cell>
        </row>
        <row r="340">
          <cell r="H340" t="str">
            <v>E0AVBLL</v>
          </cell>
        </row>
        <row r="341">
          <cell r="H341" t="str">
            <v>D0GZHLL</v>
          </cell>
        </row>
        <row r="342">
          <cell r="H342" t="str">
            <v>D0GZILL</v>
          </cell>
        </row>
        <row r="343">
          <cell r="H343" t="str">
            <v>D0S91LL</v>
          </cell>
        </row>
        <row r="344">
          <cell r="H344" t="str">
            <v>E0EDBLL</v>
          </cell>
        </row>
        <row r="345">
          <cell r="H345" t="str">
            <v>D0S8ZLL</v>
          </cell>
        </row>
        <row r="346">
          <cell r="H346" t="str">
            <v>D0S90LL</v>
          </cell>
        </row>
        <row r="347">
          <cell r="H347" t="str">
            <v>D0S94LL</v>
          </cell>
        </row>
        <row r="348">
          <cell r="H348" t="str">
            <v>E0EDCLL</v>
          </cell>
        </row>
        <row r="349">
          <cell r="H349" t="str">
            <v>D0S92LL</v>
          </cell>
        </row>
        <row r="350">
          <cell r="H350" t="str">
            <v>D0S93LL</v>
          </cell>
        </row>
        <row r="351">
          <cell r="H351" t="str">
            <v>E0AVELL</v>
          </cell>
        </row>
        <row r="352">
          <cell r="H352" t="str">
            <v>D0GZSLL</v>
          </cell>
        </row>
        <row r="353">
          <cell r="H353" t="str">
            <v>D0GZTLL</v>
          </cell>
        </row>
        <row r="354">
          <cell r="H354" t="str">
            <v>E0N85LL</v>
          </cell>
        </row>
        <row r="355">
          <cell r="H355" t="str">
            <v>D1R73LL</v>
          </cell>
        </row>
        <row r="356">
          <cell r="H356" t="str">
            <v>D1R74LL</v>
          </cell>
        </row>
        <row r="357">
          <cell r="H357" t="str">
            <v>E0N86LL</v>
          </cell>
        </row>
        <row r="358">
          <cell r="H358" t="str">
            <v>D1R77LL</v>
          </cell>
        </row>
        <row r="359">
          <cell r="H359" t="str">
            <v>D1R78LL</v>
          </cell>
        </row>
        <row r="360">
          <cell r="H360" t="str">
            <v>D1R79LL</v>
          </cell>
        </row>
        <row r="361">
          <cell r="H361" t="str">
            <v>D1R75LL</v>
          </cell>
        </row>
        <row r="362">
          <cell r="H362" t="str">
            <v>D0GZQLL</v>
          </cell>
        </row>
        <row r="363">
          <cell r="H363" t="str">
            <v>D0GZRLL</v>
          </cell>
        </row>
        <row r="364">
          <cell r="H364" t="str">
            <v>D0T0YLL</v>
          </cell>
        </row>
        <row r="365">
          <cell r="H365" t="str">
            <v>E0AVDLL</v>
          </cell>
        </row>
        <row r="366">
          <cell r="H366" t="str">
            <v>D0GZNLL</v>
          </cell>
        </row>
        <row r="367">
          <cell r="H367" t="str">
            <v>D0GZPLL</v>
          </cell>
        </row>
        <row r="368">
          <cell r="H368" t="str">
            <v>E0N83LL</v>
          </cell>
        </row>
        <row r="369">
          <cell r="H369" t="str">
            <v>D1R6TLL</v>
          </cell>
        </row>
        <row r="370">
          <cell r="H370" t="str">
            <v>D1R6ULL</v>
          </cell>
        </row>
        <row r="371">
          <cell r="H371" t="str">
            <v>E0N84LL</v>
          </cell>
        </row>
        <row r="372">
          <cell r="H372" t="str">
            <v>D1R6YLL</v>
          </cell>
        </row>
        <row r="373">
          <cell r="H373" t="str">
            <v>D1R6ZLL</v>
          </cell>
        </row>
        <row r="374">
          <cell r="H374" t="str">
            <v>D1R71LL</v>
          </cell>
        </row>
        <row r="375">
          <cell r="H375" t="str">
            <v>D1R70LL</v>
          </cell>
        </row>
        <row r="376">
          <cell r="H376" t="str">
            <v>D1R6WLL</v>
          </cell>
        </row>
        <row r="377">
          <cell r="H377" t="str">
            <v>D1R6VLL</v>
          </cell>
        </row>
        <row r="378">
          <cell r="H378" t="str">
            <v>E0AVGLL</v>
          </cell>
        </row>
        <row r="379">
          <cell r="H379" t="str">
            <v>D0GZYLL</v>
          </cell>
        </row>
        <row r="380">
          <cell r="H380" t="str">
            <v>D0GZZLL</v>
          </cell>
        </row>
        <row r="381">
          <cell r="H381" t="str">
            <v>D0GZWLL</v>
          </cell>
        </row>
        <row r="382">
          <cell r="H382" t="str">
            <v>D0GZXLL</v>
          </cell>
        </row>
        <row r="383">
          <cell r="H383" t="str">
            <v>D0T0ZLL</v>
          </cell>
        </row>
        <row r="384">
          <cell r="H384" t="str">
            <v>E0AVFLL</v>
          </cell>
        </row>
        <row r="385">
          <cell r="H385" t="str">
            <v>D0GZULL</v>
          </cell>
        </row>
        <row r="386">
          <cell r="H386" t="str">
            <v>D0GZVLL</v>
          </cell>
        </row>
        <row r="387">
          <cell r="H387" t="str">
            <v>D0S97LL</v>
          </cell>
        </row>
        <row r="388">
          <cell r="H388" t="str">
            <v>E0EDDLL</v>
          </cell>
        </row>
        <row r="389">
          <cell r="H389" t="str">
            <v>D0S95LL</v>
          </cell>
        </row>
        <row r="390">
          <cell r="H390" t="str">
            <v>D0S96LL</v>
          </cell>
        </row>
        <row r="391">
          <cell r="H391" t="str">
            <v>D0S9ALL</v>
          </cell>
        </row>
        <row r="392">
          <cell r="H392" t="str">
            <v>E0EDELL</v>
          </cell>
        </row>
        <row r="393">
          <cell r="H393" t="str">
            <v>D0S98LL</v>
          </cell>
        </row>
        <row r="394">
          <cell r="H394" t="str">
            <v>D0S99LL</v>
          </cell>
        </row>
        <row r="395">
          <cell r="H395" t="str">
            <v>E0AVILL</v>
          </cell>
        </row>
        <row r="396">
          <cell r="H396" t="str">
            <v>D0H04LL</v>
          </cell>
        </row>
        <row r="397">
          <cell r="H397" t="str">
            <v>D0H05LL</v>
          </cell>
        </row>
        <row r="398">
          <cell r="H398" t="str">
            <v>E0N3JLL</v>
          </cell>
        </row>
        <row r="399">
          <cell r="H399" t="str">
            <v>D1QASLL</v>
          </cell>
        </row>
        <row r="400">
          <cell r="H400" t="str">
            <v>D1QATLL</v>
          </cell>
        </row>
        <row r="401">
          <cell r="H401" t="str">
            <v>D1QAYLL</v>
          </cell>
        </row>
        <row r="402">
          <cell r="H402" t="str">
            <v>D1QAULL</v>
          </cell>
        </row>
        <row r="403">
          <cell r="H403" t="str">
            <v>E0N3KLL</v>
          </cell>
        </row>
        <row r="404">
          <cell r="H404" t="str">
            <v>D1QAWLL</v>
          </cell>
        </row>
        <row r="405">
          <cell r="H405" t="str">
            <v>D1QAXLL</v>
          </cell>
        </row>
        <row r="406">
          <cell r="H406" t="str">
            <v>D0H02LL</v>
          </cell>
        </row>
        <row r="407">
          <cell r="H407" t="str">
            <v>D0H03LL</v>
          </cell>
        </row>
        <row r="408">
          <cell r="H408" t="str">
            <v>D0T10LL</v>
          </cell>
        </row>
        <row r="409">
          <cell r="H409" t="str">
            <v>E0AVHLL</v>
          </cell>
        </row>
        <row r="410">
          <cell r="H410" t="str">
            <v>D0H00LL</v>
          </cell>
        </row>
        <row r="411">
          <cell r="H411" t="str">
            <v>D0H01LL</v>
          </cell>
        </row>
        <row r="412">
          <cell r="H412" t="str">
            <v>E0N3HLL</v>
          </cell>
        </row>
        <row r="413">
          <cell r="H413" t="str">
            <v>D1QAHLL</v>
          </cell>
        </row>
        <row r="414">
          <cell r="H414" t="str">
            <v>D1QAILL</v>
          </cell>
        </row>
        <row r="415">
          <cell r="H415" t="str">
            <v>E0N3ILL</v>
          </cell>
        </row>
        <row r="416">
          <cell r="H416" t="str">
            <v>D1QAMLL</v>
          </cell>
        </row>
        <row r="417">
          <cell r="H417" t="str">
            <v>D1QANLL</v>
          </cell>
        </row>
        <row r="418">
          <cell r="H418" t="str">
            <v>D1QAKLL</v>
          </cell>
        </row>
        <row r="419">
          <cell r="H419" t="str">
            <v>D1QAJLL</v>
          </cell>
        </row>
        <row r="420">
          <cell r="H420" t="str">
            <v>E0AVKLL</v>
          </cell>
        </row>
        <row r="421">
          <cell r="H421" t="str">
            <v>D0H0ALL</v>
          </cell>
        </row>
        <row r="422">
          <cell r="H422" t="str">
            <v>D0H0BLL</v>
          </cell>
        </row>
        <row r="423">
          <cell r="H423" t="str">
            <v>D0H09LL</v>
          </cell>
        </row>
        <row r="424">
          <cell r="H424" t="str">
            <v>D0H08LL</v>
          </cell>
        </row>
        <row r="425">
          <cell r="H425" t="str">
            <v>D0T11LL</v>
          </cell>
        </row>
        <row r="426">
          <cell r="H426" t="str">
            <v>E0AVJLL</v>
          </cell>
        </row>
        <row r="427">
          <cell r="H427" t="str">
            <v>D0H06LL</v>
          </cell>
        </row>
        <row r="428">
          <cell r="H428" t="str">
            <v>D0H07LL</v>
          </cell>
        </row>
        <row r="429">
          <cell r="H429" t="str">
            <v>D0S9DLL</v>
          </cell>
        </row>
        <row r="430">
          <cell r="H430" t="str">
            <v>E0EDFLL</v>
          </cell>
        </row>
        <row r="431">
          <cell r="H431" t="str">
            <v>D0S9BLL</v>
          </cell>
        </row>
        <row r="432">
          <cell r="H432" t="str">
            <v>D0S9CLL</v>
          </cell>
        </row>
        <row r="433">
          <cell r="H433" t="str">
            <v>D0T04LL</v>
          </cell>
        </row>
        <row r="434">
          <cell r="H434" t="str">
            <v>E0EEMLL</v>
          </cell>
        </row>
        <row r="435">
          <cell r="H435" t="str">
            <v>D0T00LL</v>
          </cell>
        </row>
        <row r="436">
          <cell r="H436" t="str">
            <v>D0T01LL</v>
          </cell>
        </row>
        <row r="437">
          <cell r="H437" t="str">
            <v>D1QAQLL</v>
          </cell>
        </row>
        <row r="438">
          <cell r="H438" t="str">
            <v>D1QAPLL</v>
          </cell>
        </row>
        <row r="439">
          <cell r="H439" t="str">
            <v>E0NSHLL</v>
          </cell>
        </row>
        <row r="440">
          <cell r="H440" t="str">
            <v>D1UEFLL</v>
          </cell>
        </row>
        <row r="441">
          <cell r="H441" t="str">
            <v>D1UEGLL</v>
          </cell>
        </row>
        <row r="442">
          <cell r="H442" t="str">
            <v>E0NSJLL</v>
          </cell>
        </row>
        <row r="443">
          <cell r="H443" t="str">
            <v>D1UEJLL</v>
          </cell>
        </row>
        <row r="444">
          <cell r="H444" t="str">
            <v>D1UEKLL</v>
          </cell>
        </row>
        <row r="445">
          <cell r="H445" t="str">
            <v>E0NSILL</v>
          </cell>
        </row>
        <row r="446">
          <cell r="H446" t="str">
            <v>D1UEHLL</v>
          </cell>
        </row>
        <row r="447">
          <cell r="H447" t="str">
            <v>D1UEILL</v>
          </cell>
        </row>
        <row r="448">
          <cell r="H448" t="str">
            <v>E0NSKLL</v>
          </cell>
        </row>
        <row r="449">
          <cell r="H449" t="str">
            <v>D1UELLL</v>
          </cell>
        </row>
        <row r="450">
          <cell r="H450" t="str">
            <v>D1UEMLL</v>
          </cell>
        </row>
        <row r="451">
          <cell r="H451" t="str">
            <v>E0N2ULL</v>
          </cell>
        </row>
        <row r="452">
          <cell r="H452" t="str">
            <v>D1Q75LL</v>
          </cell>
        </row>
        <row r="453">
          <cell r="H453" t="str">
            <v>D1Q76LL</v>
          </cell>
        </row>
        <row r="454">
          <cell r="H454" t="str">
            <v>E0CS1LL</v>
          </cell>
        </row>
        <row r="455">
          <cell r="H455" t="str">
            <v>D0L7QLL</v>
          </cell>
        </row>
        <row r="456">
          <cell r="H456" t="str">
            <v>D0L7RLL</v>
          </cell>
        </row>
        <row r="457">
          <cell r="H457" t="str">
            <v>E0CS3LL</v>
          </cell>
        </row>
        <row r="458">
          <cell r="H458" t="str">
            <v>D0L7TLL</v>
          </cell>
        </row>
        <row r="459">
          <cell r="H459" t="str">
            <v>D0L7ULL</v>
          </cell>
        </row>
        <row r="460">
          <cell r="H460" t="str">
            <v>D1Q7BLL</v>
          </cell>
        </row>
        <row r="461">
          <cell r="H461" t="str">
            <v>E0N2VLL</v>
          </cell>
        </row>
        <row r="462">
          <cell r="H462" t="str">
            <v>D1Q79LL</v>
          </cell>
        </row>
        <row r="463">
          <cell r="H463" t="str">
            <v>D1Q7ALL</v>
          </cell>
        </row>
        <row r="464">
          <cell r="H464" t="str">
            <v>D1Q77LL</v>
          </cell>
        </row>
        <row r="465">
          <cell r="H465" t="str">
            <v>E04STLL</v>
          </cell>
        </row>
        <row r="466">
          <cell r="H466" t="str">
            <v>D040SLL</v>
          </cell>
        </row>
        <row r="467">
          <cell r="H467" t="str">
            <v>D040TLL</v>
          </cell>
        </row>
        <row r="468">
          <cell r="H468" t="str">
            <v>E0N81LL</v>
          </cell>
        </row>
        <row r="469">
          <cell r="H469" t="str">
            <v>D1R6KLL</v>
          </cell>
        </row>
        <row r="470">
          <cell r="H470" t="str">
            <v>D1R6LLL</v>
          </cell>
        </row>
        <row r="471">
          <cell r="H471" t="str">
            <v>E0N82LL</v>
          </cell>
        </row>
        <row r="472">
          <cell r="H472" t="str">
            <v>D1R6PLL</v>
          </cell>
        </row>
        <row r="473">
          <cell r="H473" t="str">
            <v>D1R6QLL</v>
          </cell>
        </row>
        <row r="474">
          <cell r="H474" t="str">
            <v>D1R6RLL</v>
          </cell>
        </row>
        <row r="475">
          <cell r="H475" t="str">
            <v>D1R6MLL</v>
          </cell>
        </row>
        <row r="476">
          <cell r="H476" t="str">
            <v>E05UDLL</v>
          </cell>
        </row>
        <row r="477">
          <cell r="H477" t="str">
            <v>D06FKLL</v>
          </cell>
        </row>
        <row r="478">
          <cell r="H478" t="str">
            <v>D06FLLL</v>
          </cell>
        </row>
        <row r="479">
          <cell r="H479" t="str">
            <v>E0AVZLL</v>
          </cell>
        </row>
        <row r="480">
          <cell r="H480" t="str">
            <v>D0H1BLL</v>
          </cell>
        </row>
        <row r="481">
          <cell r="H481" t="str">
            <v>D0H1CLL</v>
          </cell>
        </row>
        <row r="482">
          <cell r="H482" t="str">
            <v>E0N8DLL</v>
          </cell>
        </row>
        <row r="483">
          <cell r="H483" t="str">
            <v>D1R82LL</v>
          </cell>
        </row>
        <row r="484">
          <cell r="H484" t="str">
            <v>D1R83LL</v>
          </cell>
        </row>
        <row r="485">
          <cell r="H485" t="str">
            <v>E0N8ELL</v>
          </cell>
        </row>
        <row r="486">
          <cell r="H486" t="str">
            <v>D1R86LL</v>
          </cell>
        </row>
        <row r="487">
          <cell r="H487" t="str">
            <v>D1R87LL</v>
          </cell>
        </row>
        <row r="488">
          <cell r="H488" t="str">
            <v>D1R88LL</v>
          </cell>
        </row>
        <row r="489">
          <cell r="H489" t="str">
            <v>D1R84LL</v>
          </cell>
        </row>
        <row r="490">
          <cell r="H490" t="str">
            <v>E0AW0LL</v>
          </cell>
        </row>
        <row r="491">
          <cell r="H491" t="str">
            <v>D0H1DLL</v>
          </cell>
        </row>
        <row r="492">
          <cell r="H492" t="str">
            <v>D0H1ELL</v>
          </cell>
        </row>
        <row r="493">
          <cell r="H493" t="str">
            <v>E0AW1LL</v>
          </cell>
        </row>
        <row r="494">
          <cell r="H494" t="str">
            <v>D0H1FLL</v>
          </cell>
        </row>
        <row r="495">
          <cell r="H495" t="str">
            <v>D0H1GLL</v>
          </cell>
        </row>
        <row r="496">
          <cell r="H496" t="str">
            <v>E0AVYLL</v>
          </cell>
        </row>
        <row r="497">
          <cell r="H497" t="str">
            <v>D0H19LL</v>
          </cell>
        </row>
        <row r="498">
          <cell r="H498" t="str">
            <v>D0H1ALL</v>
          </cell>
        </row>
      </sheetData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etails"/>
      <sheetName val="Calculator"/>
      <sheetName val="Upgrade Parts Future_K_v4.0"/>
      <sheetName val="Rules_K"/>
    </sheetNames>
    <sheetDataSet>
      <sheetData sheetId="0"/>
      <sheetData sheetId="1"/>
      <sheetData sheetId="2"/>
      <sheetData sheetId="3">
        <row r="3">
          <cell r="H3" t="str">
            <v>E0K39LL</v>
          </cell>
        </row>
        <row r="4">
          <cell r="H4" t="str">
            <v>D17CCLL</v>
          </cell>
        </row>
        <row r="5">
          <cell r="H5" t="str">
            <v>D17CDLL</v>
          </cell>
        </row>
        <row r="6">
          <cell r="H6" t="str">
            <v>E0N3QLL</v>
          </cell>
        </row>
        <row r="7">
          <cell r="H7" t="str">
            <v>D1QBGLL</v>
          </cell>
        </row>
        <row r="8">
          <cell r="H8" t="str">
            <v>D1QBHLL</v>
          </cell>
        </row>
        <row r="9">
          <cell r="H9" t="str">
            <v>D1QBMLL</v>
          </cell>
        </row>
        <row r="10">
          <cell r="H10" t="str">
            <v>E0N3RLL</v>
          </cell>
        </row>
        <row r="11">
          <cell r="H11" t="str">
            <v>D1QBKLL</v>
          </cell>
        </row>
        <row r="12">
          <cell r="H12" t="str">
            <v>D1QBLLL</v>
          </cell>
        </row>
        <row r="13">
          <cell r="H13" t="str">
            <v>D1QBILL</v>
          </cell>
        </row>
        <row r="14">
          <cell r="H14" t="str">
            <v>E0K3ALL</v>
          </cell>
        </row>
        <row r="15">
          <cell r="H15" t="str">
            <v>D17CELL</v>
          </cell>
        </row>
        <row r="16">
          <cell r="H16" t="str">
            <v>D17CFLL</v>
          </cell>
        </row>
        <row r="17">
          <cell r="H17" t="str">
            <v>E0N3NLL</v>
          </cell>
        </row>
        <row r="18">
          <cell r="H18" t="str">
            <v>D1QB8LL</v>
          </cell>
        </row>
        <row r="19">
          <cell r="H19" t="str">
            <v>D1QB9LL</v>
          </cell>
        </row>
        <row r="20">
          <cell r="H20" t="str">
            <v>D1QBELL</v>
          </cell>
        </row>
        <row r="21">
          <cell r="H21" t="str">
            <v>E0N3PLL</v>
          </cell>
        </row>
        <row r="22">
          <cell r="H22" t="str">
            <v>D1QBCLL</v>
          </cell>
        </row>
        <row r="23">
          <cell r="H23" t="str">
            <v>D1QBDLL</v>
          </cell>
        </row>
        <row r="24">
          <cell r="H24" t="str">
            <v>D1QBALL</v>
          </cell>
        </row>
        <row r="25">
          <cell r="H25" t="str">
            <v>D10SCLL</v>
          </cell>
        </row>
        <row r="26">
          <cell r="H26" t="str">
            <v>E0I3ZLL</v>
          </cell>
        </row>
        <row r="27">
          <cell r="H27" t="str">
            <v>D10SALL</v>
          </cell>
        </row>
        <row r="28">
          <cell r="H28" t="str">
            <v>D10SBLL</v>
          </cell>
        </row>
        <row r="29">
          <cell r="H29" t="str">
            <v>D10RBLL</v>
          </cell>
        </row>
        <row r="30">
          <cell r="H30" t="str">
            <v>E0I3NLL</v>
          </cell>
        </row>
        <row r="31">
          <cell r="H31" t="str">
            <v>D10R9LL</v>
          </cell>
        </row>
        <row r="32">
          <cell r="H32" t="str">
            <v>D10RALL</v>
          </cell>
        </row>
        <row r="33">
          <cell r="H33" t="str">
            <v>E04QNLL</v>
          </cell>
        </row>
        <row r="34">
          <cell r="H34" t="str">
            <v>D03WULL</v>
          </cell>
        </row>
        <row r="35">
          <cell r="H35" t="str">
            <v>D03WVLL</v>
          </cell>
        </row>
        <row r="36">
          <cell r="H36" t="str">
            <v>E04QQLL</v>
          </cell>
        </row>
        <row r="37">
          <cell r="H37" t="str">
            <v>D03WYLL</v>
          </cell>
        </row>
        <row r="38">
          <cell r="H38" t="str">
            <v>D03WZLL</v>
          </cell>
        </row>
        <row r="39">
          <cell r="H39" t="str">
            <v>E0N3LLL</v>
          </cell>
        </row>
        <row r="40">
          <cell r="H40" t="str">
            <v>D1QB0LL</v>
          </cell>
        </row>
        <row r="41">
          <cell r="H41" t="str">
            <v>D1QB1LL</v>
          </cell>
        </row>
        <row r="42">
          <cell r="H42" t="str">
            <v>D1QB6LL</v>
          </cell>
        </row>
        <row r="43">
          <cell r="H43" t="str">
            <v>E0N3MLL</v>
          </cell>
        </row>
        <row r="44">
          <cell r="H44" t="str">
            <v>D1QB4LL</v>
          </cell>
        </row>
        <row r="45">
          <cell r="H45" t="str">
            <v>D1QB5LL</v>
          </cell>
        </row>
        <row r="46">
          <cell r="H46" t="str">
            <v>D1QB2LL</v>
          </cell>
        </row>
        <row r="47">
          <cell r="H47" t="str">
            <v>E05USLL</v>
          </cell>
        </row>
        <row r="48">
          <cell r="H48" t="str">
            <v>D06GFLL</v>
          </cell>
        </row>
        <row r="49">
          <cell r="H49" t="str">
            <v>D06GGLL</v>
          </cell>
        </row>
        <row r="50">
          <cell r="H50" t="str">
            <v>E05UYLL</v>
          </cell>
        </row>
        <row r="51">
          <cell r="H51" t="str">
            <v>D06GWLL</v>
          </cell>
        </row>
        <row r="52">
          <cell r="H52" t="str">
            <v>D06GXLL</v>
          </cell>
        </row>
        <row r="53">
          <cell r="H53" t="str">
            <v>D0T0NLL</v>
          </cell>
        </row>
        <row r="54">
          <cell r="H54" t="str">
            <v>E0AUULL</v>
          </cell>
        </row>
        <row r="55">
          <cell r="H55" t="str">
            <v>D0GYALL</v>
          </cell>
        </row>
        <row r="56">
          <cell r="H56" t="str">
            <v>D0GYBLL</v>
          </cell>
        </row>
        <row r="57">
          <cell r="H57" t="str">
            <v>E0N2NLL</v>
          </cell>
        </row>
        <row r="58">
          <cell r="H58" t="str">
            <v>D1Q6ELL</v>
          </cell>
        </row>
        <row r="59">
          <cell r="H59" t="str">
            <v>D1Q6FLL</v>
          </cell>
        </row>
        <row r="60">
          <cell r="H60" t="str">
            <v>D1SVWLL</v>
          </cell>
        </row>
        <row r="61">
          <cell r="H61" t="str">
            <v>D1Q6LLL</v>
          </cell>
        </row>
        <row r="62">
          <cell r="H62" t="str">
            <v>D1Q6MLL</v>
          </cell>
        </row>
        <row r="63">
          <cell r="H63" t="str">
            <v>E0N2PLL</v>
          </cell>
        </row>
        <row r="64">
          <cell r="H64" t="str">
            <v>D1Q6JLL</v>
          </cell>
        </row>
        <row r="65">
          <cell r="H65" t="str">
            <v>D1Q6KLL</v>
          </cell>
        </row>
        <row r="66">
          <cell r="H66" t="str">
            <v>D1Q6GLL</v>
          </cell>
        </row>
        <row r="67">
          <cell r="H67" t="str">
            <v>D1SVVLL</v>
          </cell>
        </row>
        <row r="68">
          <cell r="H68" t="str">
            <v>D1Q6HLL</v>
          </cell>
        </row>
        <row r="69">
          <cell r="H69" t="str">
            <v>E0ED7LL</v>
          </cell>
        </row>
        <row r="70">
          <cell r="H70" t="str">
            <v>D0S8KLL</v>
          </cell>
        </row>
        <row r="71">
          <cell r="H71" t="str">
            <v>D0S8LLL</v>
          </cell>
        </row>
        <row r="72">
          <cell r="H72" t="str">
            <v>E0LM7LL</v>
          </cell>
        </row>
        <row r="73">
          <cell r="H73" t="str">
            <v>D1GVCLL</v>
          </cell>
        </row>
        <row r="74">
          <cell r="H74" t="str">
            <v>D1GVDLL</v>
          </cell>
        </row>
        <row r="75">
          <cell r="H75" t="str">
            <v>D1Q6VLL</v>
          </cell>
        </row>
        <row r="76">
          <cell r="H76" t="str">
            <v>D1Q6RLL</v>
          </cell>
        </row>
        <row r="77">
          <cell r="H77" t="str">
            <v>E0ED8LL</v>
          </cell>
        </row>
        <row r="78">
          <cell r="H78" t="str">
            <v>D0S8MLL</v>
          </cell>
        </row>
        <row r="79">
          <cell r="H79" t="str">
            <v>D0S8NLL</v>
          </cell>
        </row>
        <row r="80">
          <cell r="H80" t="str">
            <v>E0LMALL</v>
          </cell>
        </row>
        <row r="81">
          <cell r="H81" t="str">
            <v>D1GVLLL</v>
          </cell>
        </row>
        <row r="82">
          <cell r="H82" t="str">
            <v>D1GVPLL</v>
          </cell>
        </row>
        <row r="83">
          <cell r="H83" t="str">
            <v>E0N7ZLL</v>
          </cell>
        </row>
        <row r="84">
          <cell r="H84" t="str">
            <v>D1R6CLL</v>
          </cell>
        </row>
        <row r="85">
          <cell r="H85" t="str">
            <v>D1R6DLL</v>
          </cell>
        </row>
        <row r="86">
          <cell r="H86" t="str">
            <v>E0N80LL</v>
          </cell>
        </row>
        <row r="87">
          <cell r="H87" t="str">
            <v>D1R6GLL</v>
          </cell>
        </row>
        <row r="88">
          <cell r="H88" t="str">
            <v>D1R6HLL</v>
          </cell>
        </row>
        <row r="89">
          <cell r="H89" t="str">
            <v>D1R6ILL</v>
          </cell>
        </row>
        <row r="90">
          <cell r="H90" t="str">
            <v>D1R6ELL</v>
          </cell>
        </row>
        <row r="91">
          <cell r="H91" t="str">
            <v>D0T0QLL</v>
          </cell>
        </row>
        <row r="92">
          <cell r="H92" t="str">
            <v>E0AUXLL</v>
          </cell>
        </row>
        <row r="93">
          <cell r="H93" t="str">
            <v>D0GYHLL</v>
          </cell>
        </row>
        <row r="94">
          <cell r="H94" t="str">
            <v>D0GYILL</v>
          </cell>
        </row>
        <row r="95">
          <cell r="H95" t="str">
            <v>E0N7XLL</v>
          </cell>
        </row>
        <row r="96">
          <cell r="H96" t="str">
            <v>D1R64LL</v>
          </cell>
        </row>
        <row r="97">
          <cell r="H97" t="str">
            <v>D1R65LL</v>
          </cell>
        </row>
        <row r="98">
          <cell r="H98" t="str">
            <v>E0N7YLL</v>
          </cell>
        </row>
        <row r="99">
          <cell r="H99" t="str">
            <v>D1R68LL</v>
          </cell>
        </row>
        <row r="100">
          <cell r="H100" t="str">
            <v>D1R69LL</v>
          </cell>
        </row>
        <row r="101">
          <cell r="H101" t="str">
            <v>D1R6ALL</v>
          </cell>
        </row>
        <row r="102">
          <cell r="H102" t="str">
            <v>D1R66LL</v>
          </cell>
        </row>
        <row r="103">
          <cell r="H103" t="str">
            <v>E05B5LL</v>
          </cell>
        </row>
        <row r="104">
          <cell r="H104" t="str">
            <v>D04Y0LL</v>
          </cell>
        </row>
        <row r="105">
          <cell r="H105" t="str">
            <v>D04Y1LL</v>
          </cell>
        </row>
        <row r="106">
          <cell r="H106" t="str">
            <v>E05UFLL</v>
          </cell>
        </row>
        <row r="107">
          <cell r="H107" t="str">
            <v>D06FPLL</v>
          </cell>
        </row>
        <row r="108">
          <cell r="H108" t="str">
            <v>D06FQLL</v>
          </cell>
        </row>
        <row r="109">
          <cell r="H109" t="str">
            <v>D0T0SLL</v>
          </cell>
        </row>
        <row r="110">
          <cell r="H110" t="str">
            <v>E0AUTLL</v>
          </cell>
        </row>
        <row r="111">
          <cell r="H111" t="str">
            <v>D0GY8LL</v>
          </cell>
        </row>
        <row r="112">
          <cell r="H112" t="str">
            <v>D0GY9LL</v>
          </cell>
        </row>
        <row r="113">
          <cell r="H113" t="str">
            <v>D0T0TLL</v>
          </cell>
        </row>
        <row r="114">
          <cell r="H114" t="str">
            <v>E0AUYLL</v>
          </cell>
        </row>
        <row r="115">
          <cell r="H115" t="str">
            <v>D0GYKLL</v>
          </cell>
        </row>
        <row r="116">
          <cell r="H116" t="str">
            <v>D0GYLLL</v>
          </cell>
        </row>
        <row r="117">
          <cell r="H117" t="str">
            <v>E05B3LL</v>
          </cell>
        </row>
        <row r="118">
          <cell r="H118" t="str">
            <v>D04XWLL</v>
          </cell>
        </row>
        <row r="119">
          <cell r="H119" t="str">
            <v>D04XXLL</v>
          </cell>
        </row>
        <row r="120">
          <cell r="H120" t="str">
            <v>E05UCLL</v>
          </cell>
        </row>
        <row r="121">
          <cell r="H121" t="str">
            <v>D06FILL</v>
          </cell>
        </row>
        <row r="122">
          <cell r="H122" t="str">
            <v>D06FJLL</v>
          </cell>
        </row>
        <row r="123">
          <cell r="H123" t="str">
            <v>E05B1LL</v>
          </cell>
        </row>
        <row r="124">
          <cell r="H124" t="str">
            <v>D04XSLL</v>
          </cell>
        </row>
        <row r="125">
          <cell r="H125" t="str">
            <v>D04XTLL</v>
          </cell>
        </row>
        <row r="126">
          <cell r="H126" t="str">
            <v>E05UHLL</v>
          </cell>
        </row>
        <row r="127">
          <cell r="H127" t="str">
            <v>D06FULL</v>
          </cell>
        </row>
        <row r="128">
          <cell r="H128" t="str">
            <v>D06FVLL</v>
          </cell>
        </row>
        <row r="129">
          <cell r="H129" t="str">
            <v>D17I6LL</v>
          </cell>
        </row>
        <row r="130">
          <cell r="H130" t="str">
            <v>D17I5LL</v>
          </cell>
        </row>
        <row r="131">
          <cell r="H131" t="str">
            <v>E07QSLL</v>
          </cell>
        </row>
        <row r="132">
          <cell r="H132" t="str">
            <v>D0AYULL</v>
          </cell>
        </row>
        <row r="133">
          <cell r="H133" t="str">
            <v>D0AYVLL</v>
          </cell>
        </row>
        <row r="134">
          <cell r="H134" t="str">
            <v>E0N2SLL</v>
          </cell>
        </row>
        <row r="135">
          <cell r="H135" t="str">
            <v>D1Q6XLL</v>
          </cell>
        </row>
        <row r="136">
          <cell r="H136" t="str">
            <v>D1Q6YLL</v>
          </cell>
        </row>
        <row r="137">
          <cell r="H137" t="str">
            <v>D1Q73LL</v>
          </cell>
        </row>
        <row r="138">
          <cell r="H138" t="str">
            <v>E0N2TLL</v>
          </cell>
        </row>
        <row r="139">
          <cell r="H139" t="str">
            <v>D1Q71LL</v>
          </cell>
        </row>
        <row r="140">
          <cell r="H140" t="str">
            <v>D1Q72LL</v>
          </cell>
        </row>
        <row r="141">
          <cell r="H141" t="str">
            <v>D1Q6ZLL</v>
          </cell>
        </row>
        <row r="142">
          <cell r="H142" t="str">
            <v>D17I8LL</v>
          </cell>
        </row>
        <row r="143">
          <cell r="H143" t="str">
            <v>D17I7LL</v>
          </cell>
        </row>
        <row r="144">
          <cell r="H144" t="str">
            <v>E07QTLL</v>
          </cell>
        </row>
        <row r="145">
          <cell r="H145" t="str">
            <v>D0AYWLL</v>
          </cell>
        </row>
        <row r="146">
          <cell r="H146" t="str">
            <v>D0AYXLL</v>
          </cell>
        </row>
        <row r="147">
          <cell r="H147" t="str">
            <v>E0NSDLL</v>
          </cell>
        </row>
        <row r="148">
          <cell r="H148" t="str">
            <v>D1UE3LL</v>
          </cell>
        </row>
        <row r="149">
          <cell r="H149" t="str">
            <v>D1UE4LL</v>
          </cell>
        </row>
        <row r="150">
          <cell r="H150" t="str">
            <v>E0NSFLL</v>
          </cell>
        </row>
        <row r="151">
          <cell r="H151" t="str">
            <v>D1UE9LL</v>
          </cell>
        </row>
        <row r="152">
          <cell r="H152" t="str">
            <v>D1UEALL</v>
          </cell>
        </row>
        <row r="153">
          <cell r="H153" t="str">
            <v>D1UEBLL</v>
          </cell>
        </row>
        <row r="154">
          <cell r="H154" t="str">
            <v>D1UE5LL</v>
          </cell>
        </row>
        <row r="155">
          <cell r="H155" t="str">
            <v>E0NSELL</v>
          </cell>
        </row>
        <row r="156">
          <cell r="H156" t="str">
            <v>D1UE6LL</v>
          </cell>
        </row>
        <row r="157">
          <cell r="H157" t="str">
            <v>D1UE7LL</v>
          </cell>
        </row>
        <row r="158">
          <cell r="H158" t="str">
            <v>E0NSGLL</v>
          </cell>
        </row>
        <row r="159">
          <cell r="H159" t="str">
            <v>D1UECLL</v>
          </cell>
        </row>
        <row r="160">
          <cell r="H160" t="str">
            <v>D1UEDLL</v>
          </cell>
        </row>
        <row r="161">
          <cell r="H161" t="str">
            <v>D1UEELL</v>
          </cell>
        </row>
        <row r="162">
          <cell r="H162" t="str">
            <v>D1UE8LL</v>
          </cell>
        </row>
        <row r="163">
          <cell r="H163" t="str">
            <v>E0N29LL</v>
          </cell>
        </row>
        <row r="164">
          <cell r="H164" t="str">
            <v>D1Q4RLL</v>
          </cell>
        </row>
        <row r="165">
          <cell r="H165" t="str">
            <v>D1Q4SLL</v>
          </cell>
        </row>
        <row r="166">
          <cell r="H166" t="str">
            <v>E0N2ALL</v>
          </cell>
        </row>
        <row r="167">
          <cell r="H167" t="str">
            <v>D1Q4TLL</v>
          </cell>
        </row>
        <row r="168">
          <cell r="H168" t="str">
            <v>D1Q4ULL</v>
          </cell>
        </row>
        <row r="169">
          <cell r="H169" t="str">
            <v>E04QTLL</v>
          </cell>
        </row>
        <row r="170">
          <cell r="H170" t="str">
            <v>D03X4LL</v>
          </cell>
        </row>
        <row r="171">
          <cell r="H171" t="str">
            <v>D03X5LL</v>
          </cell>
        </row>
        <row r="172">
          <cell r="H172" t="str">
            <v>E0N8BLL</v>
          </cell>
        </row>
        <row r="173">
          <cell r="H173" t="str">
            <v>D1R7ULL</v>
          </cell>
        </row>
        <row r="174">
          <cell r="H174" t="str">
            <v>D1R7VLL</v>
          </cell>
        </row>
        <row r="175">
          <cell r="H175" t="str">
            <v>E0N8CLL</v>
          </cell>
        </row>
        <row r="176">
          <cell r="H176" t="str">
            <v>D1R7YLL</v>
          </cell>
        </row>
        <row r="177">
          <cell r="H177" t="str">
            <v>D1R7ZLL</v>
          </cell>
        </row>
        <row r="178">
          <cell r="H178" t="str">
            <v>D1R80LL</v>
          </cell>
        </row>
        <row r="179">
          <cell r="H179" t="str">
            <v>D1R7WLL</v>
          </cell>
        </row>
        <row r="180">
          <cell r="H180" t="str">
            <v>E05X3LL</v>
          </cell>
        </row>
        <row r="181">
          <cell r="H181" t="str">
            <v>D06MBLL</v>
          </cell>
        </row>
        <row r="182">
          <cell r="H182" t="str">
            <v>D06MCLL</v>
          </cell>
        </row>
        <row r="183">
          <cell r="H183" t="str">
            <v>E05VALL</v>
          </cell>
        </row>
        <row r="184">
          <cell r="H184" t="str">
            <v>D06HTLL</v>
          </cell>
        </row>
        <row r="185">
          <cell r="H185" t="str">
            <v>D06HULL</v>
          </cell>
        </row>
        <row r="186">
          <cell r="H186" t="str">
            <v>E03ZCLL</v>
          </cell>
        </row>
        <row r="187">
          <cell r="H187" t="str">
            <v>D61DGLL</v>
          </cell>
        </row>
        <row r="188">
          <cell r="H188" t="str">
            <v>D61DHLL</v>
          </cell>
        </row>
        <row r="189">
          <cell r="H189" t="str">
            <v>E05VMLL</v>
          </cell>
        </row>
        <row r="190">
          <cell r="H190" t="str">
            <v>D06ITLL</v>
          </cell>
        </row>
        <row r="191">
          <cell r="H191" t="str">
            <v>D06IULL</v>
          </cell>
        </row>
        <row r="192">
          <cell r="H192" t="str">
            <v>E0572LL</v>
          </cell>
        </row>
        <row r="193">
          <cell r="H193" t="str">
            <v>D04QDLL</v>
          </cell>
        </row>
        <row r="194">
          <cell r="H194" t="str">
            <v>D04QELL</v>
          </cell>
        </row>
        <row r="195">
          <cell r="H195" t="str">
            <v>E0LL2LL</v>
          </cell>
        </row>
        <row r="196">
          <cell r="H196" t="str">
            <v>D1GSQLL</v>
          </cell>
        </row>
        <row r="197">
          <cell r="H197" t="str">
            <v>D1GSRLL</v>
          </cell>
        </row>
        <row r="198">
          <cell r="H198" t="str">
            <v>E0LL3LL</v>
          </cell>
        </row>
        <row r="199">
          <cell r="H199" t="str">
            <v>D1GSSLL</v>
          </cell>
        </row>
        <row r="200">
          <cell r="H200" t="str">
            <v>D1GSTLL</v>
          </cell>
        </row>
        <row r="201">
          <cell r="H201" t="str">
            <v>E0LM8LL</v>
          </cell>
        </row>
        <row r="202">
          <cell r="H202" t="str">
            <v>D1GVGLL</v>
          </cell>
        </row>
        <row r="203">
          <cell r="H203" t="str">
            <v>D1GVHLL</v>
          </cell>
        </row>
        <row r="204">
          <cell r="H204" t="str">
            <v>E0LM6LL</v>
          </cell>
        </row>
        <row r="205">
          <cell r="H205" t="str">
            <v>D1GVALL</v>
          </cell>
        </row>
        <row r="206">
          <cell r="H206" t="str">
            <v>D1GVBLL</v>
          </cell>
        </row>
        <row r="207">
          <cell r="H207" t="str">
            <v>E0LL4LL</v>
          </cell>
        </row>
        <row r="208">
          <cell r="H208" t="str">
            <v>D1GSULL</v>
          </cell>
        </row>
        <row r="209">
          <cell r="H209" t="str">
            <v>D1GSVLL</v>
          </cell>
        </row>
        <row r="210">
          <cell r="H210" t="str">
            <v>E0LL5LL</v>
          </cell>
        </row>
        <row r="211">
          <cell r="H211" t="str">
            <v>D1GSWLL</v>
          </cell>
        </row>
        <row r="212">
          <cell r="H212" t="str">
            <v>D1GSXLL</v>
          </cell>
        </row>
        <row r="213">
          <cell r="H213" t="str">
            <v>E0LMBLL</v>
          </cell>
        </row>
        <row r="214">
          <cell r="H214" t="str">
            <v>D1GVQLL</v>
          </cell>
        </row>
        <row r="215">
          <cell r="H215" t="str">
            <v>D1GVRLL</v>
          </cell>
        </row>
        <row r="216">
          <cell r="H216" t="str">
            <v>E0LM9LL</v>
          </cell>
        </row>
        <row r="217">
          <cell r="H217" t="str">
            <v>D1GVILL</v>
          </cell>
        </row>
        <row r="218">
          <cell r="H218" t="str">
            <v>D1GVJLL</v>
          </cell>
        </row>
        <row r="219">
          <cell r="H219" t="str">
            <v>E0AVMLL</v>
          </cell>
        </row>
        <row r="220">
          <cell r="H220" t="str">
            <v>D0H0GLL</v>
          </cell>
        </row>
        <row r="221">
          <cell r="H221" t="str">
            <v>D0H0HLL</v>
          </cell>
        </row>
        <row r="222">
          <cell r="H222" t="str">
            <v>E0N89LL</v>
          </cell>
        </row>
        <row r="223">
          <cell r="H223" t="str">
            <v>D1R7LLL</v>
          </cell>
        </row>
        <row r="224">
          <cell r="H224" t="str">
            <v>D1R7MLL</v>
          </cell>
        </row>
        <row r="225">
          <cell r="H225" t="str">
            <v>E0N8ALL</v>
          </cell>
        </row>
        <row r="226">
          <cell r="H226" t="str">
            <v>D1R7QLL</v>
          </cell>
        </row>
        <row r="227">
          <cell r="H227" t="str">
            <v>D1R7RLL</v>
          </cell>
        </row>
        <row r="228">
          <cell r="H228" t="str">
            <v>D1R7SLL</v>
          </cell>
        </row>
        <row r="229">
          <cell r="H229" t="str">
            <v>D1R7NLL</v>
          </cell>
        </row>
        <row r="230">
          <cell r="H230" t="str">
            <v>D0H0FLL</v>
          </cell>
        </row>
        <row r="231">
          <cell r="H231" t="str">
            <v>D0H0ELL</v>
          </cell>
        </row>
        <row r="232">
          <cell r="H232" t="str">
            <v>D0T12LL</v>
          </cell>
        </row>
        <row r="233">
          <cell r="H233" t="str">
            <v>E0AVLLL</v>
          </cell>
        </row>
        <row r="234">
          <cell r="H234" t="str">
            <v>D0H0CLL</v>
          </cell>
        </row>
        <row r="235">
          <cell r="H235" t="str">
            <v>D0H0DLL</v>
          </cell>
        </row>
        <row r="236">
          <cell r="H236" t="str">
            <v>E0N87LL</v>
          </cell>
        </row>
        <row r="237">
          <cell r="H237" t="str">
            <v>D1R7BLL</v>
          </cell>
        </row>
        <row r="238">
          <cell r="H238" t="str">
            <v>D1R7CLL</v>
          </cell>
        </row>
        <row r="239">
          <cell r="H239" t="str">
            <v>E0N88LL</v>
          </cell>
        </row>
        <row r="240">
          <cell r="H240" t="str">
            <v>D1R7GLL</v>
          </cell>
        </row>
        <row r="241">
          <cell r="H241" t="str">
            <v>D1R7HLL</v>
          </cell>
        </row>
        <row r="242">
          <cell r="H242" t="str">
            <v>D1R7JLL</v>
          </cell>
        </row>
        <row r="243">
          <cell r="H243" t="str">
            <v>D1R7ILL</v>
          </cell>
        </row>
        <row r="244">
          <cell r="H244" t="str">
            <v>D1R7ELL</v>
          </cell>
        </row>
        <row r="245">
          <cell r="H245" t="str">
            <v>D1R7DLL</v>
          </cell>
        </row>
        <row r="246">
          <cell r="H246" t="str">
            <v>E0AVPLL</v>
          </cell>
        </row>
        <row r="247">
          <cell r="H247" t="str">
            <v>D0H0MLL</v>
          </cell>
        </row>
        <row r="248">
          <cell r="H248" t="str">
            <v>D0H0NLL</v>
          </cell>
        </row>
        <row r="249">
          <cell r="H249" t="str">
            <v>D0H0KLL</v>
          </cell>
        </row>
        <row r="250">
          <cell r="H250" t="str">
            <v>D0H0LLL</v>
          </cell>
        </row>
        <row r="251">
          <cell r="H251" t="str">
            <v>D0T13LL</v>
          </cell>
        </row>
        <row r="252">
          <cell r="H252" t="str">
            <v>E0AVNLL</v>
          </cell>
        </row>
        <row r="253">
          <cell r="H253" t="str">
            <v>D0H0ILL</v>
          </cell>
        </row>
        <row r="254">
          <cell r="H254" t="str">
            <v>D0H0JLL</v>
          </cell>
        </row>
        <row r="255">
          <cell r="H255" t="str">
            <v>D0T07LL</v>
          </cell>
        </row>
        <row r="256">
          <cell r="H256" t="str">
            <v>E0EEQLL</v>
          </cell>
        </row>
        <row r="257">
          <cell r="H257" t="str">
            <v>D0T05LL</v>
          </cell>
        </row>
        <row r="258">
          <cell r="H258" t="str">
            <v>D0T06LL</v>
          </cell>
        </row>
        <row r="259">
          <cell r="H259" t="str">
            <v>D0T0GLL</v>
          </cell>
        </row>
        <row r="260">
          <cell r="H260" t="str">
            <v>E0EESLL</v>
          </cell>
        </row>
        <row r="261">
          <cell r="H261" t="str">
            <v>D0T0ALL</v>
          </cell>
        </row>
        <row r="262">
          <cell r="H262" t="str">
            <v>D0T0CLL</v>
          </cell>
        </row>
        <row r="263">
          <cell r="H263" t="str">
            <v>E0AV6LL</v>
          </cell>
        </row>
        <row r="264">
          <cell r="H264" t="str">
            <v>D0GZ3LL</v>
          </cell>
        </row>
        <row r="265">
          <cell r="H265" t="str">
            <v>D0GZ4LL</v>
          </cell>
        </row>
        <row r="266">
          <cell r="H266" t="str">
            <v>E0NHXLL</v>
          </cell>
        </row>
        <row r="267">
          <cell r="H267" t="str">
            <v>D1SH0LL</v>
          </cell>
        </row>
        <row r="268">
          <cell r="H268" t="str">
            <v>D1SH1LL</v>
          </cell>
        </row>
        <row r="269">
          <cell r="H269" t="str">
            <v>D1SDCLL</v>
          </cell>
        </row>
        <row r="270">
          <cell r="H270" t="str">
            <v>D1SH2LL</v>
          </cell>
        </row>
        <row r="271">
          <cell r="H271" t="str">
            <v>E0NHWLL</v>
          </cell>
        </row>
        <row r="272">
          <cell r="H272" t="str">
            <v>D1SDALL</v>
          </cell>
        </row>
        <row r="273">
          <cell r="H273" t="str">
            <v>D1SDBLL</v>
          </cell>
        </row>
        <row r="274">
          <cell r="H274" t="str">
            <v>D0GZ1LL</v>
          </cell>
        </row>
        <row r="275">
          <cell r="H275" t="str">
            <v>D0GZ2LL</v>
          </cell>
        </row>
        <row r="276">
          <cell r="H276" t="str">
            <v>D0T0ULL</v>
          </cell>
        </row>
        <row r="277">
          <cell r="H277" t="str">
            <v>E0AV5LL</v>
          </cell>
        </row>
        <row r="278">
          <cell r="H278" t="str">
            <v>D0GYZLL</v>
          </cell>
        </row>
        <row r="279">
          <cell r="H279" t="str">
            <v>D0GZ0LL</v>
          </cell>
        </row>
        <row r="280">
          <cell r="H280" t="str">
            <v>E0NHVLL</v>
          </cell>
        </row>
        <row r="281">
          <cell r="H281" t="str">
            <v>D1SD0LL</v>
          </cell>
        </row>
        <row r="282">
          <cell r="H282" t="str">
            <v>D1SD1LL</v>
          </cell>
        </row>
        <row r="283">
          <cell r="H283" t="str">
            <v>D1SCZLL</v>
          </cell>
        </row>
        <row r="284">
          <cell r="H284" t="str">
            <v>D1SCYLL</v>
          </cell>
        </row>
        <row r="285">
          <cell r="H285" t="str">
            <v>D1SD3LL</v>
          </cell>
        </row>
        <row r="286">
          <cell r="H286" t="str">
            <v>D1SD2LL</v>
          </cell>
        </row>
        <row r="287">
          <cell r="H287" t="str">
            <v>E0NHULL</v>
          </cell>
        </row>
        <row r="288">
          <cell r="H288" t="str">
            <v>D1SCWLL</v>
          </cell>
        </row>
        <row r="289">
          <cell r="H289" t="str">
            <v>D1SCXLL</v>
          </cell>
        </row>
        <row r="290">
          <cell r="H290" t="str">
            <v>E0AV8LL</v>
          </cell>
        </row>
        <row r="291">
          <cell r="H291" t="str">
            <v>D0GZ9LL</v>
          </cell>
        </row>
        <row r="292">
          <cell r="H292" t="str">
            <v>D0GZALL</v>
          </cell>
        </row>
        <row r="293">
          <cell r="H293" t="str">
            <v>D0GZ8LL</v>
          </cell>
        </row>
        <row r="294">
          <cell r="H294" t="str">
            <v>D0GZ7LL</v>
          </cell>
        </row>
        <row r="295">
          <cell r="H295" t="str">
            <v>D0T0VLL</v>
          </cell>
        </row>
        <row r="296">
          <cell r="H296" t="str">
            <v>E0AV7LL</v>
          </cell>
        </row>
        <row r="297">
          <cell r="H297" t="str">
            <v>D0GZ5LL</v>
          </cell>
        </row>
        <row r="298">
          <cell r="H298" t="str">
            <v>D0GZ6LL</v>
          </cell>
        </row>
        <row r="299">
          <cell r="H299" t="str">
            <v>D0S8RLL</v>
          </cell>
        </row>
        <row r="300">
          <cell r="H300" t="str">
            <v>E0ED9LL</v>
          </cell>
        </row>
        <row r="301">
          <cell r="H301" t="str">
            <v>D0S8PLL</v>
          </cell>
        </row>
        <row r="302">
          <cell r="H302" t="str">
            <v>D0S8QLL</v>
          </cell>
        </row>
        <row r="303">
          <cell r="H303" t="str">
            <v>D0S8ULL</v>
          </cell>
        </row>
        <row r="304">
          <cell r="H304" t="str">
            <v>E0EDALL</v>
          </cell>
        </row>
        <row r="305">
          <cell r="H305" t="str">
            <v>D0S8SLL</v>
          </cell>
        </row>
        <row r="306">
          <cell r="H306" t="str">
            <v>D0S8TLL</v>
          </cell>
        </row>
        <row r="307">
          <cell r="H307" t="str">
            <v>E0AVALL</v>
          </cell>
        </row>
        <row r="308">
          <cell r="H308" t="str">
            <v>D0GZFLL</v>
          </cell>
        </row>
        <row r="309">
          <cell r="H309" t="str">
            <v>D0GZGLL</v>
          </cell>
        </row>
        <row r="310">
          <cell r="H310" t="str">
            <v>E0N2YLL</v>
          </cell>
        </row>
        <row r="311">
          <cell r="H311" t="str">
            <v>D1Q7NLL</v>
          </cell>
        </row>
        <row r="312">
          <cell r="H312" t="str">
            <v>D1Q7PLL</v>
          </cell>
        </row>
        <row r="313">
          <cell r="H313" t="str">
            <v>D1QAFLL</v>
          </cell>
        </row>
        <row r="314">
          <cell r="H314" t="str">
            <v>E0N3GLL</v>
          </cell>
        </row>
        <row r="315">
          <cell r="H315" t="str">
            <v>D1QADLL</v>
          </cell>
        </row>
        <row r="316">
          <cell r="H316" t="str">
            <v>D1QAELL</v>
          </cell>
        </row>
        <row r="317">
          <cell r="H317" t="str">
            <v>D1Q7QLL</v>
          </cell>
        </row>
        <row r="318">
          <cell r="H318" t="str">
            <v>D0GZELL</v>
          </cell>
        </row>
        <row r="319">
          <cell r="H319" t="str">
            <v>D0GZDLL</v>
          </cell>
        </row>
        <row r="320">
          <cell r="H320" t="str">
            <v>D0T0WLL</v>
          </cell>
        </row>
        <row r="321">
          <cell r="H321" t="str">
            <v>E0AV9LL</v>
          </cell>
        </row>
        <row r="322">
          <cell r="H322" t="str">
            <v>D0GZBLL</v>
          </cell>
        </row>
        <row r="323">
          <cell r="H323" t="str">
            <v>D0GZCLL</v>
          </cell>
        </row>
        <row r="324">
          <cell r="H324" t="str">
            <v>E0N2WLL</v>
          </cell>
        </row>
        <row r="325">
          <cell r="H325" t="str">
            <v>D1Q7DLL</v>
          </cell>
        </row>
        <row r="326">
          <cell r="H326" t="str">
            <v>D1Q7ELL</v>
          </cell>
        </row>
        <row r="327">
          <cell r="H327" t="str">
            <v>D1Q7LLL</v>
          </cell>
        </row>
        <row r="328">
          <cell r="H328" t="str">
            <v>D1Q7KLL</v>
          </cell>
        </row>
        <row r="329">
          <cell r="H329" t="str">
            <v>E0N2XLL</v>
          </cell>
        </row>
        <row r="330">
          <cell r="H330" t="str">
            <v>D1Q7ILL</v>
          </cell>
        </row>
        <row r="331">
          <cell r="H331" t="str">
            <v>D1Q7JLL</v>
          </cell>
        </row>
        <row r="332">
          <cell r="H332" t="str">
            <v>D1Q7GLL</v>
          </cell>
        </row>
        <row r="333">
          <cell r="H333" t="str">
            <v>D1Q7FLL</v>
          </cell>
        </row>
        <row r="334">
          <cell r="H334" t="str">
            <v>E0AVCLL</v>
          </cell>
        </row>
        <row r="335">
          <cell r="H335" t="str">
            <v>D0GZLLL</v>
          </cell>
        </row>
        <row r="336">
          <cell r="H336" t="str">
            <v>D0GZMLL</v>
          </cell>
        </row>
        <row r="337">
          <cell r="H337" t="str">
            <v>D0GZJLL</v>
          </cell>
        </row>
        <row r="338">
          <cell r="H338" t="str">
            <v>D0GZKLL</v>
          </cell>
        </row>
        <row r="339">
          <cell r="H339" t="str">
            <v>D0T0XLL</v>
          </cell>
        </row>
        <row r="340">
          <cell r="H340" t="str">
            <v>E0AVBLL</v>
          </cell>
        </row>
        <row r="341">
          <cell r="H341" t="str">
            <v>D0GZHLL</v>
          </cell>
        </row>
        <row r="342">
          <cell r="H342" t="str">
            <v>D0GZILL</v>
          </cell>
        </row>
        <row r="343">
          <cell r="H343" t="str">
            <v>D0S91LL</v>
          </cell>
        </row>
        <row r="344">
          <cell r="H344" t="str">
            <v>E0EDBLL</v>
          </cell>
        </row>
        <row r="345">
          <cell r="H345" t="str">
            <v>D0S8ZLL</v>
          </cell>
        </row>
        <row r="346">
          <cell r="H346" t="str">
            <v>D0S90LL</v>
          </cell>
        </row>
        <row r="347">
          <cell r="H347" t="str">
            <v>D0S94LL</v>
          </cell>
        </row>
        <row r="348">
          <cell r="H348" t="str">
            <v>E0EDCLL</v>
          </cell>
        </row>
        <row r="349">
          <cell r="H349" t="str">
            <v>D0S92LL</v>
          </cell>
        </row>
        <row r="350">
          <cell r="H350" t="str">
            <v>D0S93LL</v>
          </cell>
        </row>
        <row r="351">
          <cell r="H351" t="str">
            <v>E0AVELL</v>
          </cell>
        </row>
        <row r="352">
          <cell r="H352" t="str">
            <v>D0GZSLL</v>
          </cell>
        </row>
        <row r="353">
          <cell r="H353" t="str">
            <v>D0GZTLL</v>
          </cell>
        </row>
        <row r="354">
          <cell r="H354" t="str">
            <v>E0N85LL</v>
          </cell>
        </row>
        <row r="355">
          <cell r="H355" t="str">
            <v>D1R73LL</v>
          </cell>
        </row>
        <row r="356">
          <cell r="H356" t="str">
            <v>D1R74LL</v>
          </cell>
        </row>
        <row r="357">
          <cell r="H357" t="str">
            <v>E0N86LL</v>
          </cell>
        </row>
        <row r="358">
          <cell r="H358" t="str">
            <v>D1R77LL</v>
          </cell>
        </row>
        <row r="359">
          <cell r="H359" t="str">
            <v>D1R78LL</v>
          </cell>
        </row>
        <row r="360">
          <cell r="H360" t="str">
            <v>D1R79LL</v>
          </cell>
        </row>
        <row r="361">
          <cell r="H361" t="str">
            <v>D1R75LL</v>
          </cell>
        </row>
        <row r="362">
          <cell r="H362" t="str">
            <v>D0GZQLL</v>
          </cell>
        </row>
        <row r="363">
          <cell r="H363" t="str">
            <v>D0GZRLL</v>
          </cell>
        </row>
        <row r="364">
          <cell r="H364" t="str">
            <v>D0T0YLL</v>
          </cell>
        </row>
        <row r="365">
          <cell r="H365" t="str">
            <v>E0AVDLL</v>
          </cell>
        </row>
        <row r="366">
          <cell r="H366" t="str">
            <v>D0GZNLL</v>
          </cell>
        </row>
        <row r="367">
          <cell r="H367" t="str">
            <v>D0GZPLL</v>
          </cell>
        </row>
        <row r="368">
          <cell r="H368" t="str">
            <v>E0N83LL</v>
          </cell>
        </row>
        <row r="369">
          <cell r="H369" t="str">
            <v>D1R6TLL</v>
          </cell>
        </row>
        <row r="370">
          <cell r="H370" t="str">
            <v>D1R6ULL</v>
          </cell>
        </row>
        <row r="371">
          <cell r="H371" t="str">
            <v>E0N84LL</v>
          </cell>
        </row>
        <row r="372">
          <cell r="H372" t="str">
            <v>D1R6YLL</v>
          </cell>
        </row>
        <row r="373">
          <cell r="H373" t="str">
            <v>D1R6ZLL</v>
          </cell>
        </row>
        <row r="374">
          <cell r="H374" t="str">
            <v>D1R71LL</v>
          </cell>
        </row>
        <row r="375">
          <cell r="H375" t="str">
            <v>D1R70LL</v>
          </cell>
        </row>
        <row r="376">
          <cell r="H376" t="str">
            <v>D1R6WLL</v>
          </cell>
        </row>
        <row r="377">
          <cell r="H377" t="str">
            <v>D1R6VLL</v>
          </cell>
        </row>
        <row r="378">
          <cell r="H378" t="str">
            <v>E0AVGLL</v>
          </cell>
        </row>
        <row r="379">
          <cell r="H379" t="str">
            <v>D0GZYLL</v>
          </cell>
        </row>
        <row r="380">
          <cell r="H380" t="str">
            <v>D0GZZLL</v>
          </cell>
        </row>
        <row r="381">
          <cell r="H381" t="str">
            <v>D0GZWLL</v>
          </cell>
        </row>
        <row r="382">
          <cell r="H382" t="str">
            <v>D0GZXLL</v>
          </cell>
        </row>
        <row r="383">
          <cell r="H383" t="str">
            <v>D0T0ZLL</v>
          </cell>
        </row>
        <row r="384">
          <cell r="H384" t="str">
            <v>E0AVFLL</v>
          </cell>
        </row>
        <row r="385">
          <cell r="H385" t="str">
            <v>D0GZULL</v>
          </cell>
        </row>
        <row r="386">
          <cell r="H386" t="str">
            <v>D0GZVLL</v>
          </cell>
        </row>
        <row r="387">
          <cell r="H387" t="str">
            <v>D0S97LL</v>
          </cell>
        </row>
        <row r="388">
          <cell r="H388" t="str">
            <v>E0EDDLL</v>
          </cell>
        </row>
        <row r="389">
          <cell r="H389" t="str">
            <v>D0S95LL</v>
          </cell>
        </row>
        <row r="390">
          <cell r="H390" t="str">
            <v>D0S96LL</v>
          </cell>
        </row>
        <row r="391">
          <cell r="H391" t="str">
            <v>D0S9ALL</v>
          </cell>
        </row>
        <row r="392">
          <cell r="H392" t="str">
            <v>E0EDELL</v>
          </cell>
        </row>
        <row r="393">
          <cell r="H393" t="str">
            <v>D0S98LL</v>
          </cell>
        </row>
        <row r="394">
          <cell r="H394" t="str">
            <v>D0S99LL</v>
          </cell>
        </row>
        <row r="395">
          <cell r="H395" t="str">
            <v>E0AVILL</v>
          </cell>
        </row>
        <row r="396">
          <cell r="H396" t="str">
            <v>D0H04LL</v>
          </cell>
        </row>
        <row r="397">
          <cell r="H397" t="str">
            <v>D0H05LL</v>
          </cell>
        </row>
        <row r="398">
          <cell r="H398" t="str">
            <v>E0N3JLL</v>
          </cell>
        </row>
        <row r="399">
          <cell r="H399" t="str">
            <v>D1QASLL</v>
          </cell>
        </row>
        <row r="400">
          <cell r="H400" t="str">
            <v>D1QATLL</v>
          </cell>
        </row>
        <row r="401">
          <cell r="H401" t="str">
            <v>D1QAYLL</v>
          </cell>
        </row>
        <row r="402">
          <cell r="H402" t="str">
            <v>D1QAULL</v>
          </cell>
        </row>
        <row r="403">
          <cell r="H403" t="str">
            <v>E0N3KLL</v>
          </cell>
        </row>
        <row r="404">
          <cell r="H404" t="str">
            <v>D1QAWLL</v>
          </cell>
        </row>
        <row r="405">
          <cell r="H405" t="str">
            <v>D1QAXLL</v>
          </cell>
        </row>
        <row r="406">
          <cell r="H406" t="str">
            <v>D0H02LL</v>
          </cell>
        </row>
        <row r="407">
          <cell r="H407" t="str">
            <v>D0H03LL</v>
          </cell>
        </row>
        <row r="408">
          <cell r="H408" t="str">
            <v>D0T10LL</v>
          </cell>
        </row>
        <row r="409">
          <cell r="H409" t="str">
            <v>E0AVHLL</v>
          </cell>
        </row>
        <row r="410">
          <cell r="H410" t="str">
            <v>D0H00LL</v>
          </cell>
        </row>
        <row r="411">
          <cell r="H411" t="str">
            <v>D0H01LL</v>
          </cell>
        </row>
        <row r="412">
          <cell r="H412" t="str">
            <v>E0N3HLL</v>
          </cell>
        </row>
        <row r="413">
          <cell r="H413" t="str">
            <v>D1QAHLL</v>
          </cell>
        </row>
        <row r="414">
          <cell r="H414" t="str">
            <v>D1QAILL</v>
          </cell>
        </row>
        <row r="415">
          <cell r="H415" t="str">
            <v>E0N3ILL</v>
          </cell>
        </row>
        <row r="416">
          <cell r="H416" t="str">
            <v>D1QAMLL</v>
          </cell>
        </row>
        <row r="417">
          <cell r="H417" t="str">
            <v>D1QANLL</v>
          </cell>
        </row>
        <row r="418">
          <cell r="H418" t="str">
            <v>D1QAKLL</v>
          </cell>
        </row>
        <row r="419">
          <cell r="H419" t="str">
            <v>D1QAJLL</v>
          </cell>
        </row>
        <row r="420">
          <cell r="H420" t="str">
            <v>E0AVKLL</v>
          </cell>
        </row>
        <row r="421">
          <cell r="H421" t="str">
            <v>D0H0ALL</v>
          </cell>
        </row>
        <row r="422">
          <cell r="H422" t="str">
            <v>D0H0BLL</v>
          </cell>
        </row>
        <row r="423">
          <cell r="H423" t="str">
            <v>D0H09LL</v>
          </cell>
        </row>
        <row r="424">
          <cell r="H424" t="str">
            <v>D0H08LL</v>
          </cell>
        </row>
        <row r="425">
          <cell r="H425" t="str">
            <v>D0T11LL</v>
          </cell>
        </row>
        <row r="426">
          <cell r="H426" t="str">
            <v>E0AVJLL</v>
          </cell>
        </row>
        <row r="427">
          <cell r="H427" t="str">
            <v>D0H06LL</v>
          </cell>
        </row>
        <row r="428">
          <cell r="H428" t="str">
            <v>D0H07LL</v>
          </cell>
        </row>
        <row r="429">
          <cell r="H429" t="str">
            <v>D0S9DLL</v>
          </cell>
        </row>
        <row r="430">
          <cell r="H430" t="str">
            <v>E0EDFLL</v>
          </cell>
        </row>
        <row r="431">
          <cell r="H431" t="str">
            <v>D0S9BLL</v>
          </cell>
        </row>
        <row r="432">
          <cell r="H432" t="str">
            <v>D0S9CLL</v>
          </cell>
        </row>
        <row r="433">
          <cell r="H433" t="str">
            <v>D0T04LL</v>
          </cell>
        </row>
        <row r="434">
          <cell r="H434" t="str">
            <v>E0EEMLL</v>
          </cell>
        </row>
        <row r="435">
          <cell r="H435" t="str">
            <v>D0T00LL</v>
          </cell>
        </row>
        <row r="436">
          <cell r="H436" t="str">
            <v>D0T01LL</v>
          </cell>
        </row>
        <row r="437">
          <cell r="H437" t="str">
            <v>D1QAQLL</v>
          </cell>
        </row>
        <row r="438">
          <cell r="H438" t="str">
            <v>D1QAPLL</v>
          </cell>
        </row>
        <row r="439">
          <cell r="H439" t="str">
            <v>E0NSHLL</v>
          </cell>
        </row>
        <row r="440">
          <cell r="H440" t="str">
            <v>D1UEFLL</v>
          </cell>
        </row>
        <row r="441">
          <cell r="H441" t="str">
            <v>D1UEGLL</v>
          </cell>
        </row>
        <row r="442">
          <cell r="H442" t="str">
            <v>E0NSJLL</v>
          </cell>
        </row>
        <row r="443">
          <cell r="H443" t="str">
            <v>D1UEJLL</v>
          </cell>
        </row>
        <row r="444">
          <cell r="H444" t="str">
            <v>D1UEKLL</v>
          </cell>
        </row>
        <row r="445">
          <cell r="H445" t="str">
            <v>E0NSILL</v>
          </cell>
        </row>
        <row r="446">
          <cell r="H446" t="str">
            <v>D1UEHLL</v>
          </cell>
        </row>
        <row r="447">
          <cell r="H447" t="str">
            <v>D1UEILL</v>
          </cell>
        </row>
        <row r="448">
          <cell r="H448" t="str">
            <v>E0NSKLL</v>
          </cell>
        </row>
        <row r="449">
          <cell r="H449" t="str">
            <v>D1UELLL</v>
          </cell>
        </row>
        <row r="450">
          <cell r="H450" t="str">
            <v>D1UEMLL</v>
          </cell>
        </row>
        <row r="451">
          <cell r="H451" t="str">
            <v>E0N2ULL</v>
          </cell>
        </row>
        <row r="452">
          <cell r="H452" t="str">
            <v>D1Q75LL</v>
          </cell>
        </row>
        <row r="453">
          <cell r="H453" t="str">
            <v>D1Q76LL</v>
          </cell>
        </row>
        <row r="454">
          <cell r="H454" t="str">
            <v>E0CS1LL</v>
          </cell>
        </row>
        <row r="455">
          <cell r="H455" t="str">
            <v>D0L7QLL</v>
          </cell>
        </row>
        <row r="456">
          <cell r="H456" t="str">
            <v>D0L7RLL</v>
          </cell>
        </row>
        <row r="457">
          <cell r="H457" t="str">
            <v>E0CS3LL</v>
          </cell>
        </row>
        <row r="458">
          <cell r="H458" t="str">
            <v>D0L7TLL</v>
          </cell>
        </row>
        <row r="459">
          <cell r="H459" t="str">
            <v>D0L7ULL</v>
          </cell>
        </row>
        <row r="460">
          <cell r="H460" t="str">
            <v>D1Q7BLL</v>
          </cell>
        </row>
        <row r="461">
          <cell r="H461" t="str">
            <v>E0N2VLL</v>
          </cell>
        </row>
        <row r="462">
          <cell r="H462" t="str">
            <v>D1Q79LL</v>
          </cell>
        </row>
        <row r="463">
          <cell r="H463" t="str">
            <v>D1Q7ALL</v>
          </cell>
        </row>
        <row r="464">
          <cell r="H464" t="str">
            <v>D1Q77LL</v>
          </cell>
        </row>
        <row r="465">
          <cell r="H465" t="str">
            <v>E04STLL</v>
          </cell>
        </row>
        <row r="466">
          <cell r="H466" t="str">
            <v>D040SLL</v>
          </cell>
        </row>
        <row r="467">
          <cell r="H467" t="str">
            <v>D040TLL</v>
          </cell>
        </row>
        <row r="468">
          <cell r="H468" t="str">
            <v>E0N81LL</v>
          </cell>
        </row>
        <row r="469">
          <cell r="H469" t="str">
            <v>D1R6KLL</v>
          </cell>
        </row>
        <row r="470">
          <cell r="H470" t="str">
            <v>D1R6LLL</v>
          </cell>
        </row>
        <row r="471">
          <cell r="H471" t="str">
            <v>E0N82LL</v>
          </cell>
        </row>
        <row r="472">
          <cell r="H472" t="str">
            <v>D1R6PLL</v>
          </cell>
        </row>
        <row r="473">
          <cell r="H473" t="str">
            <v>D1R6QLL</v>
          </cell>
        </row>
        <row r="474">
          <cell r="H474" t="str">
            <v>D1R6RLL</v>
          </cell>
        </row>
        <row r="475">
          <cell r="H475" t="str">
            <v>D1R6MLL</v>
          </cell>
        </row>
        <row r="476">
          <cell r="H476" t="str">
            <v>E05UDLL</v>
          </cell>
        </row>
        <row r="477">
          <cell r="H477" t="str">
            <v>D06FKLL</v>
          </cell>
        </row>
        <row r="478">
          <cell r="H478" t="str">
            <v>D06FLLL</v>
          </cell>
        </row>
        <row r="479">
          <cell r="H479" t="str">
            <v>E0AVZLL</v>
          </cell>
        </row>
        <row r="480">
          <cell r="H480" t="str">
            <v>D0H1BLL</v>
          </cell>
        </row>
        <row r="481">
          <cell r="H481" t="str">
            <v>D0H1CLL</v>
          </cell>
        </row>
        <row r="482">
          <cell r="H482" t="str">
            <v>E0N8DLL</v>
          </cell>
        </row>
        <row r="483">
          <cell r="H483" t="str">
            <v>D1R82LL</v>
          </cell>
        </row>
        <row r="484">
          <cell r="H484" t="str">
            <v>D1R83LL</v>
          </cell>
        </row>
        <row r="485">
          <cell r="H485" t="str">
            <v>E0N8ELL</v>
          </cell>
        </row>
        <row r="486">
          <cell r="H486" t="str">
            <v>D1R86LL</v>
          </cell>
        </row>
        <row r="487">
          <cell r="H487" t="str">
            <v>D1R87LL</v>
          </cell>
        </row>
        <row r="488">
          <cell r="H488" t="str">
            <v>D1R88LL</v>
          </cell>
        </row>
        <row r="489">
          <cell r="H489" t="str">
            <v>D1R84LL</v>
          </cell>
        </row>
        <row r="490">
          <cell r="H490" t="str">
            <v>E0AW0LL</v>
          </cell>
        </row>
        <row r="491">
          <cell r="H491" t="str">
            <v>D0H1DLL</v>
          </cell>
        </row>
        <row r="492">
          <cell r="H492" t="str">
            <v>D0H1ELL</v>
          </cell>
        </row>
        <row r="493">
          <cell r="H493" t="str">
            <v>E0AW1LL</v>
          </cell>
        </row>
        <row r="494">
          <cell r="H494" t="str">
            <v>D0H1FLL</v>
          </cell>
        </row>
        <row r="495">
          <cell r="H495" t="str">
            <v>D0H1GLL</v>
          </cell>
        </row>
        <row r="496">
          <cell r="H496" t="str">
            <v>E0AVYLL</v>
          </cell>
        </row>
        <row r="497">
          <cell r="H497" t="str">
            <v>D0H19LL</v>
          </cell>
        </row>
        <row r="498">
          <cell r="H498" t="str">
            <v>D0H1ALL</v>
          </cell>
        </row>
      </sheetData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 Parts Future_K_v4.1"/>
      <sheetName val="New Parts"/>
      <sheetName val="Instructions"/>
      <sheetName val="Details - New Deal"/>
      <sheetName val="New Deal Calculator"/>
      <sheetName val=" New Deal STL Pricing"/>
      <sheetName val="Details - Upgradable Parts"/>
      <sheetName val="Upgradable Parts Calculator"/>
      <sheetName val="Upgrade STL Pricing"/>
      <sheetName val="Perpetual Trade-up Pricing"/>
      <sheetName val="Parts"/>
      <sheetName val="Rules_K"/>
    </sheetNames>
    <sheetDataSet>
      <sheetData sheetId="0" refreshError="1">
        <row r="3">
          <cell r="H3" t="str">
            <v>E0K39LL</v>
          </cell>
        </row>
        <row r="4">
          <cell r="H4" t="str">
            <v>D17CCLL</v>
          </cell>
        </row>
        <row r="5">
          <cell r="H5" t="str">
            <v>D17CDLL</v>
          </cell>
        </row>
        <row r="6">
          <cell r="H6" t="str">
            <v>E0N3QLL</v>
          </cell>
        </row>
        <row r="7">
          <cell r="H7" t="str">
            <v>D1QBGLL</v>
          </cell>
        </row>
        <row r="8">
          <cell r="H8" t="str">
            <v>D1QBHLL</v>
          </cell>
        </row>
        <row r="9">
          <cell r="H9" t="str">
            <v>D1QBMLL</v>
          </cell>
        </row>
        <row r="10">
          <cell r="H10" t="str">
            <v>E0N3RLL</v>
          </cell>
        </row>
        <row r="11">
          <cell r="H11" t="str">
            <v>D1QBKLL</v>
          </cell>
        </row>
        <row r="12">
          <cell r="H12" t="str">
            <v>D1QBLLL</v>
          </cell>
        </row>
        <row r="13">
          <cell r="H13" t="str">
            <v>D1QBILL</v>
          </cell>
        </row>
        <row r="14">
          <cell r="H14" t="str">
            <v>E0K3ALL</v>
          </cell>
        </row>
        <row r="15">
          <cell r="H15" t="str">
            <v>D17CELL</v>
          </cell>
        </row>
        <row r="16">
          <cell r="H16" t="str">
            <v>D17CFLL</v>
          </cell>
        </row>
        <row r="17">
          <cell r="H17" t="str">
            <v>E0N3NLL</v>
          </cell>
        </row>
        <row r="18">
          <cell r="H18" t="str">
            <v>D1QB8LL</v>
          </cell>
        </row>
        <row r="19">
          <cell r="H19" t="str">
            <v>D1QB9LL</v>
          </cell>
        </row>
        <row r="20">
          <cell r="H20" t="str">
            <v>D1QBELL</v>
          </cell>
        </row>
        <row r="21">
          <cell r="H21" t="str">
            <v>E0N3PLL</v>
          </cell>
        </row>
        <row r="22">
          <cell r="H22" t="str">
            <v>D1QBCLL</v>
          </cell>
        </row>
        <row r="23">
          <cell r="H23" t="str">
            <v>D1QBDLL</v>
          </cell>
        </row>
        <row r="24">
          <cell r="H24" t="str">
            <v>D1QBALL</v>
          </cell>
        </row>
        <row r="25">
          <cell r="H25" t="str">
            <v>D10SCLL</v>
          </cell>
        </row>
        <row r="26">
          <cell r="H26" t="str">
            <v>E0I3ZLL</v>
          </cell>
        </row>
        <row r="27">
          <cell r="H27" t="str">
            <v>D10SALL</v>
          </cell>
        </row>
        <row r="28">
          <cell r="H28" t="str">
            <v>D10SBLL</v>
          </cell>
        </row>
        <row r="29">
          <cell r="H29" t="str">
            <v>D10RBLL</v>
          </cell>
        </row>
        <row r="30">
          <cell r="H30" t="str">
            <v>E0I3NLL</v>
          </cell>
        </row>
        <row r="31">
          <cell r="H31" t="str">
            <v>D10R9LL</v>
          </cell>
        </row>
        <row r="32">
          <cell r="H32" t="str">
            <v>D10RALL</v>
          </cell>
        </row>
        <row r="33">
          <cell r="H33" t="str">
            <v>E04QNLL</v>
          </cell>
        </row>
        <row r="34">
          <cell r="H34" t="str">
            <v>D03WULL</v>
          </cell>
        </row>
        <row r="35">
          <cell r="H35" t="str">
            <v>D03WVLL</v>
          </cell>
        </row>
        <row r="36">
          <cell r="H36" t="str">
            <v>E04QQLL</v>
          </cell>
        </row>
        <row r="37">
          <cell r="H37" t="str">
            <v>D03WYLL</v>
          </cell>
        </row>
        <row r="38">
          <cell r="H38" t="str">
            <v>D03WZLL</v>
          </cell>
        </row>
        <row r="39">
          <cell r="H39" t="str">
            <v>E0N3LLL</v>
          </cell>
        </row>
        <row r="40">
          <cell r="H40" t="str">
            <v>D1QB0LL</v>
          </cell>
        </row>
        <row r="41">
          <cell r="H41" t="str">
            <v>D1QB1LL</v>
          </cell>
        </row>
        <row r="42">
          <cell r="H42" t="str">
            <v>D1QB6LL</v>
          </cell>
        </row>
        <row r="43">
          <cell r="H43" t="str">
            <v>E0N3MLL</v>
          </cell>
        </row>
        <row r="44">
          <cell r="H44" t="str">
            <v>D1QB4LL</v>
          </cell>
        </row>
        <row r="45">
          <cell r="H45" t="str">
            <v>D1QB5LL</v>
          </cell>
        </row>
        <row r="46">
          <cell r="H46" t="str">
            <v>D1QB2LL</v>
          </cell>
        </row>
        <row r="47">
          <cell r="H47" t="str">
            <v>E05USLL</v>
          </cell>
        </row>
        <row r="48">
          <cell r="H48" t="str">
            <v>D06GFLL</v>
          </cell>
        </row>
        <row r="49">
          <cell r="H49" t="str">
            <v>D06GGLL</v>
          </cell>
        </row>
        <row r="50">
          <cell r="H50" t="str">
            <v>E05UYLL</v>
          </cell>
        </row>
        <row r="51">
          <cell r="H51" t="str">
            <v>D06GWLL</v>
          </cell>
        </row>
        <row r="52">
          <cell r="H52" t="str">
            <v>D06GXLL</v>
          </cell>
        </row>
        <row r="53">
          <cell r="H53" t="str">
            <v>D0T0NLL</v>
          </cell>
        </row>
        <row r="54">
          <cell r="H54" t="str">
            <v>E0AUULL</v>
          </cell>
        </row>
        <row r="55">
          <cell r="H55" t="str">
            <v>D0GYALL</v>
          </cell>
        </row>
        <row r="56">
          <cell r="H56" t="str">
            <v>D0GYBLL</v>
          </cell>
        </row>
        <row r="57">
          <cell r="H57" t="str">
            <v>E0N2NLL</v>
          </cell>
        </row>
        <row r="58">
          <cell r="H58" t="str">
            <v>D1Q6ELL</v>
          </cell>
        </row>
        <row r="59">
          <cell r="H59" t="str">
            <v>D1Q6FLL</v>
          </cell>
        </row>
        <row r="60">
          <cell r="H60" t="str">
            <v>D1SVWLL</v>
          </cell>
        </row>
        <row r="61">
          <cell r="H61" t="str">
            <v>D1Q6LLL</v>
          </cell>
        </row>
        <row r="62">
          <cell r="H62" t="str">
            <v>D1Q6MLL</v>
          </cell>
        </row>
        <row r="63">
          <cell r="H63" t="str">
            <v>E0N2PLL</v>
          </cell>
        </row>
        <row r="64">
          <cell r="H64" t="str">
            <v>D1Q6JLL</v>
          </cell>
        </row>
        <row r="65">
          <cell r="H65" t="str">
            <v>D1Q6KLL</v>
          </cell>
        </row>
        <row r="66">
          <cell r="H66" t="str">
            <v>D1Q6GLL</v>
          </cell>
        </row>
        <row r="67">
          <cell r="H67" t="str">
            <v>D1SVVLL</v>
          </cell>
        </row>
        <row r="68">
          <cell r="H68" t="str">
            <v>D1Q6HLL</v>
          </cell>
        </row>
        <row r="69">
          <cell r="H69" t="str">
            <v>E0ED7LL</v>
          </cell>
        </row>
        <row r="70">
          <cell r="H70" t="str">
            <v>D0S8KLL</v>
          </cell>
        </row>
        <row r="71">
          <cell r="H71" t="str">
            <v>D0S8LLL</v>
          </cell>
        </row>
        <row r="72">
          <cell r="H72" t="str">
            <v>E0LM7LL</v>
          </cell>
        </row>
        <row r="73">
          <cell r="H73" t="str">
            <v>D1GVCLL</v>
          </cell>
        </row>
        <row r="74">
          <cell r="H74" t="str">
            <v>D1GVDLL</v>
          </cell>
        </row>
        <row r="75">
          <cell r="H75" t="str">
            <v>D1Q6VLL</v>
          </cell>
        </row>
        <row r="76">
          <cell r="H76" t="str">
            <v>D1Q6RLL</v>
          </cell>
        </row>
        <row r="77">
          <cell r="H77" t="str">
            <v>E0ED8LL</v>
          </cell>
        </row>
        <row r="78">
          <cell r="H78" t="str">
            <v>D0S8MLL</v>
          </cell>
        </row>
        <row r="79">
          <cell r="H79" t="str">
            <v>D0S8NLL</v>
          </cell>
        </row>
        <row r="80">
          <cell r="H80" t="str">
            <v>E0LMALL</v>
          </cell>
        </row>
        <row r="81">
          <cell r="H81" t="str">
            <v>D1GVLLL</v>
          </cell>
        </row>
        <row r="82">
          <cell r="H82" t="str">
            <v>D1GVPLL</v>
          </cell>
        </row>
        <row r="83">
          <cell r="H83" t="str">
            <v>E0N7ZLL</v>
          </cell>
        </row>
        <row r="84">
          <cell r="H84" t="str">
            <v>D1R6CLL</v>
          </cell>
        </row>
        <row r="85">
          <cell r="H85" t="str">
            <v>D1R6DLL</v>
          </cell>
        </row>
        <row r="86">
          <cell r="H86" t="str">
            <v>E0N80LL</v>
          </cell>
        </row>
        <row r="87">
          <cell r="H87" t="str">
            <v>D1R6GLL</v>
          </cell>
        </row>
        <row r="88">
          <cell r="H88" t="str">
            <v>D1R6HLL</v>
          </cell>
        </row>
        <row r="89">
          <cell r="H89" t="str">
            <v>D1R6ILL</v>
          </cell>
        </row>
        <row r="90">
          <cell r="H90" t="str">
            <v>D1R6ELL</v>
          </cell>
        </row>
        <row r="91">
          <cell r="H91" t="str">
            <v>D0T0QLL</v>
          </cell>
        </row>
        <row r="92">
          <cell r="H92" t="str">
            <v>E0AUXLL</v>
          </cell>
        </row>
        <row r="93">
          <cell r="H93" t="str">
            <v>D0GYHLL</v>
          </cell>
        </row>
        <row r="94">
          <cell r="H94" t="str">
            <v>D0GYILL</v>
          </cell>
        </row>
        <row r="95">
          <cell r="H95" t="str">
            <v>E0N7XLL</v>
          </cell>
        </row>
        <row r="96">
          <cell r="H96" t="str">
            <v>D1R64LL</v>
          </cell>
        </row>
        <row r="97">
          <cell r="H97" t="str">
            <v>D1R65LL</v>
          </cell>
        </row>
        <row r="98">
          <cell r="H98" t="str">
            <v>E0N7YLL</v>
          </cell>
        </row>
        <row r="99">
          <cell r="H99" t="str">
            <v>D1R68LL</v>
          </cell>
        </row>
        <row r="100">
          <cell r="H100" t="str">
            <v>D1R69LL</v>
          </cell>
        </row>
        <row r="101">
          <cell r="H101" t="str">
            <v>D1R6ALL</v>
          </cell>
        </row>
        <row r="102">
          <cell r="H102" t="str">
            <v>D1R66LL</v>
          </cell>
        </row>
        <row r="103">
          <cell r="H103" t="str">
            <v>E05B5LL</v>
          </cell>
        </row>
        <row r="104">
          <cell r="H104" t="str">
            <v>D04Y0LL</v>
          </cell>
        </row>
        <row r="105">
          <cell r="H105" t="str">
            <v>D04Y1LL</v>
          </cell>
        </row>
        <row r="106">
          <cell r="H106" t="str">
            <v>E05UFLL</v>
          </cell>
        </row>
        <row r="107">
          <cell r="H107" t="str">
            <v>D06FPLL</v>
          </cell>
        </row>
        <row r="108">
          <cell r="H108" t="str">
            <v>D06FQLL</v>
          </cell>
        </row>
        <row r="109">
          <cell r="H109" t="str">
            <v>D0T0SLL</v>
          </cell>
        </row>
        <row r="110">
          <cell r="H110" t="str">
            <v>E0AUTLL</v>
          </cell>
        </row>
        <row r="111">
          <cell r="H111" t="str">
            <v>D0GY8LL</v>
          </cell>
        </row>
        <row r="112">
          <cell r="H112" t="str">
            <v>D0GY9LL</v>
          </cell>
        </row>
        <row r="113">
          <cell r="H113" t="str">
            <v>D0T0TLL</v>
          </cell>
        </row>
        <row r="114">
          <cell r="H114" t="str">
            <v>E0AUYLL</v>
          </cell>
        </row>
        <row r="115">
          <cell r="H115" t="str">
            <v>D0GYKLL</v>
          </cell>
        </row>
        <row r="116">
          <cell r="H116" t="str">
            <v>D0GYLLL</v>
          </cell>
        </row>
        <row r="117">
          <cell r="H117" t="str">
            <v>E05B3LL</v>
          </cell>
        </row>
        <row r="118">
          <cell r="H118" t="str">
            <v>D04XWLL</v>
          </cell>
        </row>
        <row r="119">
          <cell r="H119" t="str">
            <v>D04XXLL</v>
          </cell>
        </row>
        <row r="120">
          <cell r="H120" t="str">
            <v>E05UCLL</v>
          </cell>
        </row>
        <row r="121">
          <cell r="H121" t="str">
            <v>D06FILL</v>
          </cell>
        </row>
        <row r="122">
          <cell r="H122" t="str">
            <v>D06FJLL</v>
          </cell>
        </row>
        <row r="123">
          <cell r="H123" t="str">
            <v>E05B1LL</v>
          </cell>
        </row>
        <row r="124">
          <cell r="H124" t="str">
            <v>D04XSLL</v>
          </cell>
        </row>
        <row r="125">
          <cell r="H125" t="str">
            <v>D04XTLL</v>
          </cell>
        </row>
        <row r="126">
          <cell r="H126" t="str">
            <v>E05UHLL</v>
          </cell>
        </row>
        <row r="127">
          <cell r="H127" t="str">
            <v>D06FULL</v>
          </cell>
        </row>
        <row r="128">
          <cell r="H128" t="str">
            <v>D06FVLL</v>
          </cell>
        </row>
        <row r="129">
          <cell r="H129" t="str">
            <v>D17I6LL</v>
          </cell>
        </row>
        <row r="130">
          <cell r="H130" t="str">
            <v>D17I5LL</v>
          </cell>
        </row>
        <row r="131">
          <cell r="H131" t="str">
            <v>E07QSLL</v>
          </cell>
        </row>
        <row r="132">
          <cell r="H132" t="str">
            <v>D0AYULL</v>
          </cell>
        </row>
        <row r="133">
          <cell r="H133" t="str">
            <v>D0AYVLL</v>
          </cell>
        </row>
        <row r="134">
          <cell r="H134" t="str">
            <v>E0N2SLL</v>
          </cell>
        </row>
        <row r="135">
          <cell r="H135" t="str">
            <v>D1Q6XLL</v>
          </cell>
        </row>
        <row r="136">
          <cell r="H136" t="str">
            <v>D1Q6YLL</v>
          </cell>
        </row>
        <row r="137">
          <cell r="H137" t="str">
            <v>D1Q73LL</v>
          </cell>
        </row>
        <row r="138">
          <cell r="H138" t="str">
            <v>E0N2TLL</v>
          </cell>
        </row>
        <row r="139">
          <cell r="H139" t="str">
            <v>D1Q71LL</v>
          </cell>
        </row>
        <row r="140">
          <cell r="H140" t="str">
            <v>D1Q72LL</v>
          </cell>
        </row>
        <row r="141">
          <cell r="H141" t="str">
            <v>D1Q6ZLL</v>
          </cell>
        </row>
        <row r="142">
          <cell r="H142" t="str">
            <v>D17I8LL</v>
          </cell>
        </row>
        <row r="143">
          <cell r="H143" t="str">
            <v>D17I7LL</v>
          </cell>
        </row>
        <row r="144">
          <cell r="H144" t="str">
            <v>E07QTLL</v>
          </cell>
        </row>
        <row r="145">
          <cell r="H145" t="str">
            <v>D0AYWLL</v>
          </cell>
        </row>
        <row r="146">
          <cell r="H146" t="str">
            <v>D0AYXLL</v>
          </cell>
        </row>
        <row r="147">
          <cell r="H147" t="str">
            <v>E0NSDLL</v>
          </cell>
        </row>
        <row r="148">
          <cell r="H148" t="str">
            <v>D1UE3LL</v>
          </cell>
        </row>
        <row r="149">
          <cell r="H149" t="str">
            <v>D1UE4LL</v>
          </cell>
        </row>
        <row r="150">
          <cell r="H150" t="str">
            <v>E0NSFLL</v>
          </cell>
        </row>
        <row r="151">
          <cell r="H151" t="str">
            <v>D1UE9LL</v>
          </cell>
        </row>
        <row r="152">
          <cell r="H152" t="str">
            <v>D1UEALL</v>
          </cell>
        </row>
        <row r="153">
          <cell r="H153" t="str">
            <v>D1UEBLL</v>
          </cell>
        </row>
        <row r="154">
          <cell r="H154" t="str">
            <v>D1UE5LL</v>
          </cell>
        </row>
        <row r="155">
          <cell r="H155" t="str">
            <v>E0NSELL</v>
          </cell>
        </row>
        <row r="156">
          <cell r="H156" t="str">
            <v>D1UE6LL</v>
          </cell>
        </row>
        <row r="157">
          <cell r="H157" t="str">
            <v>D1UE7LL</v>
          </cell>
        </row>
        <row r="158">
          <cell r="H158" t="str">
            <v>E0NSGLL</v>
          </cell>
        </row>
        <row r="159">
          <cell r="H159" t="str">
            <v>D1UECLL</v>
          </cell>
        </row>
        <row r="160">
          <cell r="H160" t="str">
            <v>D1UEDLL</v>
          </cell>
        </row>
        <row r="161">
          <cell r="H161" t="str">
            <v>D1UEELL</v>
          </cell>
        </row>
        <row r="162">
          <cell r="H162" t="str">
            <v>D1UE8LL</v>
          </cell>
        </row>
        <row r="163">
          <cell r="H163" t="str">
            <v>E0N29LL</v>
          </cell>
        </row>
        <row r="164">
          <cell r="H164" t="str">
            <v>D1Q4RLL</v>
          </cell>
        </row>
        <row r="165">
          <cell r="H165" t="str">
            <v>D1Q4SLL</v>
          </cell>
        </row>
        <row r="166">
          <cell r="H166" t="str">
            <v>E0N2ALL</v>
          </cell>
        </row>
        <row r="167">
          <cell r="H167" t="str">
            <v>D1Q4TLL</v>
          </cell>
        </row>
        <row r="168">
          <cell r="H168" t="str">
            <v>D1Q4ULL</v>
          </cell>
        </row>
        <row r="169">
          <cell r="H169" t="str">
            <v>E04QTLL</v>
          </cell>
        </row>
        <row r="170">
          <cell r="H170" t="str">
            <v>D03X4LL</v>
          </cell>
        </row>
        <row r="171">
          <cell r="H171" t="str">
            <v>D03X5LL</v>
          </cell>
        </row>
        <row r="172">
          <cell r="H172" t="str">
            <v>E0N8BLL</v>
          </cell>
        </row>
        <row r="173">
          <cell r="H173" t="str">
            <v>D1R7ULL</v>
          </cell>
        </row>
        <row r="174">
          <cell r="H174" t="str">
            <v>D1R7VLL</v>
          </cell>
        </row>
        <row r="175">
          <cell r="H175" t="str">
            <v>E0N8CLL</v>
          </cell>
        </row>
        <row r="176">
          <cell r="H176" t="str">
            <v>D1R7YLL</v>
          </cell>
        </row>
        <row r="177">
          <cell r="H177" t="str">
            <v>D1R7ZLL</v>
          </cell>
        </row>
        <row r="178">
          <cell r="H178" t="str">
            <v>D1R80LL</v>
          </cell>
        </row>
        <row r="179">
          <cell r="H179" t="str">
            <v>D1R7WLL</v>
          </cell>
        </row>
        <row r="180">
          <cell r="H180" t="str">
            <v>E05X3LL</v>
          </cell>
        </row>
        <row r="181">
          <cell r="H181" t="str">
            <v>D06MBLL</v>
          </cell>
        </row>
        <row r="182">
          <cell r="H182" t="str">
            <v>D06MCLL</v>
          </cell>
        </row>
        <row r="183">
          <cell r="H183" t="str">
            <v>E05VALL</v>
          </cell>
        </row>
        <row r="184">
          <cell r="H184" t="str">
            <v>D06HTLL</v>
          </cell>
        </row>
        <row r="185">
          <cell r="H185" t="str">
            <v>D06HULL</v>
          </cell>
        </row>
        <row r="186">
          <cell r="H186" t="str">
            <v>E03ZCLL</v>
          </cell>
        </row>
        <row r="187">
          <cell r="H187" t="str">
            <v>D61DGLL</v>
          </cell>
        </row>
        <row r="188">
          <cell r="H188" t="str">
            <v>D61DHLL</v>
          </cell>
        </row>
        <row r="189">
          <cell r="H189" t="str">
            <v>E05VMLL</v>
          </cell>
        </row>
        <row r="190">
          <cell r="H190" t="str">
            <v>D06ITLL</v>
          </cell>
        </row>
        <row r="191">
          <cell r="H191" t="str">
            <v>D06IULL</v>
          </cell>
        </row>
        <row r="192">
          <cell r="H192" t="str">
            <v>E0572LL</v>
          </cell>
        </row>
        <row r="193">
          <cell r="H193" t="str">
            <v>D04QDLL</v>
          </cell>
        </row>
        <row r="194">
          <cell r="H194" t="str">
            <v>D04QELL</v>
          </cell>
        </row>
        <row r="195">
          <cell r="H195" t="str">
            <v>E0LL2LL</v>
          </cell>
        </row>
        <row r="196">
          <cell r="H196" t="str">
            <v>D1GSQLL</v>
          </cell>
        </row>
        <row r="197">
          <cell r="H197" t="str">
            <v>D1GSRLL</v>
          </cell>
        </row>
        <row r="198">
          <cell r="H198" t="str">
            <v>E0LL3LL</v>
          </cell>
        </row>
        <row r="199">
          <cell r="H199" t="str">
            <v>D1GSSLL</v>
          </cell>
        </row>
        <row r="200">
          <cell r="H200" t="str">
            <v>D1GSTLL</v>
          </cell>
        </row>
        <row r="201">
          <cell r="H201" t="str">
            <v>E0LM8LL</v>
          </cell>
        </row>
        <row r="202">
          <cell r="H202" t="str">
            <v>D1GVGLL</v>
          </cell>
        </row>
        <row r="203">
          <cell r="H203" t="str">
            <v>D1GVHLL</v>
          </cell>
        </row>
        <row r="204">
          <cell r="H204" t="str">
            <v>E0LM6LL</v>
          </cell>
        </row>
        <row r="205">
          <cell r="H205" t="str">
            <v>D1GVALL</v>
          </cell>
        </row>
        <row r="206">
          <cell r="H206" t="str">
            <v>D1GVBLL</v>
          </cell>
        </row>
        <row r="207">
          <cell r="H207" t="str">
            <v>E0LL4LL</v>
          </cell>
        </row>
        <row r="208">
          <cell r="H208" t="str">
            <v>D1GSULL</v>
          </cell>
        </row>
        <row r="209">
          <cell r="H209" t="str">
            <v>D1GSVLL</v>
          </cell>
        </row>
        <row r="210">
          <cell r="H210" t="str">
            <v>E0LL5LL</v>
          </cell>
        </row>
        <row r="211">
          <cell r="H211" t="str">
            <v>D1GSWLL</v>
          </cell>
        </row>
        <row r="212">
          <cell r="H212" t="str">
            <v>D1GSXLL</v>
          </cell>
        </row>
        <row r="213">
          <cell r="H213" t="str">
            <v>E0LMBLL</v>
          </cell>
        </row>
        <row r="214">
          <cell r="H214" t="str">
            <v>D1GVQLL</v>
          </cell>
        </row>
        <row r="215">
          <cell r="H215" t="str">
            <v>D1GVRLL</v>
          </cell>
        </row>
        <row r="216">
          <cell r="H216" t="str">
            <v>E0LM9LL</v>
          </cell>
        </row>
        <row r="217">
          <cell r="H217" t="str">
            <v>D1GVILL</v>
          </cell>
        </row>
        <row r="218">
          <cell r="H218" t="str">
            <v>D1GVJLL</v>
          </cell>
        </row>
        <row r="219">
          <cell r="H219" t="str">
            <v>E0AVMLL</v>
          </cell>
        </row>
        <row r="220">
          <cell r="H220" t="str">
            <v>D0H0GLL</v>
          </cell>
        </row>
        <row r="221">
          <cell r="H221" t="str">
            <v>D0H0HLL</v>
          </cell>
        </row>
        <row r="222">
          <cell r="H222" t="str">
            <v>E0N89LL</v>
          </cell>
        </row>
        <row r="223">
          <cell r="H223" t="str">
            <v>D1R7LLL</v>
          </cell>
        </row>
        <row r="224">
          <cell r="H224" t="str">
            <v>D1R7MLL</v>
          </cell>
        </row>
        <row r="225">
          <cell r="H225" t="str">
            <v>E0N8ALL</v>
          </cell>
        </row>
        <row r="226">
          <cell r="H226" t="str">
            <v>D1R7QLL</v>
          </cell>
        </row>
        <row r="227">
          <cell r="H227" t="str">
            <v>D1R7RLL</v>
          </cell>
        </row>
        <row r="228">
          <cell r="H228" t="str">
            <v>D1R7SLL</v>
          </cell>
        </row>
        <row r="229">
          <cell r="H229" t="str">
            <v>D1R7NLL</v>
          </cell>
        </row>
        <row r="230">
          <cell r="H230" t="str">
            <v>D0H0FLL</v>
          </cell>
        </row>
        <row r="231">
          <cell r="H231" t="str">
            <v>D0H0ELL</v>
          </cell>
        </row>
        <row r="232">
          <cell r="H232" t="str">
            <v>D0T12LL</v>
          </cell>
        </row>
        <row r="233">
          <cell r="H233" t="str">
            <v>E0AVLLL</v>
          </cell>
        </row>
        <row r="234">
          <cell r="H234" t="str">
            <v>D0H0CLL</v>
          </cell>
        </row>
        <row r="235">
          <cell r="H235" t="str">
            <v>D0H0DLL</v>
          </cell>
        </row>
        <row r="236">
          <cell r="H236" t="str">
            <v>E0N87LL</v>
          </cell>
        </row>
        <row r="237">
          <cell r="H237" t="str">
            <v>D1R7BLL</v>
          </cell>
        </row>
        <row r="238">
          <cell r="H238" t="str">
            <v>D1R7CLL</v>
          </cell>
        </row>
        <row r="239">
          <cell r="H239" t="str">
            <v>E0N88LL</v>
          </cell>
        </row>
        <row r="240">
          <cell r="H240" t="str">
            <v>D1R7GLL</v>
          </cell>
        </row>
        <row r="241">
          <cell r="H241" t="str">
            <v>D1R7HLL</v>
          </cell>
        </row>
        <row r="242">
          <cell r="H242" t="str">
            <v>D1R7JLL</v>
          </cell>
        </row>
        <row r="243">
          <cell r="H243" t="str">
            <v>D1R7ILL</v>
          </cell>
        </row>
        <row r="244">
          <cell r="H244" t="str">
            <v>D1R7ELL</v>
          </cell>
        </row>
        <row r="245">
          <cell r="H245" t="str">
            <v>D1R7DLL</v>
          </cell>
        </row>
        <row r="246">
          <cell r="H246" t="str">
            <v>E0AVPLL</v>
          </cell>
        </row>
        <row r="247">
          <cell r="H247" t="str">
            <v>D0H0MLL</v>
          </cell>
        </row>
        <row r="248">
          <cell r="H248" t="str">
            <v>D0H0NLL</v>
          </cell>
        </row>
        <row r="249">
          <cell r="H249" t="str">
            <v>D0H0KLL</v>
          </cell>
        </row>
        <row r="250">
          <cell r="H250" t="str">
            <v>D0H0LLL</v>
          </cell>
        </row>
        <row r="251">
          <cell r="H251" t="str">
            <v>D0T13LL</v>
          </cell>
        </row>
        <row r="252">
          <cell r="H252" t="str">
            <v>E0AVNLL</v>
          </cell>
        </row>
        <row r="253">
          <cell r="H253" t="str">
            <v>D0H0ILL</v>
          </cell>
        </row>
        <row r="254">
          <cell r="H254" t="str">
            <v>D0H0JLL</v>
          </cell>
        </row>
        <row r="255">
          <cell r="H255" t="str">
            <v>D0T07LL</v>
          </cell>
        </row>
        <row r="256">
          <cell r="H256" t="str">
            <v>E0EEQLL</v>
          </cell>
        </row>
        <row r="257">
          <cell r="H257" t="str">
            <v>D0T05LL</v>
          </cell>
        </row>
        <row r="258">
          <cell r="H258" t="str">
            <v>D0T06LL</v>
          </cell>
        </row>
        <row r="259">
          <cell r="H259" t="str">
            <v>D0T0GLL</v>
          </cell>
        </row>
        <row r="260">
          <cell r="H260" t="str">
            <v>E0EESLL</v>
          </cell>
        </row>
        <row r="261">
          <cell r="H261" t="str">
            <v>D0T0ALL</v>
          </cell>
        </row>
        <row r="262">
          <cell r="H262" t="str">
            <v>D0T0CLL</v>
          </cell>
        </row>
        <row r="263">
          <cell r="H263" t="str">
            <v>E0AV6LL</v>
          </cell>
        </row>
        <row r="264">
          <cell r="H264" t="str">
            <v>D0GZ3LL</v>
          </cell>
        </row>
        <row r="265">
          <cell r="H265" t="str">
            <v>D0GZ4LL</v>
          </cell>
        </row>
        <row r="266">
          <cell r="H266" t="str">
            <v>E0NHXLL</v>
          </cell>
        </row>
        <row r="267">
          <cell r="H267" t="str">
            <v>D1SH0LL</v>
          </cell>
        </row>
        <row r="268">
          <cell r="H268" t="str">
            <v>D1SH1LL</v>
          </cell>
        </row>
        <row r="269">
          <cell r="H269" t="str">
            <v>D1SDCLL</v>
          </cell>
        </row>
        <row r="270">
          <cell r="H270" t="str">
            <v>D1SH2LL</v>
          </cell>
        </row>
        <row r="271">
          <cell r="H271" t="str">
            <v>E0NHWLL</v>
          </cell>
        </row>
        <row r="272">
          <cell r="H272" t="str">
            <v>D1SDALL</v>
          </cell>
        </row>
        <row r="273">
          <cell r="H273" t="str">
            <v>D1SDBLL</v>
          </cell>
        </row>
        <row r="274">
          <cell r="H274" t="str">
            <v>D0GZ1LL</v>
          </cell>
        </row>
        <row r="275">
          <cell r="H275" t="str">
            <v>D0GZ2LL</v>
          </cell>
        </row>
        <row r="276">
          <cell r="H276" t="str">
            <v>D0T0ULL</v>
          </cell>
        </row>
        <row r="277">
          <cell r="H277" t="str">
            <v>E0AV5LL</v>
          </cell>
        </row>
        <row r="278">
          <cell r="H278" t="str">
            <v>D0GYZLL</v>
          </cell>
        </row>
        <row r="279">
          <cell r="H279" t="str">
            <v>D0GZ0LL</v>
          </cell>
        </row>
        <row r="280">
          <cell r="H280" t="str">
            <v>E0NHVLL</v>
          </cell>
        </row>
        <row r="281">
          <cell r="H281" t="str">
            <v>D1SD0LL</v>
          </cell>
        </row>
        <row r="282">
          <cell r="H282" t="str">
            <v>D1SD1LL</v>
          </cell>
        </row>
        <row r="283">
          <cell r="H283" t="str">
            <v>D1SCZLL</v>
          </cell>
        </row>
        <row r="284">
          <cell r="H284" t="str">
            <v>D1SCYLL</v>
          </cell>
        </row>
        <row r="285">
          <cell r="H285" t="str">
            <v>D1SD3LL</v>
          </cell>
        </row>
        <row r="286">
          <cell r="H286" t="str">
            <v>D1SD2LL</v>
          </cell>
        </row>
        <row r="287">
          <cell r="H287" t="str">
            <v>E0NHULL</v>
          </cell>
        </row>
        <row r="288">
          <cell r="H288" t="str">
            <v>D1SCWLL</v>
          </cell>
        </row>
        <row r="289">
          <cell r="H289" t="str">
            <v>D1SCXLL</v>
          </cell>
        </row>
        <row r="290">
          <cell r="H290" t="str">
            <v>E0AV8LL</v>
          </cell>
        </row>
        <row r="291">
          <cell r="H291" t="str">
            <v>D0GZ9LL</v>
          </cell>
        </row>
        <row r="292">
          <cell r="H292" t="str">
            <v>D0GZALL</v>
          </cell>
        </row>
        <row r="293">
          <cell r="H293" t="str">
            <v>D0GZ8LL</v>
          </cell>
        </row>
        <row r="294">
          <cell r="H294" t="str">
            <v>D0GZ7LL</v>
          </cell>
        </row>
        <row r="295">
          <cell r="H295" t="str">
            <v>D0T0VLL</v>
          </cell>
        </row>
        <row r="296">
          <cell r="H296" t="str">
            <v>E0AV7LL</v>
          </cell>
        </row>
        <row r="297">
          <cell r="H297" t="str">
            <v>D0GZ5LL</v>
          </cell>
        </row>
        <row r="298">
          <cell r="H298" t="str">
            <v>D0GZ6LL</v>
          </cell>
        </row>
        <row r="299">
          <cell r="H299" t="str">
            <v>D0S8RLL</v>
          </cell>
        </row>
        <row r="300">
          <cell r="H300" t="str">
            <v>E0ED9LL</v>
          </cell>
        </row>
        <row r="301">
          <cell r="H301" t="str">
            <v>D0S8PLL</v>
          </cell>
        </row>
        <row r="302">
          <cell r="H302" t="str">
            <v>D0S8QLL</v>
          </cell>
        </row>
        <row r="303">
          <cell r="H303" t="str">
            <v>D0S8ULL</v>
          </cell>
        </row>
        <row r="304">
          <cell r="H304" t="str">
            <v>E0EDALL</v>
          </cell>
        </row>
        <row r="305">
          <cell r="H305" t="str">
            <v>D0S8SLL</v>
          </cell>
        </row>
        <row r="306">
          <cell r="H306" t="str">
            <v>D0S8TLL</v>
          </cell>
        </row>
        <row r="307">
          <cell r="H307" t="str">
            <v>E0AVALL</v>
          </cell>
        </row>
        <row r="308">
          <cell r="H308" t="str">
            <v>D0GZFLL</v>
          </cell>
        </row>
        <row r="309">
          <cell r="H309" t="str">
            <v>D0GZGLL</v>
          </cell>
        </row>
        <row r="310">
          <cell r="H310" t="str">
            <v>E0N2YLL</v>
          </cell>
        </row>
        <row r="311">
          <cell r="H311" t="str">
            <v>D1Q7NLL</v>
          </cell>
        </row>
        <row r="312">
          <cell r="H312" t="str">
            <v>D1Q7PLL</v>
          </cell>
        </row>
        <row r="313">
          <cell r="H313" t="str">
            <v>D1QAFLL</v>
          </cell>
        </row>
        <row r="314">
          <cell r="H314" t="str">
            <v>E0N3GLL</v>
          </cell>
        </row>
        <row r="315">
          <cell r="H315" t="str">
            <v>D1QADLL</v>
          </cell>
        </row>
        <row r="316">
          <cell r="H316" t="str">
            <v>D1QAELL</v>
          </cell>
        </row>
        <row r="317">
          <cell r="H317" t="str">
            <v>D1Q7QLL</v>
          </cell>
        </row>
        <row r="318">
          <cell r="H318" t="str">
            <v>D0GZELL</v>
          </cell>
        </row>
        <row r="319">
          <cell r="H319" t="str">
            <v>D0GZDLL</v>
          </cell>
        </row>
        <row r="320">
          <cell r="H320" t="str">
            <v>D0T0WLL</v>
          </cell>
        </row>
        <row r="321">
          <cell r="H321" t="str">
            <v>E0AV9LL</v>
          </cell>
        </row>
        <row r="322">
          <cell r="H322" t="str">
            <v>D0GZBLL</v>
          </cell>
        </row>
        <row r="323">
          <cell r="H323" t="str">
            <v>D0GZCLL</v>
          </cell>
        </row>
        <row r="324">
          <cell r="H324" t="str">
            <v>E0N2WLL</v>
          </cell>
        </row>
        <row r="325">
          <cell r="H325" t="str">
            <v>D1Q7DLL</v>
          </cell>
        </row>
        <row r="326">
          <cell r="H326" t="str">
            <v>D1Q7ELL</v>
          </cell>
        </row>
        <row r="327">
          <cell r="H327" t="str">
            <v>D1Q7LLL</v>
          </cell>
        </row>
        <row r="328">
          <cell r="H328" t="str">
            <v>D1Q7KLL</v>
          </cell>
        </row>
        <row r="329">
          <cell r="H329" t="str">
            <v>E0N2XLL</v>
          </cell>
        </row>
        <row r="330">
          <cell r="H330" t="str">
            <v>D1Q7ILL</v>
          </cell>
        </row>
        <row r="331">
          <cell r="H331" t="str">
            <v>D1Q7JLL</v>
          </cell>
        </row>
        <row r="332">
          <cell r="H332" t="str">
            <v>D1Q7GLL</v>
          </cell>
        </row>
        <row r="333">
          <cell r="H333" t="str">
            <v>D1Q7FLL</v>
          </cell>
        </row>
        <row r="334">
          <cell r="H334" t="str">
            <v>E0AVCLL</v>
          </cell>
        </row>
        <row r="335">
          <cell r="H335" t="str">
            <v>D0GZLLL</v>
          </cell>
        </row>
        <row r="336">
          <cell r="H336" t="str">
            <v>D0GZMLL</v>
          </cell>
        </row>
        <row r="337">
          <cell r="H337" t="str">
            <v>D0GZJLL</v>
          </cell>
        </row>
        <row r="338">
          <cell r="H338" t="str">
            <v>D0GZKLL</v>
          </cell>
        </row>
        <row r="339">
          <cell r="H339" t="str">
            <v>D0T0XLL</v>
          </cell>
        </row>
        <row r="340">
          <cell r="H340" t="str">
            <v>E0AVBLL</v>
          </cell>
        </row>
        <row r="341">
          <cell r="H341" t="str">
            <v>D0GZHLL</v>
          </cell>
        </row>
        <row r="342">
          <cell r="H342" t="str">
            <v>D0GZILL</v>
          </cell>
        </row>
        <row r="343">
          <cell r="H343" t="str">
            <v>D0S91LL</v>
          </cell>
        </row>
        <row r="344">
          <cell r="H344" t="str">
            <v>E0EDBLL</v>
          </cell>
        </row>
        <row r="345">
          <cell r="H345" t="str">
            <v>D0S8ZLL</v>
          </cell>
        </row>
        <row r="346">
          <cell r="H346" t="str">
            <v>D0S90LL</v>
          </cell>
        </row>
        <row r="347">
          <cell r="H347" t="str">
            <v>D0S94LL</v>
          </cell>
        </row>
        <row r="348">
          <cell r="H348" t="str">
            <v>E0EDCLL</v>
          </cell>
        </row>
        <row r="349">
          <cell r="H349" t="str">
            <v>D0S92LL</v>
          </cell>
        </row>
        <row r="350">
          <cell r="H350" t="str">
            <v>D0S93LL</v>
          </cell>
        </row>
        <row r="351">
          <cell r="H351" t="str">
            <v>E0AVELL</v>
          </cell>
        </row>
        <row r="352">
          <cell r="H352" t="str">
            <v>D0GZSLL</v>
          </cell>
        </row>
        <row r="353">
          <cell r="H353" t="str">
            <v>D0GZTLL</v>
          </cell>
        </row>
        <row r="354">
          <cell r="H354" t="str">
            <v>E0N85LL</v>
          </cell>
        </row>
        <row r="355">
          <cell r="H355" t="str">
            <v>D1R73LL</v>
          </cell>
        </row>
        <row r="356">
          <cell r="H356" t="str">
            <v>D1R74LL</v>
          </cell>
        </row>
        <row r="357">
          <cell r="H357" t="str">
            <v>E0N86LL</v>
          </cell>
        </row>
        <row r="358">
          <cell r="H358" t="str">
            <v>D1R77LL</v>
          </cell>
        </row>
        <row r="359">
          <cell r="H359" t="str">
            <v>D1R78LL</v>
          </cell>
        </row>
        <row r="360">
          <cell r="H360" t="str">
            <v>D1R79LL</v>
          </cell>
        </row>
        <row r="361">
          <cell r="H361" t="str">
            <v>D1R75LL</v>
          </cell>
        </row>
        <row r="362">
          <cell r="H362" t="str">
            <v>D0GZQLL</v>
          </cell>
        </row>
        <row r="363">
          <cell r="H363" t="str">
            <v>D0GZRLL</v>
          </cell>
        </row>
        <row r="364">
          <cell r="H364" t="str">
            <v>D0T0YLL</v>
          </cell>
        </row>
        <row r="365">
          <cell r="H365" t="str">
            <v>E0AVDLL</v>
          </cell>
        </row>
        <row r="366">
          <cell r="H366" t="str">
            <v>D0GZNLL</v>
          </cell>
        </row>
        <row r="367">
          <cell r="H367" t="str">
            <v>D0GZPLL</v>
          </cell>
        </row>
        <row r="368">
          <cell r="H368" t="str">
            <v>E0N83LL</v>
          </cell>
        </row>
        <row r="369">
          <cell r="H369" t="str">
            <v>D1R6TLL</v>
          </cell>
        </row>
        <row r="370">
          <cell r="H370" t="str">
            <v>D1R6ULL</v>
          </cell>
        </row>
        <row r="371">
          <cell r="H371" t="str">
            <v>E0N84LL</v>
          </cell>
        </row>
        <row r="372">
          <cell r="H372" t="str">
            <v>D1R6YLL</v>
          </cell>
        </row>
        <row r="373">
          <cell r="H373" t="str">
            <v>D1R6ZLL</v>
          </cell>
        </row>
        <row r="374">
          <cell r="H374" t="str">
            <v>D1R71LL</v>
          </cell>
        </row>
        <row r="375">
          <cell r="H375" t="str">
            <v>D1R70LL</v>
          </cell>
        </row>
        <row r="376">
          <cell r="H376" t="str">
            <v>D1R6WLL</v>
          </cell>
        </row>
        <row r="377">
          <cell r="H377" t="str">
            <v>D1R6VLL</v>
          </cell>
        </row>
        <row r="378">
          <cell r="H378" t="str">
            <v>E0AVGLL</v>
          </cell>
        </row>
        <row r="379">
          <cell r="H379" t="str">
            <v>D0GZYLL</v>
          </cell>
        </row>
        <row r="380">
          <cell r="H380" t="str">
            <v>D0GZZLL</v>
          </cell>
        </row>
        <row r="381">
          <cell r="H381" t="str">
            <v>D0GZWLL</v>
          </cell>
        </row>
        <row r="382">
          <cell r="H382" t="str">
            <v>D0GZXLL</v>
          </cell>
        </row>
        <row r="383">
          <cell r="H383" t="str">
            <v>D0T0ZLL</v>
          </cell>
        </row>
        <row r="384">
          <cell r="H384" t="str">
            <v>E0AVFLL</v>
          </cell>
        </row>
        <row r="385">
          <cell r="H385" t="str">
            <v>D0GZULL</v>
          </cell>
        </row>
        <row r="386">
          <cell r="H386" t="str">
            <v>D0GZVLL</v>
          </cell>
        </row>
        <row r="387">
          <cell r="H387" t="str">
            <v>D0S97LL</v>
          </cell>
        </row>
        <row r="388">
          <cell r="H388" t="str">
            <v>E0EDDLL</v>
          </cell>
        </row>
        <row r="389">
          <cell r="H389" t="str">
            <v>D0S95LL</v>
          </cell>
        </row>
        <row r="390">
          <cell r="H390" t="str">
            <v>D0S96LL</v>
          </cell>
        </row>
        <row r="391">
          <cell r="H391" t="str">
            <v>D0S9ALL</v>
          </cell>
        </row>
        <row r="392">
          <cell r="H392" t="str">
            <v>E0EDELL</v>
          </cell>
        </row>
        <row r="393">
          <cell r="H393" t="str">
            <v>D0S98LL</v>
          </cell>
        </row>
        <row r="394">
          <cell r="H394" t="str">
            <v>D0S99LL</v>
          </cell>
        </row>
        <row r="395">
          <cell r="H395" t="str">
            <v>E0AVILL</v>
          </cell>
        </row>
        <row r="396">
          <cell r="H396" t="str">
            <v>D0H04LL</v>
          </cell>
        </row>
        <row r="397">
          <cell r="H397" t="str">
            <v>D0H05LL</v>
          </cell>
        </row>
        <row r="398">
          <cell r="H398" t="str">
            <v>E0N3JLL</v>
          </cell>
        </row>
        <row r="399">
          <cell r="H399" t="str">
            <v>D1QASLL</v>
          </cell>
        </row>
        <row r="400">
          <cell r="H400" t="str">
            <v>D1QATLL</v>
          </cell>
        </row>
        <row r="401">
          <cell r="H401" t="str">
            <v>D1QAYLL</v>
          </cell>
        </row>
        <row r="402">
          <cell r="H402" t="str">
            <v>D1QAULL</v>
          </cell>
        </row>
        <row r="403">
          <cell r="H403" t="str">
            <v>E0N3KLL</v>
          </cell>
        </row>
        <row r="404">
          <cell r="H404" t="str">
            <v>D1QAWLL</v>
          </cell>
        </row>
        <row r="405">
          <cell r="H405" t="str">
            <v>D1QAXLL</v>
          </cell>
        </row>
        <row r="406">
          <cell r="H406" t="str">
            <v>D0H02LL</v>
          </cell>
        </row>
        <row r="407">
          <cell r="H407" t="str">
            <v>D0H03LL</v>
          </cell>
        </row>
        <row r="408">
          <cell r="H408" t="str">
            <v>D0T10LL</v>
          </cell>
        </row>
        <row r="409">
          <cell r="H409" t="str">
            <v>E0AVHLL</v>
          </cell>
        </row>
        <row r="410">
          <cell r="H410" t="str">
            <v>D0H00LL</v>
          </cell>
        </row>
        <row r="411">
          <cell r="H411" t="str">
            <v>D0H01LL</v>
          </cell>
        </row>
        <row r="412">
          <cell r="H412" t="str">
            <v>E0N3HLL</v>
          </cell>
        </row>
        <row r="413">
          <cell r="H413" t="str">
            <v>D1QAHLL</v>
          </cell>
        </row>
        <row r="414">
          <cell r="H414" t="str">
            <v>D1QAILL</v>
          </cell>
        </row>
        <row r="415">
          <cell r="H415" t="str">
            <v>E0N3ILL</v>
          </cell>
        </row>
        <row r="416">
          <cell r="H416" t="str">
            <v>D1QAMLL</v>
          </cell>
        </row>
        <row r="417">
          <cell r="H417" t="str">
            <v>D1QANLL</v>
          </cell>
        </row>
        <row r="418">
          <cell r="H418" t="str">
            <v>D1QAKLL</v>
          </cell>
        </row>
        <row r="419">
          <cell r="H419" t="str">
            <v>D1QAJLL</v>
          </cell>
        </row>
        <row r="420">
          <cell r="H420" t="str">
            <v>E0AVKLL</v>
          </cell>
        </row>
        <row r="421">
          <cell r="H421" t="str">
            <v>D0H0ALL</v>
          </cell>
        </row>
        <row r="422">
          <cell r="H422" t="str">
            <v>D0H0BLL</v>
          </cell>
        </row>
        <row r="423">
          <cell r="H423" t="str">
            <v>D0H09LL</v>
          </cell>
        </row>
        <row r="424">
          <cell r="H424" t="str">
            <v>D0H08LL</v>
          </cell>
        </row>
        <row r="425">
          <cell r="H425" t="str">
            <v>D0T11LL</v>
          </cell>
        </row>
        <row r="426">
          <cell r="H426" t="str">
            <v>E0AVJLL</v>
          </cell>
        </row>
        <row r="427">
          <cell r="H427" t="str">
            <v>D0H06LL</v>
          </cell>
        </row>
        <row r="428">
          <cell r="H428" t="str">
            <v>D0H07LL</v>
          </cell>
        </row>
        <row r="429">
          <cell r="H429" t="str">
            <v>D0S9DLL</v>
          </cell>
        </row>
        <row r="430">
          <cell r="H430" t="str">
            <v>E0EDFLL</v>
          </cell>
        </row>
        <row r="431">
          <cell r="H431" t="str">
            <v>D0S9BLL</v>
          </cell>
        </row>
        <row r="432">
          <cell r="H432" t="str">
            <v>D0S9CLL</v>
          </cell>
        </row>
        <row r="433">
          <cell r="H433" t="str">
            <v>D0T04LL</v>
          </cell>
        </row>
        <row r="434">
          <cell r="H434" t="str">
            <v>E0EEMLL</v>
          </cell>
        </row>
        <row r="435">
          <cell r="H435" t="str">
            <v>D0T00LL</v>
          </cell>
        </row>
        <row r="436">
          <cell r="H436" t="str">
            <v>D0T01LL</v>
          </cell>
        </row>
        <row r="437">
          <cell r="H437" t="str">
            <v>D1QAQLL</v>
          </cell>
        </row>
        <row r="438">
          <cell r="H438" t="str">
            <v>D1QAPLL</v>
          </cell>
        </row>
        <row r="439">
          <cell r="H439" t="str">
            <v>E0NSHLL</v>
          </cell>
        </row>
        <row r="440">
          <cell r="H440" t="str">
            <v>D1UEFLL</v>
          </cell>
        </row>
        <row r="441">
          <cell r="H441" t="str">
            <v>D1UEGLL</v>
          </cell>
        </row>
        <row r="442">
          <cell r="H442" t="str">
            <v>E0NSJLL</v>
          </cell>
        </row>
        <row r="443">
          <cell r="H443" t="str">
            <v>D1UEJLL</v>
          </cell>
        </row>
        <row r="444">
          <cell r="H444" t="str">
            <v>D1UEKLL</v>
          </cell>
        </row>
        <row r="445">
          <cell r="H445" t="str">
            <v>E0NSILL</v>
          </cell>
        </row>
        <row r="446">
          <cell r="H446" t="str">
            <v>D1UEHLL</v>
          </cell>
        </row>
        <row r="447">
          <cell r="H447" t="str">
            <v>D1UEILL</v>
          </cell>
        </row>
        <row r="448">
          <cell r="H448" t="str">
            <v>E0NSKLL</v>
          </cell>
        </row>
        <row r="449">
          <cell r="H449" t="str">
            <v>D1UELLL</v>
          </cell>
        </row>
        <row r="450">
          <cell r="H450" t="str">
            <v>D1UEMLL</v>
          </cell>
        </row>
        <row r="451">
          <cell r="H451" t="str">
            <v>E0N2ULL</v>
          </cell>
        </row>
        <row r="452">
          <cell r="H452" t="str">
            <v>D1Q75LL</v>
          </cell>
        </row>
        <row r="453">
          <cell r="H453" t="str">
            <v>D1Q76LL</v>
          </cell>
        </row>
        <row r="454">
          <cell r="H454" t="str">
            <v>E0CS1LL</v>
          </cell>
        </row>
        <row r="455">
          <cell r="H455" t="str">
            <v>D0L7QLL</v>
          </cell>
        </row>
        <row r="456">
          <cell r="H456" t="str">
            <v>D0L7RLL</v>
          </cell>
        </row>
        <row r="457">
          <cell r="H457" t="str">
            <v>E0CS3LL</v>
          </cell>
        </row>
        <row r="458">
          <cell r="H458" t="str">
            <v>D0L7TLL</v>
          </cell>
        </row>
        <row r="459">
          <cell r="H459" t="str">
            <v>D0L7ULL</v>
          </cell>
        </row>
        <row r="460">
          <cell r="H460" t="str">
            <v>D1Q7BLL</v>
          </cell>
        </row>
        <row r="461">
          <cell r="H461" t="str">
            <v>E0N2VLL</v>
          </cell>
        </row>
        <row r="462">
          <cell r="H462" t="str">
            <v>D1Q79LL</v>
          </cell>
        </row>
        <row r="463">
          <cell r="H463" t="str">
            <v>D1Q7ALL</v>
          </cell>
        </row>
        <row r="464">
          <cell r="H464" t="str">
            <v>D1Q77LL</v>
          </cell>
        </row>
        <row r="465">
          <cell r="H465" t="str">
            <v>E04STLL</v>
          </cell>
        </row>
        <row r="466">
          <cell r="H466" t="str">
            <v>D040SLL</v>
          </cell>
        </row>
        <row r="467">
          <cell r="H467" t="str">
            <v>D040TLL</v>
          </cell>
        </row>
        <row r="468">
          <cell r="H468" t="str">
            <v>E0N81LL</v>
          </cell>
        </row>
        <row r="469">
          <cell r="H469" t="str">
            <v>D1R6KLL</v>
          </cell>
        </row>
        <row r="470">
          <cell r="H470" t="str">
            <v>D1R6LLL</v>
          </cell>
        </row>
        <row r="471">
          <cell r="H471" t="str">
            <v>E0N82LL</v>
          </cell>
        </row>
        <row r="472">
          <cell r="H472" t="str">
            <v>D1R6PLL</v>
          </cell>
        </row>
        <row r="473">
          <cell r="H473" t="str">
            <v>D1R6QLL</v>
          </cell>
        </row>
        <row r="474">
          <cell r="H474" t="str">
            <v>D1R6RLL</v>
          </cell>
        </row>
        <row r="475">
          <cell r="H475" t="str">
            <v>D1R6MLL</v>
          </cell>
        </row>
        <row r="476">
          <cell r="H476" t="str">
            <v>E05UDLL</v>
          </cell>
        </row>
        <row r="477">
          <cell r="H477" t="str">
            <v>D06FKLL</v>
          </cell>
        </row>
        <row r="478">
          <cell r="H478" t="str">
            <v>D06FLLL</v>
          </cell>
        </row>
        <row r="479">
          <cell r="H479" t="str">
            <v>E0AVZLL</v>
          </cell>
        </row>
        <row r="480">
          <cell r="H480" t="str">
            <v>D0H1BLL</v>
          </cell>
        </row>
        <row r="481">
          <cell r="H481" t="str">
            <v>D0H1CLL</v>
          </cell>
        </row>
        <row r="482">
          <cell r="H482" t="str">
            <v>E0N8DLL</v>
          </cell>
        </row>
        <row r="483">
          <cell r="H483" t="str">
            <v>D1R82LL</v>
          </cell>
        </row>
        <row r="484">
          <cell r="H484" t="str">
            <v>D1R83LL</v>
          </cell>
        </row>
        <row r="485">
          <cell r="H485" t="str">
            <v>E0N8ELL</v>
          </cell>
        </row>
        <row r="486">
          <cell r="H486" t="str">
            <v>D1R86LL</v>
          </cell>
        </row>
        <row r="487">
          <cell r="H487" t="str">
            <v>D1R87LL</v>
          </cell>
        </row>
        <row r="488">
          <cell r="H488" t="str">
            <v>D1R88LL</v>
          </cell>
        </row>
        <row r="489">
          <cell r="H489" t="str">
            <v>D1R84LL</v>
          </cell>
        </row>
        <row r="490">
          <cell r="H490" t="str">
            <v>E0AW0LL</v>
          </cell>
        </row>
        <row r="491">
          <cell r="H491" t="str">
            <v>D0H1DLL</v>
          </cell>
        </row>
        <row r="492">
          <cell r="H492" t="str">
            <v>D0H1ELL</v>
          </cell>
        </row>
        <row r="493">
          <cell r="H493" t="str">
            <v>E0AW1LL</v>
          </cell>
        </row>
        <row r="494">
          <cell r="H494" t="str">
            <v>D0H1FLL</v>
          </cell>
        </row>
        <row r="495">
          <cell r="H495" t="str">
            <v>D0H1GLL</v>
          </cell>
        </row>
        <row r="496">
          <cell r="H496" t="str">
            <v>E0AVYLL</v>
          </cell>
        </row>
        <row r="497">
          <cell r="H497" t="str">
            <v>D0H19LL</v>
          </cell>
        </row>
        <row r="498">
          <cell r="H498" t="str">
            <v>D0H1ALL</v>
          </cell>
        </row>
      </sheetData>
      <sheetData sheetId="1" refreshError="1">
        <row r="37">
          <cell r="D37" t="str">
            <v>Premium Concurrent User</v>
          </cell>
          <cell r="E37">
            <v>15</v>
          </cell>
        </row>
        <row r="38">
          <cell r="D38" t="str">
            <v>Base Concurrent User</v>
          </cell>
          <cell r="E38">
            <v>10</v>
          </cell>
        </row>
        <row r="39">
          <cell r="D39" t="str">
            <v>Limited Concurrent User</v>
          </cell>
          <cell r="E39">
            <v>5</v>
          </cell>
        </row>
        <row r="40">
          <cell r="D40" t="str">
            <v>Install - ERP Adapters</v>
          </cell>
          <cell r="E40">
            <v>80</v>
          </cell>
        </row>
        <row r="41">
          <cell r="D41" t="str">
            <v>Install - Spatial</v>
          </cell>
          <cell r="E41">
            <v>20</v>
          </cell>
        </row>
        <row r="42">
          <cell r="D42" t="str">
            <v>Admin Premium Concurrent User</v>
          </cell>
          <cell r="E42">
            <v>15</v>
          </cell>
        </row>
        <row r="43">
          <cell r="D43" t="str">
            <v>Admin Base Concurrent User</v>
          </cell>
          <cell r="E43">
            <v>10</v>
          </cell>
        </row>
        <row r="44">
          <cell r="D44" t="str">
            <v>Admin Limited Concurrent User</v>
          </cell>
          <cell r="E44">
            <v>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dimond.naasc.ibm.com:9080/DimondWebAp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dimond.naasc.ibm.com:9080/DimondWebApp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3697-B71B-4B51-86F2-939983804563}">
  <sheetPr codeName="Sheet4"/>
  <dimension ref="A1:U66"/>
  <sheetViews>
    <sheetView showGridLines="0" workbookViewId="0">
      <selection activeCell="E31" sqref="E31"/>
    </sheetView>
  </sheetViews>
  <sheetFormatPr baseColWidth="10" defaultColWidth="8.83203125" defaultRowHeight="15"/>
  <cols>
    <col min="1" max="2" width="6.1640625" style="30" customWidth="1"/>
    <col min="3" max="3" width="5.6640625" style="30" customWidth="1"/>
    <col min="4" max="15" width="8.83203125" style="30"/>
    <col min="18" max="18" width="8.83203125" style="30"/>
    <col min="19" max="19" width="5.6640625" customWidth="1"/>
    <col min="20" max="21" width="6.1640625" style="30" customWidth="1"/>
    <col min="22" max="16384" width="8.83203125" style="30"/>
  </cols>
  <sheetData>
    <row r="1" spans="1:21" ht="12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ht="12.7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ht="12.5" customHeight="1">
      <c r="A3" s="29"/>
      <c r="B3" s="29"/>
      <c r="C3" s="266" t="s">
        <v>1456</v>
      </c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9"/>
      <c r="U3" s="29"/>
    </row>
    <row r="4" spans="1:21" ht="12.75" customHeight="1" thickBot="1">
      <c r="A4" s="29"/>
      <c r="B4" s="29"/>
      <c r="C4" s="268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9"/>
      <c r="U4" s="29"/>
    </row>
    <row r="5" spans="1:21" ht="12.75" customHeight="1">
      <c r="A5" s="29"/>
      <c r="B5" s="29"/>
      <c r="C5" s="31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</row>
    <row r="6" spans="1:21" ht="15.5" customHeight="1">
      <c r="A6" s="29"/>
      <c r="B6" s="29"/>
      <c r="C6" s="33"/>
      <c r="D6" s="270" t="s">
        <v>1582</v>
      </c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34"/>
      <c r="T6" s="29"/>
      <c r="U6" s="29"/>
    </row>
    <row r="7" spans="1:21" ht="15.5" customHeight="1">
      <c r="A7" s="29"/>
      <c r="B7" s="29"/>
      <c r="C7" s="33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34"/>
      <c r="T7" s="29"/>
      <c r="U7" s="29"/>
    </row>
    <row r="8" spans="1:21" ht="15.5" customHeight="1">
      <c r="A8" s="29"/>
      <c r="B8" s="29"/>
      <c r="C8" s="33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34"/>
      <c r="T8" s="29"/>
      <c r="U8" s="29"/>
    </row>
    <row r="9" spans="1:21" ht="15.5" customHeight="1">
      <c r="A9" s="29"/>
      <c r="B9" s="29"/>
      <c r="C9" s="33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34"/>
      <c r="T9" s="29"/>
      <c r="U9" s="29"/>
    </row>
    <row r="10" spans="1:21" ht="15.5" customHeight="1">
      <c r="A10" s="29"/>
      <c r="B10" s="29"/>
      <c r="C10" s="33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34"/>
      <c r="T10" s="29"/>
      <c r="U10" s="29"/>
    </row>
    <row r="11" spans="1:21" ht="15.5" customHeight="1">
      <c r="A11" s="29"/>
      <c r="B11" s="29"/>
      <c r="C11" s="33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34"/>
      <c r="T11" s="29"/>
      <c r="U11" s="29"/>
    </row>
    <row r="12" spans="1:21" ht="15.5" customHeight="1">
      <c r="A12" s="29"/>
      <c r="B12" s="29"/>
      <c r="C12" s="33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34"/>
      <c r="T12" s="29"/>
      <c r="U12" s="29"/>
    </row>
    <row r="13" spans="1:21" ht="15.5" customHeight="1">
      <c r="A13" s="29"/>
      <c r="B13" s="29"/>
      <c r="C13" s="33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34"/>
      <c r="T13" s="29"/>
      <c r="U13" s="29"/>
    </row>
    <row r="14" spans="1:21" ht="15.5" customHeight="1">
      <c r="A14" s="29"/>
      <c r="B14" s="29"/>
      <c r="C14" s="33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34"/>
      <c r="T14" s="29"/>
      <c r="U14" s="29"/>
    </row>
    <row r="15" spans="1:21" ht="15.5" customHeight="1">
      <c r="A15" s="29"/>
      <c r="B15" s="29"/>
      <c r="C15" s="33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34"/>
      <c r="T15" s="29"/>
      <c r="U15" s="29"/>
    </row>
    <row r="16" spans="1:21" ht="15.5" customHeight="1">
      <c r="A16" s="29"/>
      <c r="B16" s="29"/>
      <c r="C16" s="33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34"/>
      <c r="T16" s="29"/>
      <c r="U16" s="29"/>
    </row>
    <row r="17" spans="1:21" ht="15.5" customHeight="1">
      <c r="A17" s="29"/>
      <c r="B17" s="29"/>
      <c r="C17" s="33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34"/>
      <c r="T17" s="29"/>
      <c r="U17" s="29"/>
    </row>
    <row r="18" spans="1:21" ht="15.5" customHeight="1">
      <c r="A18" s="29"/>
      <c r="B18" s="29"/>
      <c r="C18" s="33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34"/>
      <c r="T18" s="29"/>
      <c r="U18" s="29"/>
    </row>
    <row r="19" spans="1:21" ht="15.5" customHeight="1">
      <c r="A19" s="29"/>
      <c r="B19" s="29"/>
      <c r="C19" s="33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34"/>
      <c r="T19" s="29"/>
      <c r="U19" s="29"/>
    </row>
    <row r="20" spans="1:21" ht="15.5" customHeight="1" thickBot="1">
      <c r="A20" s="29"/>
      <c r="B20" s="29"/>
      <c r="C20" s="33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34"/>
      <c r="T20" s="29"/>
      <c r="U20" s="29"/>
    </row>
    <row r="21" spans="1:21" ht="15" customHeight="1" thickBot="1">
      <c r="A21" s="29"/>
      <c r="B21" s="35"/>
      <c r="C21" s="36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36"/>
      <c r="T21" s="29"/>
      <c r="U21" s="29"/>
    </row>
    <row r="22" spans="1:21">
      <c r="A22" s="29"/>
      <c r="B22" s="29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172"/>
      <c r="Q22" s="172"/>
      <c r="R22" s="36"/>
      <c r="S22" s="172"/>
      <c r="T22" s="29"/>
      <c r="U22" s="29"/>
    </row>
    <row r="23" spans="1:21" ht="15.5" customHeight="1">
      <c r="A23" s="29"/>
      <c r="B23" s="29"/>
      <c r="C23" s="33"/>
      <c r="Q23" s="74"/>
      <c r="S23" s="34"/>
      <c r="T23" s="29"/>
      <c r="U23" s="29"/>
    </row>
    <row r="24" spans="1:21" ht="15.5" customHeight="1" thickBot="1">
      <c r="A24" s="29"/>
      <c r="B24" s="29"/>
      <c r="C24" s="33"/>
      <c r="S24" s="34"/>
      <c r="T24" s="29"/>
      <c r="U24" s="29"/>
    </row>
    <row r="25" spans="1:21" ht="15" customHeight="1" thickBot="1">
      <c r="A25" s="29"/>
      <c r="B25" s="35"/>
      <c r="C25" s="36"/>
      <c r="S25" s="36"/>
      <c r="T25" s="29"/>
      <c r="U25" s="29"/>
    </row>
    <row r="26" spans="1:21" ht="12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pans="1:2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7"/>
      <c r="Q27" s="37"/>
      <c r="R27" s="29"/>
      <c r="S27" s="37"/>
      <c r="T27" s="29"/>
      <c r="U27" s="29"/>
    </row>
    <row r="28" spans="1:21" ht="24">
      <c r="A28" s="114" t="s">
        <v>1514</v>
      </c>
      <c r="D28" s="113"/>
      <c r="U28" s="74" t="s">
        <v>1587</v>
      </c>
    </row>
    <row r="54" spans="3:5">
      <c r="C54" s="271"/>
      <c r="D54" s="271"/>
    </row>
    <row r="62" spans="3:5">
      <c r="D62" s="38"/>
      <c r="E62" s="38"/>
    </row>
    <row r="63" spans="3:5">
      <c r="D63" s="38"/>
      <c r="E63" s="38"/>
    </row>
    <row r="64" spans="3:5">
      <c r="D64" s="38"/>
      <c r="E64" s="38"/>
    </row>
    <row r="65" spans="4:5">
      <c r="D65" s="38"/>
      <c r="E65" s="38"/>
    </row>
    <row r="66" spans="4:5">
      <c r="D66" s="38"/>
      <c r="E66" s="38"/>
    </row>
  </sheetData>
  <mergeCells count="3">
    <mergeCell ref="C3:S4"/>
    <mergeCell ref="D6:R21"/>
    <mergeCell ref="C54:D5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6F34-5DD7-470C-8D38-895CD76C3856}">
  <sheetPr codeName="Sheet1">
    <tabColor rgb="FF00B050"/>
  </sheetPr>
  <dimension ref="A2:C31"/>
  <sheetViews>
    <sheetView showGridLines="0" zoomScale="70" zoomScaleNormal="70" workbookViewId="0">
      <selection activeCell="A15" sqref="A15"/>
    </sheetView>
  </sheetViews>
  <sheetFormatPr baseColWidth="10" defaultColWidth="8.83203125" defaultRowHeight="13"/>
  <cols>
    <col min="1" max="1" width="107.6640625" style="27" customWidth="1"/>
    <col min="2" max="2" width="23.83203125" style="27" customWidth="1"/>
    <col min="3" max="3" width="62.5" style="27" customWidth="1"/>
    <col min="4" max="16384" width="8.83203125" style="27"/>
  </cols>
  <sheetData>
    <row r="2" spans="1:3" ht="25" customHeight="1" thickBot="1">
      <c r="A2" s="273" t="s">
        <v>1403</v>
      </c>
      <c r="B2" s="273"/>
      <c r="C2" s="273"/>
    </row>
    <row r="3" spans="1:3" ht="18">
      <c r="A3" s="25"/>
      <c r="B3" s="26" t="s">
        <v>1317</v>
      </c>
      <c r="C3" s="26"/>
    </row>
    <row r="4" spans="1:3" ht="18">
      <c r="A4" s="67"/>
      <c r="B4" s="28"/>
      <c r="C4" s="28"/>
    </row>
    <row r="5" spans="1:3" ht="18">
      <c r="A5" s="272" t="s">
        <v>1298</v>
      </c>
      <c r="B5" s="272"/>
      <c r="C5" s="64"/>
    </row>
    <row r="6" spans="1:3" ht="18">
      <c r="A6" s="49"/>
      <c r="B6" s="49"/>
      <c r="C6" s="68"/>
    </row>
    <row r="7" spans="1:3" ht="19">
      <c r="A7" s="65" t="s">
        <v>1404</v>
      </c>
      <c r="B7" s="41"/>
      <c r="C7" s="45"/>
    </row>
    <row r="8" spans="1:3" ht="19">
      <c r="A8" s="65" t="s">
        <v>1405</v>
      </c>
      <c r="B8" s="43"/>
      <c r="C8" s="53"/>
    </row>
    <row r="9" spans="1:3" ht="18">
      <c r="A9" s="50"/>
      <c r="B9" s="49"/>
      <c r="C9" s="68"/>
    </row>
    <row r="10" spans="1:3" ht="18">
      <c r="A10" s="274" t="s">
        <v>1301</v>
      </c>
      <c r="B10" s="274"/>
      <c r="C10" s="64"/>
    </row>
    <row r="11" spans="1:3" ht="18">
      <c r="A11" s="49"/>
      <c r="B11" s="42"/>
      <c r="C11" s="45"/>
    </row>
    <row r="12" spans="1:3" ht="19">
      <c r="A12" s="71" t="s">
        <v>1406</v>
      </c>
      <c r="B12" s="41"/>
      <c r="C12" s="68"/>
    </row>
    <row r="13" spans="1:3" ht="19">
      <c r="A13" s="71" t="s">
        <v>1407</v>
      </c>
      <c r="B13" s="41"/>
      <c r="C13" s="68"/>
    </row>
    <row r="14" spans="1:3" ht="19">
      <c r="A14" s="71" t="s">
        <v>1408</v>
      </c>
      <c r="B14" s="41"/>
      <c r="C14" s="68"/>
    </row>
    <row r="15" spans="1:3" ht="19">
      <c r="A15" s="71" t="s">
        <v>1366</v>
      </c>
      <c r="B15" s="41"/>
      <c r="C15" s="69" t="s">
        <v>1367</v>
      </c>
    </row>
    <row r="16" spans="1:3" ht="19">
      <c r="A16" s="71" t="s">
        <v>1368</v>
      </c>
      <c r="B16" s="41"/>
      <c r="C16" s="69" t="s">
        <v>1369</v>
      </c>
    </row>
    <row r="17" spans="1:3" ht="19">
      <c r="A17" s="71" t="s">
        <v>1532</v>
      </c>
      <c r="B17" s="41"/>
      <c r="C17" s="69"/>
    </row>
    <row r="18" spans="1:3" ht="19">
      <c r="A18" s="71" t="s">
        <v>1304</v>
      </c>
      <c r="B18" s="41"/>
      <c r="C18" s="68"/>
    </row>
    <row r="19" spans="1:3" ht="19">
      <c r="A19" s="71" t="s">
        <v>1318</v>
      </c>
      <c r="B19" s="51"/>
      <c r="C19" s="68"/>
    </row>
    <row r="20" spans="1:3" ht="19">
      <c r="A20" s="71" t="s">
        <v>1370</v>
      </c>
      <c r="B20" s="51"/>
      <c r="C20" s="68"/>
    </row>
    <row r="21" spans="1:3" ht="19">
      <c r="A21" s="71" t="s">
        <v>1307</v>
      </c>
      <c r="B21" s="41"/>
      <c r="C21" s="68"/>
    </row>
    <row r="22" spans="1:3" ht="18">
      <c r="A22" s="50"/>
      <c r="B22" s="50"/>
      <c r="C22" s="44"/>
    </row>
    <row r="23" spans="1:3" ht="18">
      <c r="A23" s="274" t="s">
        <v>1308</v>
      </c>
      <c r="B23" s="274"/>
      <c r="C23" s="64"/>
    </row>
    <row r="24" spans="1:3" ht="18">
      <c r="A24" s="49"/>
      <c r="B24" s="49"/>
      <c r="C24" s="70"/>
    </row>
    <row r="25" spans="1:3" s="40" customFormat="1" ht="19">
      <c r="A25" s="46" t="s">
        <v>1328</v>
      </c>
      <c r="B25" s="47"/>
      <c r="C25" s="48"/>
    </row>
    <row r="26" spans="1:3" s="40" customFormat="1" ht="21">
      <c r="A26" s="46" t="s">
        <v>1329</v>
      </c>
      <c r="B26" s="82" t="s">
        <v>1306</v>
      </c>
      <c r="C26" s="48"/>
    </row>
    <row r="27" spans="1:3" s="40" customFormat="1" ht="19">
      <c r="A27" s="46" t="s">
        <v>1330</v>
      </c>
      <c r="B27" s="47"/>
      <c r="C27" s="48"/>
    </row>
    <row r="28" spans="1:3" s="40" customFormat="1" ht="19">
      <c r="A28" s="46" t="s">
        <v>1453</v>
      </c>
      <c r="B28" s="52"/>
      <c r="C28" s="48"/>
    </row>
    <row r="29" spans="1:3" s="40" customFormat="1" ht="19">
      <c r="A29" s="46" t="s">
        <v>1371</v>
      </c>
      <c r="B29" s="47"/>
      <c r="C29" s="48"/>
    </row>
    <row r="30" spans="1:3" ht="18">
      <c r="A30" s="70"/>
      <c r="B30" s="70"/>
      <c r="C30" s="70"/>
    </row>
    <row r="31" spans="1:3" ht="18">
      <c r="A31" s="272" t="s">
        <v>1334</v>
      </c>
      <c r="B31" s="272"/>
      <c r="C31" s="64"/>
    </row>
  </sheetData>
  <mergeCells count="5">
    <mergeCell ref="A31:B31"/>
    <mergeCell ref="A2:C2"/>
    <mergeCell ref="A5:B5"/>
    <mergeCell ref="A10:B10"/>
    <mergeCell ref="A23:B23"/>
  </mergeCells>
  <dataValidations count="9">
    <dataValidation type="list" showInputMessage="1" showErrorMessage="1" sqref="B19:B20" xr:uid="{D5C8E176-7454-4742-AE58-19F46864014D}">
      <formula1>"Yes, No, Unknown"</formula1>
    </dataValidation>
    <dataValidation type="custom" allowBlank="1" showInputMessage="1" showErrorMessage="1" errorTitle="Error" error="Please check the Requester Email Address." sqref="B8:C8" xr:uid="{DC488932-AA7D-40CE-AFD5-CDDF0B19D095}">
      <formula1>ISNUMBER(MATCH("*@*.*",B8,0))</formula1>
    </dataValidation>
    <dataValidation type="list" allowBlank="1" showInputMessage="1" showErrorMessage="1" errorTitle="Error" error="Please select an entry from the drop-down list." sqref="B21:C21" xr:uid="{566301C2-7519-4171-B99C-756E91432A36}">
      <formula1>Currency</formula1>
    </dataValidation>
    <dataValidation type="custom" allowBlank="1" showInputMessage="1" showErrorMessage="1" sqref="B7:C7 C12:C13 B12" xr:uid="{A7CD6981-3771-4A6A-B4A1-8A768C6426D9}">
      <formula1>ISTEXT(B7)</formula1>
    </dataValidation>
    <dataValidation type="list" allowBlank="1" showInputMessage="1" showErrorMessage="1" sqref="B15:B17 B29" xr:uid="{DA82281E-D898-421C-9F88-F434E3235E81}">
      <formula1>"Yes, No"</formula1>
    </dataValidation>
    <dataValidation operator="greaterThan" allowBlank="1" showInputMessage="1" showErrorMessage="1" errorTitle="Enter correct format" error="Please enter the date in format &quot;MM/DD/YYYY&quot;." sqref="B25 B27" xr:uid="{910A5D59-2ABA-43F1-94D8-D1DD7A64A479}"/>
    <dataValidation type="list" showInputMessage="1" showErrorMessage="1" sqref="B28" xr:uid="{31A54A17-87F6-4927-B252-06925F4996B4}">
      <formula1>"Yes, No"</formula1>
    </dataValidation>
    <dataValidation type="custom" showInputMessage="1" showErrorMessage="1" error="Data Entry only required if &quot;Yes&quot; selected above." sqref="C24:C28" xr:uid="{B00C0332-7272-4F6B-AE4E-6565D37BDEBD}">
      <formula1>#REF!="Yes"</formula1>
    </dataValidation>
    <dataValidation showInputMessage="1" showErrorMessage="1" error="Data Entry only required if &quot;Yes&quot; selected above." sqref="C29" xr:uid="{CE78B1C8-99C1-3D4B-A89D-5DD2F7C9646F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FB68-41F8-4581-968B-4F381D9B06AD}">
  <sheetPr codeName="Sheet6">
    <tabColor rgb="FF00B050"/>
  </sheetPr>
  <dimension ref="B1:G27"/>
  <sheetViews>
    <sheetView showGridLines="0" zoomScale="79" zoomScaleNormal="79" workbookViewId="0">
      <selection activeCell="A15" sqref="A15"/>
    </sheetView>
  </sheetViews>
  <sheetFormatPr baseColWidth="10" defaultColWidth="8.83203125" defaultRowHeight="15"/>
  <cols>
    <col min="2" max="2" width="25.83203125" bestFit="1" customWidth="1"/>
    <col min="3" max="3" width="42.1640625" customWidth="1"/>
    <col min="4" max="4" width="18.5" customWidth="1"/>
    <col min="5" max="5" width="58.1640625" customWidth="1"/>
    <col min="6" max="6" width="21.1640625" customWidth="1"/>
    <col min="7" max="7" width="18.5" customWidth="1"/>
  </cols>
  <sheetData>
    <row r="1" spans="2:7" ht="26">
      <c r="B1" s="58" t="s">
        <v>1360</v>
      </c>
    </row>
    <row r="3" spans="2:7" ht="44">
      <c r="B3" s="55" t="s">
        <v>1410</v>
      </c>
      <c r="C3" s="55" t="s">
        <v>1365</v>
      </c>
      <c r="D3" s="55" t="s">
        <v>1372</v>
      </c>
      <c r="E3" s="55" t="s">
        <v>1483</v>
      </c>
      <c r="F3" s="55" t="s">
        <v>1336</v>
      </c>
      <c r="G3" s="55" t="s">
        <v>1359</v>
      </c>
    </row>
    <row r="4" spans="2:7" ht="19">
      <c r="B4" s="275"/>
      <c r="C4" s="112"/>
      <c r="D4" s="112"/>
      <c r="E4" s="112"/>
      <c r="F4" s="57" t="str">
        <f>IF(ISBLANK(C4),"",VLOOKUP($C4,'New Parts'!D37:E54,2,FALSE))</f>
        <v/>
      </c>
      <c r="G4" s="56" t="str">
        <f t="shared" ref="G4:G22" si="0">IFERROR(F4*D4,"")</f>
        <v/>
      </c>
    </row>
    <row r="5" spans="2:7" ht="19">
      <c r="B5" s="276"/>
      <c r="C5" s="112"/>
      <c r="D5" s="112"/>
      <c r="E5" s="112"/>
      <c r="F5" s="57" t="str">
        <f>IF(ISBLANK(C5),"",VLOOKUP($C5,'New Parts'!D37:E54,2,FALSE))</f>
        <v/>
      </c>
      <c r="G5" s="56" t="str">
        <f t="shared" si="0"/>
        <v/>
      </c>
    </row>
    <row r="6" spans="2:7" ht="19">
      <c r="B6" s="276"/>
      <c r="C6" s="112"/>
      <c r="D6" s="112"/>
      <c r="E6" s="112"/>
      <c r="F6" s="57" t="str">
        <f>IF(ISBLANK(C6),"",VLOOKUP($C6,'New Parts'!D37:E54,2,FALSE))</f>
        <v/>
      </c>
      <c r="G6" s="56" t="str">
        <f t="shared" si="0"/>
        <v/>
      </c>
    </row>
    <row r="7" spans="2:7" ht="19">
      <c r="B7" s="276"/>
      <c r="C7" s="112"/>
      <c r="D7" s="112"/>
      <c r="E7" s="112"/>
      <c r="F7" s="57" t="str">
        <f>IF(ISBLANK(C7),"",VLOOKUP($C7,'New Parts'!D37:E54,2,FALSE))</f>
        <v/>
      </c>
      <c r="G7" s="56" t="str">
        <f t="shared" si="0"/>
        <v/>
      </c>
    </row>
    <row r="8" spans="2:7" ht="19">
      <c r="B8" s="276"/>
      <c r="C8" s="112"/>
      <c r="D8" s="112"/>
      <c r="E8" s="112"/>
      <c r="F8" s="57" t="str">
        <f>IF(ISBLANK(C8),"",VLOOKUP($C8,'New Parts'!D37:E54,2,FALSE))</f>
        <v/>
      </c>
      <c r="G8" s="56" t="str">
        <f t="shared" si="0"/>
        <v/>
      </c>
    </row>
    <row r="9" spans="2:7" ht="19">
      <c r="B9" s="276"/>
      <c r="C9" s="112"/>
      <c r="D9" s="112"/>
      <c r="E9" s="112"/>
      <c r="F9" s="57" t="str">
        <f>IF(ISBLANK(C9),"",VLOOKUP($C9,'New Parts'!D37:E54,2,FALSE))</f>
        <v/>
      </c>
      <c r="G9" s="56" t="str">
        <f t="shared" si="0"/>
        <v/>
      </c>
    </row>
    <row r="10" spans="2:7" ht="19">
      <c r="B10" s="276"/>
      <c r="C10" s="112"/>
      <c r="D10" s="112"/>
      <c r="E10" s="112"/>
      <c r="F10" s="57" t="str">
        <f>IF(ISBLANK(C10),"",VLOOKUP($C10,'New Parts'!D37:E54,2,FALSE))</f>
        <v/>
      </c>
      <c r="G10" s="56" t="str">
        <f t="shared" si="0"/>
        <v/>
      </c>
    </row>
    <row r="11" spans="2:7" ht="19">
      <c r="B11" s="276"/>
      <c r="C11" s="112"/>
      <c r="D11" s="112"/>
      <c r="E11" s="112"/>
      <c r="F11" s="57" t="str">
        <f>IF(ISBLANK(C11),"",VLOOKUP($C11,'New Parts'!D37:E54,2,FALSE))</f>
        <v/>
      </c>
      <c r="G11" s="56" t="str">
        <f t="shared" si="0"/>
        <v/>
      </c>
    </row>
    <row r="12" spans="2:7" ht="19">
      <c r="B12" s="276"/>
      <c r="C12" s="112"/>
      <c r="D12" s="112"/>
      <c r="E12" s="112"/>
      <c r="F12" s="57" t="str">
        <f>IF(ISBLANK(C12),"",VLOOKUP($C12,'New Parts'!D37:E54,2,FALSE))</f>
        <v/>
      </c>
      <c r="G12" s="56" t="str">
        <f t="shared" si="0"/>
        <v/>
      </c>
    </row>
    <row r="13" spans="2:7" ht="19">
      <c r="B13" s="276"/>
      <c r="C13" s="112"/>
      <c r="D13" s="112"/>
      <c r="E13" s="112"/>
      <c r="F13" s="57" t="str">
        <f>IF(ISBLANK(C13),"",VLOOKUP($C13,'New Parts'!D37:E54,2,FALSE))</f>
        <v/>
      </c>
      <c r="G13" s="56" t="str">
        <f t="shared" si="0"/>
        <v/>
      </c>
    </row>
    <row r="14" spans="2:7" ht="19">
      <c r="B14" s="276"/>
      <c r="C14" s="112"/>
      <c r="D14" s="112"/>
      <c r="E14" s="112"/>
      <c r="F14" s="57" t="str">
        <f>IF(ISBLANK(C14),"",VLOOKUP($C14,'New Parts'!D37:E54,2,FALSE))</f>
        <v/>
      </c>
      <c r="G14" s="56" t="str">
        <f t="shared" si="0"/>
        <v/>
      </c>
    </row>
    <row r="15" spans="2:7" ht="19">
      <c r="B15" s="276"/>
      <c r="C15" s="112"/>
      <c r="D15" s="112"/>
      <c r="E15" s="112"/>
      <c r="F15" s="57" t="str">
        <f>IF(ISBLANK(C15),"",VLOOKUP($C15,'New Parts'!D37:E54,2,FALSE))</f>
        <v/>
      </c>
      <c r="G15" s="56" t="str">
        <f t="shared" si="0"/>
        <v/>
      </c>
    </row>
    <row r="16" spans="2:7" ht="19">
      <c r="B16" s="276"/>
      <c r="C16" s="112"/>
      <c r="D16" s="112"/>
      <c r="E16" s="112"/>
      <c r="F16" s="57" t="str">
        <f>IF(ISBLANK(C16),"",VLOOKUP($C16,'New Parts'!D37:E54,2,FALSE))</f>
        <v/>
      </c>
      <c r="G16" s="56" t="str">
        <f t="shared" si="0"/>
        <v/>
      </c>
    </row>
    <row r="17" spans="2:7" ht="19">
      <c r="B17" s="276"/>
      <c r="C17" s="112"/>
      <c r="D17" s="112"/>
      <c r="E17" s="112"/>
      <c r="F17" s="57" t="str">
        <f>IF(ISBLANK(C17),"",VLOOKUP($C17,'New Parts'!D37:E54,2,FALSE))</f>
        <v/>
      </c>
      <c r="G17" s="56" t="str">
        <f t="shared" si="0"/>
        <v/>
      </c>
    </row>
    <row r="18" spans="2:7" ht="19">
      <c r="B18" s="276"/>
      <c r="C18" s="112"/>
      <c r="D18" s="112"/>
      <c r="E18" s="112"/>
      <c r="F18" s="57" t="str">
        <f>IF(ISBLANK(C18),"",VLOOKUP($C18,'New Parts'!D37:E54,2,FALSE))</f>
        <v/>
      </c>
      <c r="G18" s="56" t="str">
        <f t="shared" si="0"/>
        <v/>
      </c>
    </row>
    <row r="19" spans="2:7" ht="19">
      <c r="B19" s="276"/>
      <c r="C19" s="112"/>
      <c r="D19" s="112"/>
      <c r="E19" s="112"/>
      <c r="F19" s="57" t="str">
        <f>IF(ISBLANK(C19),"",VLOOKUP($C19,'New Parts'!D37:E54,2,FALSE))</f>
        <v/>
      </c>
      <c r="G19" s="56" t="str">
        <f t="shared" si="0"/>
        <v/>
      </c>
    </row>
    <row r="20" spans="2:7" ht="19">
      <c r="B20" s="276"/>
      <c r="C20" s="112"/>
      <c r="D20" s="112"/>
      <c r="E20" s="112"/>
      <c r="F20" s="57" t="str">
        <f>IF(ISBLANK(C20),"",VLOOKUP($C20,'New Parts'!D37:E54,2,FALSE))</f>
        <v/>
      </c>
      <c r="G20" s="56" t="str">
        <f t="shared" si="0"/>
        <v/>
      </c>
    </row>
    <row r="21" spans="2:7" ht="19">
      <c r="B21" s="276"/>
      <c r="C21" s="112"/>
      <c r="D21" s="112"/>
      <c r="E21" s="112"/>
      <c r="F21" s="57" t="str">
        <f>IF(ISBLANK(C21),"",VLOOKUP($C21,'New Parts'!D37:E54,2,FALSE))</f>
        <v/>
      </c>
      <c r="G21" s="56" t="str">
        <f t="shared" si="0"/>
        <v/>
      </c>
    </row>
    <row r="22" spans="2:7" ht="19">
      <c r="B22" s="277"/>
      <c r="C22" s="112"/>
      <c r="D22" s="112"/>
      <c r="E22" s="112"/>
      <c r="F22" s="57" t="str">
        <f>IF(ISBLANK(C22),"",VLOOKUP($C22,'New Parts'!D37:E54,2,FALSE))</f>
        <v/>
      </c>
      <c r="G22" s="56" t="str">
        <f t="shared" si="0"/>
        <v/>
      </c>
    </row>
    <row r="23" spans="2:7" ht="19">
      <c r="B23" s="278" t="s">
        <v>1275</v>
      </c>
      <c r="C23" s="279"/>
      <c r="D23" s="110">
        <f>SUM(D4:D22)</f>
        <v>0</v>
      </c>
      <c r="E23" s="191"/>
      <c r="F23" s="73"/>
      <c r="G23" s="110">
        <f>SUM(G4:G22)</f>
        <v>0</v>
      </c>
    </row>
    <row r="24" spans="2:7" ht="20">
      <c r="B24" s="218" t="s">
        <v>1502</v>
      </c>
    </row>
    <row r="25" spans="2:7" ht="16">
      <c r="B25" s="220" t="s">
        <v>1501</v>
      </c>
      <c r="C25" s="221"/>
    </row>
    <row r="26" spans="2:7" s="219" customFormat="1" ht="16">
      <c r="B26" s="220"/>
      <c r="C26" s="220"/>
    </row>
    <row r="27" spans="2:7" s="219" customFormat="1"/>
  </sheetData>
  <sheetProtection algorithmName="SHA-512" hashValue="U3vfNivaOQeEZS/EEMVFMo5msxmccM4+I+XuOk5IV30CaD7BC9McF2cU9LyfsNNuotsJMtT4XE3dVZKaZcGe6Q==" saltValue="kwhUUzV9ON/UkABJv8ueKg==" spinCount="100000" sheet="1" objects="1" scenarios="1"/>
  <mergeCells count="2">
    <mergeCell ref="B4:B22"/>
    <mergeCell ref="B23:C2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8BC0C9-1610-5945-BA1B-75D7F1778DB3}">
          <x14:formula1>
            <xm:f>'New Parts'!$D$37:$D$54</xm:f>
          </x14:formula1>
          <xm:sqref>C4:C22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0A24-9CA8-4147-A4D4-C70A3B9FD87A}">
  <sheetPr codeName="Sheet3">
    <tabColor rgb="FF00B050"/>
  </sheetPr>
  <dimension ref="A1:K15"/>
  <sheetViews>
    <sheetView workbookViewId="0">
      <selection activeCell="A15" sqref="A15"/>
    </sheetView>
  </sheetViews>
  <sheetFormatPr baseColWidth="10" defaultColWidth="8.83203125" defaultRowHeight="15"/>
  <cols>
    <col min="1" max="1" width="24.6640625" customWidth="1"/>
    <col min="2" max="2" width="20" customWidth="1"/>
    <col min="3" max="3" width="18.1640625" customWidth="1"/>
    <col min="4" max="4" width="17.83203125" customWidth="1"/>
    <col min="5" max="5" width="14.5" customWidth="1"/>
    <col min="6" max="6" width="17" customWidth="1"/>
    <col min="7" max="7" width="13.1640625" customWidth="1"/>
    <col min="8" max="8" width="26.1640625" customWidth="1"/>
    <col min="9" max="9" width="10.83203125" customWidth="1"/>
  </cols>
  <sheetData>
    <row r="1" spans="1:11">
      <c r="A1" s="280" t="s">
        <v>1412</v>
      </c>
      <c r="B1" s="280"/>
    </row>
    <row r="2" spans="1:11">
      <c r="A2" t="s">
        <v>1413</v>
      </c>
    </row>
    <row r="3" spans="1:11">
      <c r="A3" s="281" t="s">
        <v>1441</v>
      </c>
      <c r="B3" s="281"/>
      <c r="C3" s="281"/>
      <c r="D3" s="281"/>
    </row>
    <row r="4" spans="1:11">
      <c r="A4" t="s">
        <v>1415</v>
      </c>
    </row>
    <row r="5" spans="1:11" ht="16" thickBot="1"/>
    <row r="6" spans="1:11" ht="46.75" customHeight="1" thickBot="1">
      <c r="A6" s="282" t="s">
        <v>1418</v>
      </c>
      <c r="B6" s="283"/>
      <c r="C6" s="283"/>
      <c r="D6" s="283"/>
      <c r="E6" s="284"/>
      <c r="F6" s="126"/>
      <c r="G6" s="126"/>
      <c r="H6" s="127" t="s">
        <v>1425</v>
      </c>
      <c r="I6" s="126"/>
    </row>
    <row r="7" spans="1:11" ht="47.25" customHeight="1" thickBot="1">
      <c r="A7" s="123" t="s">
        <v>1421</v>
      </c>
      <c r="B7" s="123" t="s">
        <v>1521</v>
      </c>
      <c r="C7" s="123" t="s">
        <v>1442</v>
      </c>
      <c r="D7" s="124" t="s">
        <v>1423</v>
      </c>
      <c r="E7" s="151" t="s">
        <v>1424</v>
      </c>
      <c r="F7" s="74"/>
      <c r="G7" s="74"/>
      <c r="H7" s="132" t="s">
        <v>1426</v>
      </c>
    </row>
    <row r="8" spans="1:11">
      <c r="A8" s="128"/>
      <c r="B8" s="129">
        <v>82</v>
      </c>
      <c r="C8" s="130">
        <f>A8*B8*12</f>
        <v>0</v>
      </c>
      <c r="D8" s="152">
        <v>0</v>
      </c>
      <c r="E8" s="129">
        <f>C8*(1-D8)</f>
        <v>0</v>
      </c>
      <c r="F8" s="133"/>
      <c r="G8" s="133"/>
      <c r="H8" s="133"/>
    </row>
    <row r="9" spans="1:11">
      <c r="I9" s="133"/>
      <c r="J9" s="133"/>
      <c r="K9" s="133"/>
    </row>
    <row r="10" spans="1:11">
      <c r="D10" s="66" t="s">
        <v>1427</v>
      </c>
      <c r="E10" s="134">
        <f>E8</f>
        <v>0</v>
      </c>
      <c r="F10" s="133"/>
      <c r="G10" s="133"/>
      <c r="H10" s="133"/>
    </row>
    <row r="11" spans="1:11">
      <c r="D11" s="66" t="s">
        <v>1428</v>
      </c>
      <c r="E11" s="134">
        <f>E10</f>
        <v>0</v>
      </c>
      <c r="F11" s="133"/>
      <c r="G11" s="133"/>
      <c r="H11" s="133"/>
    </row>
    <row r="12" spans="1:11" ht="16" thickBot="1">
      <c r="D12" s="66" t="s">
        <v>1429</v>
      </c>
      <c r="E12" s="134">
        <f>E11</f>
        <v>0</v>
      </c>
      <c r="F12" s="133"/>
      <c r="G12" s="133"/>
      <c r="H12" s="133"/>
    </row>
    <row r="13" spans="1:11" ht="16.75" customHeight="1" thickBot="1">
      <c r="D13" s="66" t="s">
        <v>1430</v>
      </c>
      <c r="E13" s="135">
        <f>E12</f>
        <v>0</v>
      </c>
      <c r="F13" s="136" t="s">
        <v>1431</v>
      </c>
      <c r="G13" s="139"/>
      <c r="H13" s="133"/>
    </row>
    <row r="14" spans="1:11" ht="16" thickBot="1">
      <c r="D14" s="137" t="s">
        <v>1432</v>
      </c>
      <c r="E14" s="153">
        <f>E8+E10+E11</f>
        <v>0</v>
      </c>
      <c r="F14" s="138">
        <f>E14*0.57</f>
        <v>0</v>
      </c>
      <c r="G14" s="141"/>
      <c r="H14" s="140">
        <f>SUM(H8:H11)</f>
        <v>0</v>
      </c>
    </row>
    <row r="15" spans="1:11" ht="16" thickBot="1">
      <c r="D15" s="137" t="s">
        <v>1433</v>
      </c>
      <c r="E15" s="154">
        <f>E14+E12+E13</f>
        <v>0</v>
      </c>
      <c r="F15" s="138">
        <f>E15*0.44</f>
        <v>0</v>
      </c>
      <c r="G15" s="141"/>
      <c r="H15" s="140">
        <f>H14+H12+H13</f>
        <v>0</v>
      </c>
    </row>
  </sheetData>
  <mergeCells count="3">
    <mergeCell ref="A1:B1"/>
    <mergeCell ref="A3:D3"/>
    <mergeCell ref="A6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01F9-1AC8-49FE-BB43-069D32B5159B}">
  <sheetPr codeName="Sheet5">
    <tabColor rgb="FF002060"/>
  </sheetPr>
  <dimension ref="A1:H51"/>
  <sheetViews>
    <sheetView showGridLines="0" zoomScale="55" zoomScaleNormal="55" workbookViewId="0">
      <selection activeCell="A15" sqref="A15"/>
    </sheetView>
  </sheetViews>
  <sheetFormatPr baseColWidth="10" defaultColWidth="8.83203125" defaultRowHeight="13"/>
  <cols>
    <col min="1" max="1" width="6.1640625" style="27" customWidth="1"/>
    <col min="2" max="2" width="70.33203125" style="27" customWidth="1"/>
    <col min="3" max="3" width="39.5" style="27" customWidth="1"/>
    <col min="4" max="4" width="22.6640625" style="27" customWidth="1"/>
    <col min="5" max="5" width="21.33203125" style="27" customWidth="1"/>
    <col min="6" max="6" width="106.83203125" style="27" customWidth="1"/>
    <col min="7" max="7" width="32.1640625" style="27" customWidth="1"/>
    <col min="8" max="8" width="17.1640625" style="27" customWidth="1"/>
    <col min="9" max="16384" width="8.83203125" style="27"/>
  </cols>
  <sheetData>
    <row r="1" spans="1:8">
      <c r="A1" s="39"/>
    </row>
    <row r="2" spans="1:8" ht="25" customHeight="1" thickBot="1">
      <c r="B2" s="293" t="s">
        <v>1402</v>
      </c>
      <c r="C2" s="293"/>
      <c r="D2" s="293"/>
      <c r="E2" s="293"/>
      <c r="F2" s="293"/>
      <c r="G2" s="293"/>
      <c r="H2" s="293"/>
    </row>
    <row r="3" spans="1:8" ht="20">
      <c r="A3" s="27" t="s">
        <v>1316</v>
      </c>
      <c r="B3" s="294" t="s">
        <v>1317</v>
      </c>
      <c r="C3" s="294"/>
      <c r="D3" s="294"/>
      <c r="E3" s="294"/>
      <c r="F3" s="294"/>
      <c r="G3" s="294"/>
      <c r="H3" s="294"/>
    </row>
    <row r="4" spans="1:8" ht="20">
      <c r="B4" s="75"/>
      <c r="C4" s="76"/>
      <c r="D4" s="76"/>
      <c r="E4" s="75"/>
      <c r="F4" s="75"/>
      <c r="G4" s="75"/>
      <c r="H4" s="75"/>
    </row>
    <row r="5" spans="1:8" ht="20">
      <c r="B5" s="289" t="s">
        <v>1298</v>
      </c>
      <c r="C5" s="289"/>
      <c r="D5" s="77"/>
      <c r="E5" s="78"/>
      <c r="F5" s="78"/>
      <c r="G5" s="78"/>
      <c r="H5" s="78"/>
    </row>
    <row r="6" spans="1:8" ht="20">
      <c r="B6" s="79"/>
      <c r="C6" s="79"/>
      <c r="D6" s="79"/>
      <c r="E6" s="80"/>
      <c r="F6" s="80"/>
      <c r="G6" s="80"/>
      <c r="H6" s="80"/>
    </row>
    <row r="7" spans="1:8" ht="21">
      <c r="B7" s="81" t="s">
        <v>1395</v>
      </c>
      <c r="C7" s="82"/>
      <c r="D7" s="83"/>
      <c r="E7" s="80"/>
      <c r="F7" s="80"/>
      <c r="G7" s="80"/>
      <c r="H7" s="80"/>
    </row>
    <row r="8" spans="1:8" ht="21">
      <c r="B8" s="81" t="s">
        <v>1396</v>
      </c>
      <c r="C8" s="115"/>
      <c r="D8" s="85"/>
      <c r="E8" s="80"/>
      <c r="F8" s="80"/>
      <c r="G8" s="80"/>
      <c r="H8" s="80"/>
    </row>
    <row r="9" spans="1:8" ht="20">
      <c r="B9" s="86"/>
      <c r="C9" s="79"/>
      <c r="D9" s="79"/>
      <c r="E9" s="80"/>
      <c r="F9" s="80"/>
      <c r="G9" s="80"/>
      <c r="H9" s="80"/>
    </row>
    <row r="10" spans="1:8" ht="20">
      <c r="B10" s="289" t="s">
        <v>1299</v>
      </c>
      <c r="C10" s="289"/>
      <c r="D10" s="77"/>
      <c r="E10" s="78"/>
      <c r="F10" s="78"/>
      <c r="G10" s="78"/>
      <c r="H10" s="78"/>
    </row>
    <row r="11" spans="1:8" ht="20">
      <c r="B11" s="79"/>
      <c r="C11" s="83"/>
      <c r="D11" s="83"/>
      <c r="E11" s="80"/>
      <c r="F11" s="80"/>
      <c r="G11" s="80"/>
      <c r="H11" s="80"/>
    </row>
    <row r="12" spans="1:8" ht="21">
      <c r="B12" s="81" t="s">
        <v>1397</v>
      </c>
      <c r="C12" s="82"/>
      <c r="D12" s="83"/>
      <c r="E12" s="80"/>
      <c r="F12" s="80"/>
      <c r="G12" s="80"/>
      <c r="H12" s="80"/>
    </row>
    <row r="13" spans="1:8" ht="21">
      <c r="B13" s="81" t="s">
        <v>1398</v>
      </c>
      <c r="C13" s="84"/>
      <c r="D13" s="79"/>
      <c r="E13" s="87" t="s">
        <v>1300</v>
      </c>
      <c r="F13" s="80"/>
      <c r="G13" s="80"/>
      <c r="H13" s="80"/>
    </row>
    <row r="14" spans="1:8" ht="20">
      <c r="B14" s="86"/>
      <c r="C14" s="79"/>
      <c r="D14" s="79"/>
      <c r="E14" s="80"/>
      <c r="F14" s="80"/>
      <c r="G14" s="80"/>
      <c r="H14" s="80"/>
    </row>
    <row r="15" spans="1:8" ht="20">
      <c r="B15" s="289" t="s">
        <v>1301</v>
      </c>
      <c r="C15" s="289"/>
      <c r="D15" s="77"/>
      <c r="E15" s="88"/>
      <c r="F15" s="88"/>
      <c r="G15" s="88"/>
      <c r="H15" s="88"/>
    </row>
    <row r="16" spans="1:8" ht="20">
      <c r="B16" s="79"/>
      <c r="C16" s="83"/>
      <c r="D16" s="83"/>
      <c r="E16" s="80"/>
      <c r="F16" s="80"/>
      <c r="G16" s="80"/>
      <c r="H16" s="80"/>
    </row>
    <row r="17" spans="2:8" ht="21">
      <c r="B17" s="81" t="s">
        <v>1399</v>
      </c>
      <c r="C17" s="82"/>
      <c r="D17" s="79"/>
      <c r="E17" s="80"/>
      <c r="F17" s="89"/>
      <c r="G17" s="80"/>
      <c r="H17" s="80"/>
    </row>
    <row r="18" spans="2:8" ht="21">
      <c r="B18" s="81" t="s">
        <v>1400</v>
      </c>
      <c r="C18" s="82"/>
      <c r="D18" s="79"/>
      <c r="E18" s="80"/>
      <c r="F18" s="89"/>
      <c r="G18" s="80"/>
      <c r="H18" s="80"/>
    </row>
    <row r="19" spans="2:8" ht="21">
      <c r="B19" s="81" t="s">
        <v>1401</v>
      </c>
      <c r="C19" s="82"/>
      <c r="D19" s="79"/>
      <c r="E19" s="291" t="s">
        <v>1302</v>
      </c>
      <c r="F19" s="292"/>
      <c r="G19" s="90"/>
      <c r="H19" s="80"/>
    </row>
    <row r="20" spans="2:8" ht="63">
      <c r="B20" s="81" t="s">
        <v>1373</v>
      </c>
      <c r="C20" s="82"/>
      <c r="D20" s="79"/>
      <c r="E20" s="291" t="s">
        <v>1394</v>
      </c>
      <c r="F20" s="292"/>
      <c r="G20" s="90"/>
      <c r="H20" s="80"/>
    </row>
    <row r="21" spans="2:8" ht="42">
      <c r="B21" s="81" t="s">
        <v>1374</v>
      </c>
      <c r="C21" s="82"/>
      <c r="D21" s="79"/>
      <c r="E21" s="244" t="s">
        <v>1533</v>
      </c>
      <c r="F21" s="242"/>
      <c r="G21" s="243"/>
      <c r="H21" s="80"/>
    </row>
    <row r="22" spans="2:8" ht="81" customHeight="1">
      <c r="B22" s="81" t="s">
        <v>1304</v>
      </c>
      <c r="C22" s="82"/>
      <c r="D22" s="79"/>
      <c r="E22" s="290" t="s">
        <v>1534</v>
      </c>
      <c r="F22" s="290"/>
      <c r="G22" s="91"/>
      <c r="H22" s="80"/>
    </row>
    <row r="23" spans="2:8" ht="21">
      <c r="B23" s="81" t="s">
        <v>1305</v>
      </c>
      <c r="C23" s="82" t="s">
        <v>1306</v>
      </c>
      <c r="D23" s="79"/>
      <c r="E23" s="86"/>
      <c r="F23" s="86"/>
      <c r="G23" s="91"/>
      <c r="H23" s="80"/>
    </row>
    <row r="24" spans="2:8" ht="21">
      <c r="B24" s="81" t="s">
        <v>1307</v>
      </c>
      <c r="C24" s="82"/>
      <c r="D24" s="79"/>
      <c r="E24" s="285" t="s">
        <v>1318</v>
      </c>
      <c r="F24" s="286"/>
      <c r="G24" s="92"/>
      <c r="H24" s="80"/>
    </row>
    <row r="25" spans="2:8" ht="20">
      <c r="B25" s="86"/>
      <c r="C25" s="86"/>
      <c r="D25" s="79"/>
      <c r="E25" s="285" t="s">
        <v>1375</v>
      </c>
      <c r="F25" s="286"/>
      <c r="G25" s="90"/>
      <c r="H25" s="80"/>
    </row>
    <row r="26" spans="2:8" ht="20">
      <c r="B26" s="289" t="s">
        <v>1308</v>
      </c>
      <c r="C26" s="289"/>
      <c r="D26" s="86"/>
      <c r="E26" s="287" t="s">
        <v>1319</v>
      </c>
      <c r="F26" s="288"/>
      <c r="G26" s="90"/>
      <c r="H26" s="80"/>
    </row>
    <row r="27" spans="2:8" ht="20">
      <c r="B27" s="79"/>
      <c r="C27" s="83"/>
      <c r="D27" s="77"/>
      <c r="E27" s="80"/>
      <c r="F27" s="93"/>
      <c r="G27" s="93"/>
      <c r="H27" s="88"/>
    </row>
    <row r="28" spans="2:8" ht="63">
      <c r="B28" s="81" t="s">
        <v>1320</v>
      </c>
      <c r="C28" s="82"/>
      <c r="D28" s="83"/>
      <c r="E28" s="88"/>
      <c r="F28" s="88"/>
      <c r="G28" s="88"/>
      <c r="H28" s="80"/>
    </row>
    <row r="29" spans="2:8" ht="21">
      <c r="B29" s="95" t="s">
        <v>1309</v>
      </c>
      <c r="C29" s="82" t="s">
        <v>1306</v>
      </c>
      <c r="D29" s="79"/>
      <c r="E29" s="80"/>
      <c r="F29" s="80"/>
      <c r="G29" s="80"/>
      <c r="H29" s="80"/>
    </row>
    <row r="30" spans="2:8" ht="63">
      <c r="B30" s="96" t="s">
        <v>1322</v>
      </c>
      <c r="C30" s="97"/>
      <c r="D30" s="79"/>
      <c r="E30" s="80"/>
      <c r="F30" s="94" t="s">
        <v>1321</v>
      </c>
      <c r="G30" s="90"/>
      <c r="H30" s="80"/>
    </row>
    <row r="31" spans="2:8" ht="42">
      <c r="B31" s="95" t="s">
        <v>1323</v>
      </c>
      <c r="C31" s="82"/>
      <c r="D31" s="97"/>
      <c r="E31" s="80"/>
      <c r="F31" s="94" t="s">
        <v>1310</v>
      </c>
      <c r="G31" s="90"/>
      <c r="H31" s="80"/>
    </row>
    <row r="32" spans="2:8" ht="63">
      <c r="B32" s="95" t="s">
        <v>1376</v>
      </c>
      <c r="C32" s="99"/>
      <c r="D32" s="97"/>
      <c r="E32" s="98"/>
      <c r="F32" s="94" t="s">
        <v>1311</v>
      </c>
      <c r="G32" s="90"/>
      <c r="H32" s="80"/>
    </row>
    <row r="33" spans="2:8" ht="21">
      <c r="B33" s="81" t="s">
        <v>1324</v>
      </c>
      <c r="C33" s="82"/>
      <c r="D33" s="97"/>
      <c r="E33" s="98"/>
      <c r="F33" s="94" t="s">
        <v>1312</v>
      </c>
      <c r="G33" s="82" t="s">
        <v>1306</v>
      </c>
      <c r="H33" s="80"/>
    </row>
    <row r="34" spans="2:8" ht="63">
      <c r="B34" s="81" t="s">
        <v>1325</v>
      </c>
      <c r="C34" s="82"/>
      <c r="D34" s="97"/>
      <c r="E34" s="98"/>
      <c r="F34" s="94" t="s">
        <v>1313</v>
      </c>
      <c r="G34" s="82" t="s">
        <v>1306</v>
      </c>
      <c r="H34" s="80"/>
    </row>
    <row r="35" spans="2:8" ht="42">
      <c r="B35" s="100" t="s">
        <v>1326</v>
      </c>
      <c r="C35" s="101"/>
      <c r="D35" s="97"/>
      <c r="E35" s="97"/>
      <c r="F35" s="95" t="s">
        <v>1314</v>
      </c>
      <c r="G35" s="90"/>
      <c r="H35" s="98"/>
    </row>
    <row r="36" spans="2:8" ht="42">
      <c r="B36" s="79"/>
      <c r="C36" s="101"/>
      <c r="D36" s="97"/>
      <c r="E36" s="97"/>
      <c r="F36" s="95" t="s">
        <v>1315</v>
      </c>
      <c r="G36" s="90"/>
      <c r="H36" s="98"/>
    </row>
    <row r="37" spans="2:8" ht="42">
      <c r="B37" s="79"/>
      <c r="C37" s="101"/>
      <c r="D37" s="97"/>
      <c r="E37" s="101"/>
      <c r="F37" s="95" t="s">
        <v>1327</v>
      </c>
      <c r="G37" s="92"/>
      <c r="H37" s="98"/>
    </row>
    <row r="38" spans="2:8" ht="42">
      <c r="B38" s="79"/>
      <c r="C38" s="79"/>
      <c r="D38" s="97"/>
      <c r="E38" s="97"/>
      <c r="F38" s="95" t="s">
        <v>1377</v>
      </c>
      <c r="G38" s="92"/>
      <c r="H38" s="98"/>
    </row>
    <row r="39" spans="2:8" ht="42">
      <c r="B39" s="79"/>
      <c r="C39" s="79"/>
      <c r="D39" s="97"/>
      <c r="E39" s="101"/>
      <c r="F39" s="109" t="s">
        <v>1378</v>
      </c>
      <c r="G39" s="98"/>
      <c r="H39" s="98"/>
    </row>
    <row r="40" spans="2:8" ht="20">
      <c r="B40" s="79"/>
      <c r="C40" s="79"/>
      <c r="D40" s="97"/>
      <c r="E40" s="93"/>
      <c r="F40" s="102"/>
      <c r="G40" s="98"/>
      <c r="H40" s="98"/>
    </row>
    <row r="41" spans="2:8" ht="42">
      <c r="B41" s="95" t="s">
        <v>1328</v>
      </c>
      <c r="C41" s="103"/>
      <c r="D41" s="97"/>
      <c r="E41" s="93"/>
      <c r="F41" s="102"/>
      <c r="G41" s="98"/>
      <c r="H41" s="98"/>
    </row>
    <row r="42" spans="2:8" s="40" customFormat="1" ht="21">
      <c r="B42" s="95" t="s">
        <v>1329</v>
      </c>
      <c r="C42" s="82" t="s">
        <v>1306</v>
      </c>
      <c r="D42" s="104"/>
      <c r="E42" s="93"/>
      <c r="F42" s="102"/>
      <c r="G42" s="98"/>
      <c r="H42" s="107"/>
    </row>
    <row r="43" spans="2:8" s="40" customFormat="1" ht="21">
      <c r="B43" s="95" t="s">
        <v>1330</v>
      </c>
      <c r="C43" s="103"/>
      <c r="D43" s="104" t="s">
        <v>1411</v>
      </c>
      <c r="E43" s="105"/>
      <c r="F43" s="106"/>
      <c r="G43" s="107"/>
      <c r="H43" s="107"/>
    </row>
    <row r="44" spans="2:8" s="40" customFormat="1" ht="21">
      <c r="B44" s="95" t="s">
        <v>1331</v>
      </c>
      <c r="C44" s="108"/>
      <c r="D44" s="104"/>
      <c r="E44" s="105"/>
      <c r="F44" s="106"/>
      <c r="G44" s="107"/>
      <c r="H44" s="107"/>
    </row>
    <row r="45" spans="2:8" s="40" customFormat="1" ht="42">
      <c r="B45" s="95" t="s">
        <v>1332</v>
      </c>
      <c r="C45" s="103"/>
      <c r="D45" s="104"/>
      <c r="E45" s="105"/>
      <c r="F45" s="106"/>
      <c r="G45" s="107"/>
      <c r="H45" s="107"/>
    </row>
    <row r="46" spans="2:8" s="40" customFormat="1" ht="63">
      <c r="B46" s="95" t="s">
        <v>1333</v>
      </c>
      <c r="C46" s="103"/>
      <c r="D46" s="104"/>
      <c r="E46" s="105"/>
      <c r="F46" s="106"/>
      <c r="G46" s="107"/>
      <c r="H46" s="107"/>
    </row>
    <row r="47" spans="2:8" s="40" customFormat="1" ht="20">
      <c r="B47" s="101"/>
      <c r="C47" s="101"/>
      <c r="D47" s="104"/>
      <c r="E47" s="105"/>
      <c r="F47" s="106"/>
      <c r="G47" s="107"/>
      <c r="H47" s="107"/>
    </row>
    <row r="48" spans="2:8" ht="20">
      <c r="B48" s="101"/>
      <c r="C48" s="101"/>
      <c r="D48" s="97"/>
      <c r="E48" s="105"/>
      <c r="F48" s="106"/>
      <c r="G48" s="107"/>
      <c r="H48" s="98"/>
    </row>
    <row r="49" spans="2:8" ht="20">
      <c r="B49" s="97"/>
      <c r="C49" s="97"/>
      <c r="D49" s="97"/>
      <c r="E49" s="93"/>
      <c r="F49" s="102"/>
      <c r="G49" s="98"/>
      <c r="H49" s="98"/>
    </row>
    <row r="50" spans="2:8" ht="20">
      <c r="B50" s="289" t="s">
        <v>1334</v>
      </c>
      <c r="C50" s="289"/>
      <c r="D50" s="77"/>
      <c r="E50" s="93"/>
      <c r="F50" s="102"/>
      <c r="G50" s="98"/>
      <c r="H50" s="78"/>
    </row>
    <row r="51" spans="2:8" ht="15" customHeight="1">
      <c r="B51" s="72"/>
      <c r="C51" s="72"/>
      <c r="D51" s="72"/>
      <c r="E51" s="78"/>
      <c r="F51" s="78"/>
      <c r="G51" s="78"/>
    </row>
  </sheetData>
  <mergeCells count="13">
    <mergeCell ref="E22:F22"/>
    <mergeCell ref="E20:F20"/>
    <mergeCell ref="B2:H2"/>
    <mergeCell ref="B5:C5"/>
    <mergeCell ref="B10:C10"/>
    <mergeCell ref="B15:C15"/>
    <mergeCell ref="E19:F19"/>
    <mergeCell ref="B3:H3"/>
    <mergeCell ref="E24:F24"/>
    <mergeCell ref="E25:F25"/>
    <mergeCell ref="E26:F26"/>
    <mergeCell ref="B26:C26"/>
    <mergeCell ref="B50:C50"/>
  </mergeCells>
  <conditionalFormatting sqref="G31 G35:G38">
    <cfRule type="expression" dxfId="3" priority="2">
      <formula>$G$30="STANDARD"</formula>
    </cfRule>
  </conditionalFormatting>
  <conditionalFormatting sqref="G32">
    <cfRule type="expression" dxfId="2" priority="1">
      <formula>$G$30="STANDARD"</formula>
    </cfRule>
  </conditionalFormatting>
  <dataValidations count="18">
    <dataValidation type="custom" showInputMessage="1" showErrorMessage="1" error="Data Entry only required if &quot;Yes&quot; selected above." sqref="D38:D49" xr:uid="{93FCED80-5059-4D58-89E3-75209DA81F2D}">
      <formula1>$C$33="Yes"</formula1>
    </dataValidation>
    <dataValidation type="custom" showInputMessage="1" showErrorMessage="1" sqref="D36" xr:uid="{9249FB67-4D75-44F2-9D33-80ECF94A1AD4}">
      <formula1>$C$31="No"</formula1>
    </dataValidation>
    <dataValidation type="list" allowBlank="1" showInputMessage="1" showErrorMessage="1" sqref="G36" xr:uid="{48D33E5C-EE7E-40D8-B3EF-983DEBB43E12}">
      <formula1>"Amendment,Termination,Expiring"</formula1>
    </dataValidation>
    <dataValidation type="list" allowBlank="1" showInputMessage="1" showErrorMessage="1" error="Data Entry only required if &quot;Yes&quot; selected above." sqref="G37" xr:uid="{1461EA1B-9A3E-4F73-B57F-FC229CF90D34}">
      <formula1>"Yes, No"</formula1>
    </dataValidation>
    <dataValidation type="list" allowBlank="1" showInputMessage="1" showErrorMessage="1" sqref="G31" xr:uid="{29FEC1EE-66BF-4BAE-90AF-FF7F10AC34F4}">
      <formula1>"Yes, No,N/A"</formula1>
    </dataValidation>
    <dataValidation type="list" allowBlank="1" showInputMessage="1" showErrorMessage="1" sqref="G30" xr:uid="{B2C4F45C-79B2-4889-8C86-4F53891C0B93}">
      <formula1>"STANDARD,ELA,ELA w/UEL Catalogue or ACEL,ISLO,ESSO,OIO,IULA,Saphire,PSP,ESA"</formula1>
    </dataValidation>
    <dataValidation operator="greaterThan" allowBlank="1" showInputMessage="1" showErrorMessage="1" errorTitle="Enter correct format" error="Please enter the date in format &quot;MM/DD/YYYY&quot;." sqref="C34 C46 C41 C43 D30:D34 C30:C31" xr:uid="{BB578236-383D-4A9F-8965-905AADCE284E}"/>
    <dataValidation type="list" allowBlank="1" showInputMessage="1" showErrorMessage="1" sqref="C20:D21 D37 C31 D35 C33:C34 G37 C41 D29 C43 C28 C46" xr:uid="{9B34F4AE-E39B-4995-9563-812A6A7D1F2F}">
      <formula1>"Yes, No"</formula1>
    </dataValidation>
    <dataValidation type="custom" allowBlank="1" showInputMessage="1" showErrorMessage="1" sqref="C7:D7 C12 D17:D18 C17" xr:uid="{757BB0AC-4D31-4B76-AB45-439440EC4082}">
      <formula1>ISTEXT(C7)</formula1>
    </dataValidation>
    <dataValidation type="list" allowBlank="1" showInputMessage="1" showErrorMessage="1" errorTitle="Error" error="Please select an entry from the drop-down list." sqref="D25" xr:uid="{0A8B8462-DE7A-49B0-BC19-E9177CCB3E1C}">
      <formula1>Currency</formula1>
    </dataValidation>
    <dataValidation type="list" allowBlank="1" showInputMessage="1" showErrorMessage="1" errorTitle="Error" error="Please select an entry from the drop-down list." sqref="C24:D24" xr:uid="{B234BEF2-473E-4FB6-BCC2-0D8A42E35829}">
      <formula1>rsvp</formula1>
    </dataValidation>
    <dataValidation type="list" allowBlank="1" showInputMessage="1" showErrorMessage="1" errorTitle="Error" error="Please select an entry from the drop-down list." sqref="G19:G21" xr:uid="{0A1B0235-EC23-44C3-9F5C-B78600C2DE19}">
      <formula1>"Direct, Channel"</formula1>
    </dataValidation>
    <dataValidation type="custom" allowBlank="1" showInputMessage="1" showErrorMessage="1" errorTitle="Error" error="Please check the Requester Email Address." sqref="C8:D8 C13:D13" xr:uid="{1D19BA92-A16C-4467-A87A-58A89E7E859C}">
      <formula1>ISNUMBER(MATCH("*@*.*",C8,0))</formula1>
    </dataValidation>
    <dataValidation type="list" showInputMessage="1" showErrorMessage="1" sqref="G24" xr:uid="{526FB951-7DC5-4AEC-99F0-33A1352BFC8B}">
      <formula1>"Yes, No, Unknown"</formula1>
    </dataValidation>
    <dataValidation type="list" allowBlank="1" showInputMessage="1" showErrorMessage="1" sqref="G25:G26" xr:uid="{DA8B62D2-ED39-4E01-BD52-B99BD50B23EA}">
      <formula1>"Yes, No, Unknown"</formula1>
    </dataValidation>
    <dataValidation type="list" operator="greaterThan" allowBlank="1" showInputMessage="1" showErrorMessage="1" errorTitle="Enter correct format" error="Please enter the date in format &quot;MM/DD/YYYY&quot;." sqref="G26" xr:uid="{C11475BB-BE2B-402C-B2E2-B312F96F6872}">
      <formula1>"Yes, No, Unknown"</formula1>
    </dataValidation>
    <dataValidation showInputMessage="1" showErrorMessage="1" sqref="C32" xr:uid="{FE7E16DD-3376-B944-AF31-DFCBB4B2E3E9}"/>
    <dataValidation type="list" showInputMessage="1" showErrorMessage="1" sqref="C44" xr:uid="{F53495FE-11B3-8540-BB5A-9D78333D9425}">
      <formula1>"Yes, No"</formula1>
    </dataValidation>
  </dataValidations>
  <hyperlinks>
    <hyperlink ref="E13" r:id="rId1" xr:uid="{945DF252-F98A-4640-B239-FFCDD48D7777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D049-4502-914C-8019-E9F66AF7F7F0}">
  <sheetPr codeName="Sheet7">
    <tabColor rgb="FF002060"/>
  </sheetPr>
  <dimension ref="B2:H36"/>
  <sheetViews>
    <sheetView showGridLines="0" zoomScale="59" zoomScaleNormal="59" workbookViewId="0">
      <selection activeCell="D42" sqref="D42"/>
    </sheetView>
  </sheetViews>
  <sheetFormatPr baseColWidth="10" defaultColWidth="8.83203125" defaultRowHeight="15"/>
  <cols>
    <col min="2" max="2" width="25.83203125" bestFit="1" customWidth="1"/>
    <col min="3" max="3" width="18.5" customWidth="1"/>
    <col min="4" max="4" width="159.33203125" customWidth="1"/>
    <col min="5" max="5" width="15.6640625" customWidth="1"/>
    <col min="6" max="6" width="28.33203125" customWidth="1"/>
    <col min="7" max="7" width="16.33203125" customWidth="1"/>
    <col min="8" max="8" width="18.5" customWidth="1"/>
  </cols>
  <sheetData>
    <row r="2" spans="2:8" ht="26">
      <c r="B2" s="58" t="s">
        <v>1277</v>
      </c>
    </row>
    <row r="4" spans="2:8" ht="111.5" customHeight="1">
      <c r="B4" s="54" t="s">
        <v>1276</v>
      </c>
      <c r="C4" s="54" t="s">
        <v>1271</v>
      </c>
      <c r="D4" s="54" t="s">
        <v>1335</v>
      </c>
      <c r="E4" s="54" t="s">
        <v>1272</v>
      </c>
      <c r="F4" s="54" t="s">
        <v>1520</v>
      </c>
      <c r="G4" s="54" t="s">
        <v>1273</v>
      </c>
      <c r="H4" s="54" t="s">
        <v>1274</v>
      </c>
    </row>
    <row r="5" spans="2:8" ht="20" thickBot="1">
      <c r="B5" s="295" t="s">
        <v>1409</v>
      </c>
      <c r="C5" s="264"/>
      <c r="D5" s="117" t="str">
        <f>IF(ISBLANK(C5),"",(VLOOKUP($C5,'Upgrade Parts Future_K_v6.4'!$H$3:$M$528,2,FALSE)))</f>
        <v/>
      </c>
      <c r="E5" s="189"/>
      <c r="F5" s="118" t="str">
        <f>IF(ISBLANK(E5), "",
           IF(AND(VLOOKUP(C5,'Upgrade Parts Future_K_v6.0'!$H$3:$K$528,4,FALSE)="Resource Value Unit", E5 &lt; 10), 1,
            IF(VLOOKUP(C5,'Upgrade Parts Future_K_v6.0'!$H$3:$K$528,4,FALSE)="Resource Value Unit", E5/10, E5
        )
    )
)</f>
        <v/>
      </c>
      <c r="G5" s="56" t="str">
        <f>IF(ISBLANK(E5),"",(VLOOKUP($C5,'Upgrade Parts Future_K_v6.4'!$H$3:$M$528,5,FALSE)))</f>
        <v/>
      </c>
      <c r="H5" s="57" t="str">
        <f t="shared" ref="H5:H35" si="0">IF(ISBLANK(E5),"",ROUNDUP((F5*G5),0))</f>
        <v/>
      </c>
    </row>
    <row r="6" spans="2:8" ht="20" thickBot="1">
      <c r="B6" s="296"/>
      <c r="C6" s="245"/>
      <c r="D6" s="117" t="str">
        <f>IF(ISBLANK(C6),"",(VLOOKUP($C6,'Upgrade Parts Future_K_v6.4'!$H$3:$M$528,2,FALSE)))</f>
        <v/>
      </c>
      <c r="E6" s="188"/>
      <c r="F6" s="118" t="str">
        <f>IF(ISBLANK(E6), "",
           IF(AND(VLOOKUP(C6,'Upgrade Parts Future_K_v6.0'!$H$3:$K$528,4,FALSE)="Resource Value Unit", E6 &lt; 10), 1,
            IF(VLOOKUP(C6,'Upgrade Parts Future_K_v6.0'!$H$3:$K$528,4,FALSE)="Resource Value Unit", E6/10, E6
        )
    )
)</f>
        <v/>
      </c>
      <c r="G6" s="56" t="str">
        <f>IF(ISBLANK(E6),"",(VLOOKUP($C6,'Upgrade Parts Future_K_v6.4'!$H$3:$M$528,5,FALSE)))</f>
        <v/>
      </c>
      <c r="H6" s="57" t="str">
        <f t="shared" si="0"/>
        <v/>
      </c>
    </row>
    <row r="7" spans="2:8" ht="20" thickBot="1">
      <c r="B7" s="296"/>
      <c r="C7" s="245"/>
      <c r="D7" s="117" t="str">
        <f>IF(ISBLANK(C7),"",(VLOOKUP($C7,'Upgrade Parts Future_K_v6.4'!$H$3:$M$528,2,FALSE)))</f>
        <v/>
      </c>
      <c r="E7" s="188"/>
      <c r="F7" s="118" t="str">
        <f>IF(ISBLANK(E7), "",
           IF(AND(VLOOKUP(C7,'Upgrade Parts Future_K_v6.0'!$H$3:$K$528,4,FALSE)="Resource Value Unit", E7 &lt; 10), 1,
            IF(VLOOKUP(C7,'Upgrade Parts Future_K_v6.0'!$H$3:$K$528,4,FALSE)="Resource Value Unit", E7/10, E7
        )
    )
)</f>
        <v/>
      </c>
      <c r="G7" s="56" t="str">
        <f>IF(ISBLANK(E7),"",(VLOOKUP($C7,'Upgrade Parts Future_K_v6.4'!$H$3:$M$528,5,FALSE)))</f>
        <v/>
      </c>
      <c r="H7" s="57" t="str">
        <f t="shared" si="0"/>
        <v/>
      </c>
    </row>
    <row r="8" spans="2:8" ht="20" thickBot="1">
      <c r="B8" s="276"/>
      <c r="C8" s="245"/>
      <c r="D8" s="117" t="str">
        <f>IF(ISBLANK(C8),"",(VLOOKUP($C8,'Upgrade Parts Future_K_v6.4'!$H$3:$M$528,2,FALSE)))</f>
        <v/>
      </c>
      <c r="E8" s="188"/>
      <c r="F8" s="118" t="str">
        <f>IF(ISBLANK(E8), "",
           IF(AND(VLOOKUP(C8,'Upgrade Parts Future_K_v6.0'!$H$3:$K$528,4,FALSE)="Resource Value Unit", E8 &lt; 10), 1,
            IF(VLOOKUP(C8,'Upgrade Parts Future_K_v6.0'!$H$3:$K$528,4,FALSE)="Resource Value Unit", E8/10, E8
        )
    )
)</f>
        <v/>
      </c>
      <c r="G8" s="56" t="str">
        <f>IF(ISBLANK(E8),"",(VLOOKUP($C8,'Upgrade Parts Future_K_v6.4'!$H$3:$M$528,5,FALSE)))</f>
        <v/>
      </c>
      <c r="H8" s="57" t="str">
        <f t="shared" si="0"/>
        <v/>
      </c>
    </row>
    <row r="9" spans="2:8" ht="20" thickBot="1">
      <c r="B9" s="276"/>
      <c r="C9" s="245"/>
      <c r="D9" s="117" t="str">
        <f>IF(ISBLANK(C9),"",(VLOOKUP($C9,'Upgrade Parts Future_K_v6.4'!$H$3:$M$528,2,FALSE)))</f>
        <v/>
      </c>
      <c r="E9" s="188"/>
      <c r="F9" s="118" t="str">
        <f>IF(ISBLANK(E9), "",
           IF(AND(VLOOKUP(C9,'Upgrade Parts Future_K_v6.0'!$H$3:$K$528,4,FALSE)="Resource Value Unit", E9 &lt; 10), 1,
            IF(VLOOKUP(C9,'Upgrade Parts Future_K_v6.0'!$H$3:$K$528,4,FALSE)="Resource Value Unit", E9/10, E9
        )
    )
)</f>
        <v/>
      </c>
      <c r="G9" s="56" t="str">
        <f>IF(ISBLANK(E9),"",(VLOOKUP($C9,'Upgrade Parts Future_K_v6.4'!$H$3:$M$528,5,FALSE)))</f>
        <v/>
      </c>
      <c r="H9" s="57" t="str">
        <f t="shared" si="0"/>
        <v/>
      </c>
    </row>
    <row r="10" spans="2:8" ht="20" thickBot="1">
      <c r="B10" s="276"/>
      <c r="C10" s="245"/>
      <c r="D10" s="117" t="str">
        <f>IF(ISBLANK(C10),"",(VLOOKUP($C10,'Upgrade Parts Future_K_v6.4'!$H$3:$M$528,2,FALSE)))</f>
        <v/>
      </c>
      <c r="E10" s="188"/>
      <c r="F10" s="118" t="str">
        <f>IF(ISBLANK(E10), "",
           IF(AND(VLOOKUP(C10,'Upgrade Parts Future_K_v6.0'!$H$3:$K$528,4,FALSE)="Resource Value Unit", E10 &lt; 10), 1,
            IF(VLOOKUP(C10,'Upgrade Parts Future_K_v6.0'!$H$3:$K$528,4,FALSE)="Resource Value Unit", E10/10, E10
        )
    )
)</f>
        <v/>
      </c>
      <c r="G10" s="56" t="str">
        <f>IF(ISBLANK(E10),"",(VLOOKUP($C10,'Upgrade Parts Future_K_v6.4'!$H$3:$M$528,5,FALSE)))</f>
        <v/>
      </c>
      <c r="H10" s="57" t="str">
        <f t="shared" si="0"/>
        <v/>
      </c>
    </row>
    <row r="11" spans="2:8" ht="20" thickBot="1">
      <c r="B11" s="276"/>
      <c r="C11" s="245"/>
      <c r="D11" s="117" t="str">
        <f>IF(ISBLANK(C11),"",(VLOOKUP($C11,'Upgrade Parts Future_K_v6.4'!$H$3:$M$528,2,FALSE)))</f>
        <v/>
      </c>
      <c r="E11" s="188"/>
      <c r="F11" s="118" t="str">
        <f>IF(ISBLANK(E11), "",
           IF(AND(VLOOKUP(C11,'Upgrade Parts Future_K_v6.0'!$H$3:$K$528,4,FALSE)="Resource Value Unit", E11 &lt; 10), 1,
            IF(VLOOKUP(C11,'Upgrade Parts Future_K_v6.0'!$H$3:$K$528,4,FALSE)="Resource Value Unit", E11/10, E11
        )
    )
)</f>
        <v/>
      </c>
      <c r="G11" s="56" t="str">
        <f>IF(ISBLANK(E11),"",(VLOOKUP($C11,'Upgrade Parts Future_K_v6.4'!$H$3:$M$528,5,FALSE)))</f>
        <v/>
      </c>
      <c r="H11" s="57" t="str">
        <f t="shared" si="0"/>
        <v/>
      </c>
    </row>
    <row r="12" spans="2:8" ht="20" thickBot="1">
      <c r="B12" s="276"/>
      <c r="C12" s="245"/>
      <c r="D12" s="117" t="str">
        <f>IF(ISBLANK(C12),"",(VLOOKUP($C12,'Upgrade Parts Future_K_v6.4'!$H$3:$M$528,2,FALSE)))</f>
        <v/>
      </c>
      <c r="E12" s="188"/>
      <c r="F12" s="118" t="str">
        <f>IF(ISBLANK(E12), "",
           IF(AND(VLOOKUP(C12,'Upgrade Parts Future_K_v6.0'!$H$3:$K$528,4,FALSE)="Resource Value Unit", E12 &lt; 10), 1,
            IF(VLOOKUP(C12,'Upgrade Parts Future_K_v6.0'!$H$3:$K$528,4,FALSE)="Resource Value Unit", E12/10, E12
        )
    )
)</f>
        <v/>
      </c>
      <c r="G12" s="56" t="str">
        <f>IF(ISBLANK(E12),"",(VLOOKUP($C12,'Upgrade Parts Future_K_v6.4'!$H$3:$M$528,5,FALSE)))</f>
        <v/>
      </c>
      <c r="H12" s="57" t="str">
        <f t="shared" si="0"/>
        <v/>
      </c>
    </row>
    <row r="13" spans="2:8" ht="20" thickBot="1">
      <c r="B13" s="276"/>
      <c r="C13" s="245"/>
      <c r="D13" s="117" t="str">
        <f>IF(ISBLANK(C13),"",(VLOOKUP($C13,'Upgrade Parts Future_K_v6.4'!$H$3:$M$528,2,FALSE)))</f>
        <v/>
      </c>
      <c r="E13" s="188"/>
      <c r="F13" s="118" t="str">
        <f>IF(ISBLANK(E13), "",
           IF(AND(VLOOKUP(C13,'Upgrade Parts Future_K_v6.0'!$H$3:$K$528,4,FALSE)="Resource Value Unit", E13 &lt; 10), 1,
            IF(VLOOKUP(C13,'Upgrade Parts Future_K_v6.0'!$H$3:$K$528,4,FALSE)="Resource Value Unit", E13/10, E13
        )
    )
)</f>
        <v/>
      </c>
      <c r="G13" s="56" t="str">
        <f>IF(ISBLANK(E13),"",(VLOOKUP($C13,'Upgrade Parts Future_K_v6.4'!$H$3:$M$528,5,FALSE)))</f>
        <v/>
      </c>
      <c r="H13" s="57" t="str">
        <f t="shared" si="0"/>
        <v/>
      </c>
    </row>
    <row r="14" spans="2:8" ht="20" thickBot="1">
      <c r="B14" s="276"/>
      <c r="C14" s="245"/>
      <c r="D14" s="117" t="str">
        <f>IF(ISBLANK(C14),"",(VLOOKUP($C14,'Upgrade Parts Future_K_v6.4'!$H$3:$M$528,2,FALSE)))</f>
        <v/>
      </c>
      <c r="E14" s="188"/>
      <c r="F14" s="118" t="str">
        <f>IF(ISBLANK(E14), "",
           IF(AND(VLOOKUP(C14,'Upgrade Parts Future_K_v6.0'!$H$3:$K$528,4,FALSE)="Resource Value Unit", E14 &lt; 10), 1,
            IF(VLOOKUP(C14,'Upgrade Parts Future_K_v6.0'!$H$3:$K$528,4,FALSE)="Resource Value Unit", E14/10, E14
        )
    )
)</f>
        <v/>
      </c>
      <c r="G14" s="56" t="str">
        <f>IF(ISBLANK(E14),"",(VLOOKUP($C14,'Upgrade Parts Future_K_v6.4'!$H$3:$M$528,5,FALSE)))</f>
        <v/>
      </c>
      <c r="H14" s="57" t="str">
        <f t="shared" si="0"/>
        <v/>
      </c>
    </row>
    <row r="15" spans="2:8" ht="20" thickBot="1">
      <c r="B15" s="276"/>
      <c r="C15" s="245"/>
      <c r="D15" s="117" t="str">
        <f>IF(ISBLANK(C15),"",(VLOOKUP($C15,'Upgrade Parts Future_K_v6.4'!$H$3:$M$528,2,FALSE)))</f>
        <v/>
      </c>
      <c r="E15" s="119"/>
      <c r="F15" s="118" t="str">
        <f>IF(ISBLANK(E15), "",
           IF(AND(VLOOKUP(C15,'Upgrade Parts Future_K_v6.0'!$H$3:$K$528,4,FALSE)="Resource Value Unit", E15 &lt; 10), 1,
            IF(VLOOKUP(C15,'Upgrade Parts Future_K_v6.0'!$H$3:$K$528,4,FALSE)="Resource Value Unit", E15/10, E15
        )
    )
)</f>
        <v/>
      </c>
      <c r="G15" s="56" t="str">
        <f>IF(ISBLANK(E15),"",(VLOOKUP($C15,'Upgrade Parts Future_K_v6.4'!$H$3:$M$528,5,FALSE)))</f>
        <v/>
      </c>
      <c r="H15" s="57" t="str">
        <f t="shared" si="0"/>
        <v/>
      </c>
    </row>
    <row r="16" spans="2:8" ht="20" thickBot="1">
      <c r="B16" s="276"/>
      <c r="C16" s="245"/>
      <c r="D16" s="117" t="str">
        <f>IF(ISBLANK(C16),"",(VLOOKUP($C16,'Upgrade Parts Future_K_v6.4'!$H$3:$M$528,2,FALSE)))</f>
        <v/>
      </c>
      <c r="E16" s="119"/>
      <c r="F16" s="118" t="str">
        <f>IF(ISBLANK(E16), "",
           IF(AND(VLOOKUP(C16,'Upgrade Parts Future_K_v6.0'!$H$3:$K$528,4,FALSE)="Resource Value Unit", E16 &lt; 10), 1,
            IF(VLOOKUP(C16,'Upgrade Parts Future_K_v6.0'!$H$3:$K$528,4,FALSE)="Resource Value Unit", E16/10, E16
        )
    )
)</f>
        <v/>
      </c>
      <c r="G16" s="56" t="str">
        <f>IF(ISBLANK(E16),"",(VLOOKUP($C16,'Upgrade Parts Future_K_v6.4'!$H$3:$M$528,5,FALSE)))</f>
        <v/>
      </c>
      <c r="H16" s="57" t="str">
        <f t="shared" si="0"/>
        <v/>
      </c>
    </row>
    <row r="17" spans="2:8" ht="20" thickBot="1">
      <c r="B17" s="276"/>
      <c r="C17" s="245"/>
      <c r="D17" s="117" t="str">
        <f>IF(ISBLANK(C17),"",(VLOOKUP($C17,'Upgrade Parts Future_K_v6.4'!$H$3:$M$528,2,FALSE)))</f>
        <v/>
      </c>
      <c r="E17" s="119"/>
      <c r="F17" s="118" t="str">
        <f>IF(ISBLANK(E17), "",
           IF(AND(VLOOKUP(C17,'Upgrade Parts Future_K_v6.0'!$H$3:$K$528,4,FALSE)="Resource Value Unit", E17 &lt; 10), 1,
            IF(VLOOKUP(C17,'Upgrade Parts Future_K_v6.0'!$H$3:$K$528,4,FALSE)="Resource Value Unit", E17/10, E17
        )
    )
)</f>
        <v/>
      </c>
      <c r="G17" s="56" t="str">
        <f>IF(ISBLANK(E17),"",(VLOOKUP($C17,'Upgrade Parts Future_K_v6.4'!$H$3:$M$528,5,FALSE)))</f>
        <v/>
      </c>
      <c r="H17" s="57" t="str">
        <f t="shared" si="0"/>
        <v/>
      </c>
    </row>
    <row r="18" spans="2:8" ht="20" thickBot="1">
      <c r="B18" s="276"/>
      <c r="C18" s="245"/>
      <c r="D18" s="117" t="str">
        <f>IF(ISBLANK(C18),"",(VLOOKUP($C18,'Upgrade Parts Future_K_v6.4'!$H$3:$M$528,2,FALSE)))</f>
        <v/>
      </c>
      <c r="E18" s="119"/>
      <c r="F18" s="118" t="str">
        <f>IF(ISBLANK(E18), "",
           IF(AND(VLOOKUP(C18,'Upgrade Parts Future_K_v6.0'!$H$3:$K$528,4,FALSE)="Resource Value Unit", E18 &lt; 10), 1,
            IF(VLOOKUP(C18,'Upgrade Parts Future_K_v6.0'!$H$3:$K$528,4,FALSE)="Resource Value Unit", E18/10, E18
        )
    )
)</f>
        <v/>
      </c>
      <c r="G18" s="56" t="str">
        <f>IF(ISBLANK(E18),"",(VLOOKUP($C18,'Upgrade Parts Future_K_v6.4'!$H$3:$M$528,5,FALSE)))</f>
        <v/>
      </c>
      <c r="H18" s="57" t="str">
        <f t="shared" si="0"/>
        <v/>
      </c>
    </row>
    <row r="19" spans="2:8" ht="20" thickBot="1">
      <c r="B19" s="276"/>
      <c r="C19" s="245"/>
      <c r="D19" s="117" t="str">
        <f>IF(ISBLANK(C19),"",(VLOOKUP($C19,'Upgrade Parts Future_K_v6.4'!$H$3:$M$528,2,FALSE)))</f>
        <v/>
      </c>
      <c r="E19" s="119"/>
      <c r="F19" s="118" t="str">
        <f>IF(ISBLANK(E19), "",
           IF(AND(VLOOKUP(C19,'Upgrade Parts Future_K_v6.0'!$H$3:$K$528,4,FALSE)="Resource Value Unit", E19 &lt; 10), 1,
            IF(VLOOKUP(C19,'Upgrade Parts Future_K_v6.0'!$H$3:$K$528,4,FALSE)="Resource Value Unit", E19/10, E19
        )
    )
)</f>
        <v/>
      </c>
      <c r="G19" s="56" t="str">
        <f>IF(ISBLANK(E19),"",(VLOOKUP($C19,'Upgrade Parts Future_K_v6.4'!$H$3:$M$528,5,FALSE)))</f>
        <v/>
      </c>
      <c r="H19" s="57" t="str">
        <f t="shared" si="0"/>
        <v/>
      </c>
    </row>
    <row r="20" spans="2:8" ht="20" thickBot="1">
      <c r="B20" s="276"/>
      <c r="C20" s="245"/>
      <c r="D20" s="117" t="str">
        <f>IF(ISBLANK(C20),"",(VLOOKUP($C20,'Upgrade Parts Future_K_v6.4'!$H$3:$M$528,2,FALSE)))</f>
        <v/>
      </c>
      <c r="E20" s="119"/>
      <c r="F20" s="118" t="str">
        <f>IF(ISBLANK(E20), "",
           IF(AND(VLOOKUP(C20,'Upgrade Parts Future_K_v6.0'!$H$3:$K$528,4,FALSE)="Resource Value Unit", E20 &lt; 10), 1,
            IF(VLOOKUP(C20,'Upgrade Parts Future_K_v6.0'!$H$3:$K$528,4,FALSE)="Resource Value Unit", E20/10, E20
        )
    )
)</f>
        <v/>
      </c>
      <c r="G20" s="56" t="str">
        <f>IF(ISBLANK(E20),"",(VLOOKUP($C20,'Upgrade Parts Future_K_v6.4'!$H$3:$M$528,5,FALSE)))</f>
        <v/>
      </c>
      <c r="H20" s="57" t="str">
        <f t="shared" si="0"/>
        <v/>
      </c>
    </row>
    <row r="21" spans="2:8" ht="20" thickBot="1">
      <c r="B21" s="276"/>
      <c r="C21" s="245"/>
      <c r="D21" s="117" t="str">
        <f>IF(ISBLANK(C21),"",(VLOOKUP($C21,'Upgrade Parts Future_K_v6.4'!$H$3:$M$528,2,FALSE)))</f>
        <v/>
      </c>
      <c r="E21" s="119"/>
      <c r="F21" s="118" t="str">
        <f>IF(ISBLANK(E21), "",
           IF(AND(VLOOKUP(C21,'Upgrade Parts Future_K_v6.0'!$H$3:$K$528,4,FALSE)="Resource Value Unit", E21 &lt; 10), 1,
            IF(VLOOKUP(C21,'Upgrade Parts Future_K_v6.0'!$H$3:$K$528,4,FALSE)="Resource Value Unit", E21/10, E21
        )
    )
)</f>
        <v/>
      </c>
      <c r="G21" s="56" t="str">
        <f>IF(ISBLANK(E21),"",(VLOOKUP($C21,'Upgrade Parts Future_K_v6.4'!$H$3:$M$528,5,FALSE)))</f>
        <v/>
      </c>
      <c r="H21" s="57" t="str">
        <f t="shared" si="0"/>
        <v/>
      </c>
    </row>
    <row r="22" spans="2:8" ht="20" thickBot="1">
      <c r="B22" s="276"/>
      <c r="C22" s="245"/>
      <c r="D22" s="117" t="str">
        <f>IF(ISBLANK(C22),"",(VLOOKUP($C22,'Upgrade Parts Future_K_v6.4'!$H$3:$M$528,2,FALSE)))</f>
        <v/>
      </c>
      <c r="E22" s="119"/>
      <c r="F22" s="118" t="str">
        <f>IF(ISBLANK(E22), "",
           IF(AND(VLOOKUP(C22,'Upgrade Parts Future_K_v6.0'!$H$3:$K$528,4,FALSE)="Resource Value Unit", E22 &lt; 10), 1,
            IF(VLOOKUP(C22,'Upgrade Parts Future_K_v6.0'!$H$3:$K$528,4,FALSE)="Resource Value Unit", E22/10, E22
        )
    )
)</f>
        <v/>
      </c>
      <c r="G22" s="56" t="str">
        <f>IF(ISBLANK(E22),"",(VLOOKUP($C22,'Upgrade Parts Future_K_v6.4'!$H$3:$M$528,5,FALSE)))</f>
        <v/>
      </c>
      <c r="H22" s="57" t="str">
        <f t="shared" si="0"/>
        <v/>
      </c>
    </row>
    <row r="23" spans="2:8" ht="20" thickBot="1">
      <c r="B23" s="276"/>
      <c r="C23" s="245"/>
      <c r="D23" s="117" t="str">
        <f>IF(ISBLANK(C23),"",(VLOOKUP($C23,'Upgrade Parts Future_K_v6.4'!$H$3:$M$528,2,FALSE)))</f>
        <v/>
      </c>
      <c r="E23" s="119"/>
      <c r="F23" s="118" t="str">
        <f>IF(ISBLANK(E23), "",
           IF(AND(VLOOKUP(C23,'Upgrade Parts Future_K_v6.0'!$H$3:$K$528,4,FALSE)="Resource Value Unit", E23 &lt; 10), 1,
            IF(VLOOKUP(C23,'Upgrade Parts Future_K_v6.0'!$H$3:$K$528,4,FALSE)="Resource Value Unit", E23/10, E23
        )
    )
)</f>
        <v/>
      </c>
      <c r="G23" s="56" t="str">
        <f>IF(ISBLANK(E23),"",(VLOOKUP($C23,'Upgrade Parts Future_K_v6.4'!$H$3:$M$528,5,FALSE)))</f>
        <v/>
      </c>
      <c r="H23" s="57" t="str">
        <f t="shared" si="0"/>
        <v/>
      </c>
    </row>
    <row r="24" spans="2:8" ht="20" thickBot="1">
      <c r="B24" s="276"/>
      <c r="C24" s="245"/>
      <c r="D24" s="117" t="str">
        <f>IF(ISBLANK(C24),"",(VLOOKUP($C24,'Upgrade Parts Future_K_v6.4'!$H$3:$M$528,2,FALSE)))</f>
        <v/>
      </c>
      <c r="E24" s="119"/>
      <c r="F24" s="118" t="str">
        <f>IF(ISBLANK(E24), "",
           IF(AND(VLOOKUP(C24,'Upgrade Parts Future_K_v6.0'!$H$3:$K$528,4,FALSE)="Resource Value Unit", E24 &lt; 10), 1,
            IF(VLOOKUP(C24,'Upgrade Parts Future_K_v6.0'!$H$3:$K$528,4,FALSE)="Resource Value Unit", E24/10, E24
        )
    )
)</f>
        <v/>
      </c>
      <c r="G24" s="56" t="str">
        <f>IF(ISBLANK(E24),"",(VLOOKUP($C24,'Upgrade Parts Future_K_v6.4'!$H$3:$M$528,5,FALSE)))</f>
        <v/>
      </c>
      <c r="H24" s="57" t="str">
        <f t="shared" si="0"/>
        <v/>
      </c>
    </row>
    <row r="25" spans="2:8" ht="20" thickBot="1">
      <c r="B25" s="276"/>
      <c r="C25" s="245"/>
      <c r="D25" s="117" t="str">
        <f>IF(ISBLANK(C25),"",(VLOOKUP($C25,'Upgrade Parts Future_K_v6.4'!$H$3:$M$528,2,FALSE)))</f>
        <v/>
      </c>
      <c r="E25" s="119"/>
      <c r="F25" s="118" t="str">
        <f>IF(ISBLANK(E25), "",
           IF(AND(VLOOKUP(C25,'Upgrade Parts Future_K_v6.0'!$H$3:$K$528,4,FALSE)="Resource Value Unit", E25 &lt; 10), 1,
            IF(VLOOKUP(C25,'Upgrade Parts Future_K_v6.0'!$H$3:$K$528,4,FALSE)="Resource Value Unit", E25/10, E25
        )
    )
)</f>
        <v/>
      </c>
      <c r="G25" s="56" t="str">
        <f>IF(ISBLANK(E25),"",(VLOOKUP($C25,'Upgrade Parts Future_K_v6.4'!$H$3:$M$528,5,FALSE)))</f>
        <v/>
      </c>
      <c r="H25" s="57" t="str">
        <f t="shared" si="0"/>
        <v/>
      </c>
    </row>
    <row r="26" spans="2:8" ht="20" thickBot="1">
      <c r="B26" s="276"/>
      <c r="C26" s="245"/>
      <c r="D26" s="117" t="str">
        <f>IF(ISBLANK(C26),"",(VLOOKUP($C26,'Upgrade Parts Future_K_v6.4'!$H$3:$M$528,2,FALSE)))</f>
        <v/>
      </c>
      <c r="E26" s="119"/>
      <c r="F26" s="118" t="str">
        <f>IF(ISBLANK(E26), "",
           IF(AND(VLOOKUP(C26,'Upgrade Parts Future_K_v6.0'!$H$3:$K$528,4,FALSE)="Resource Value Unit", E26 &lt; 10), 1,
            IF(VLOOKUP(C26,'Upgrade Parts Future_K_v6.0'!$H$3:$K$528,4,FALSE)="Resource Value Unit", E26/10, E26
        )
    )
)</f>
        <v/>
      </c>
      <c r="G26" s="56" t="str">
        <f>IF(ISBLANK(E26),"",(VLOOKUP($C26,'Upgrade Parts Future_K_v6.4'!$H$3:$M$528,5,FALSE)))</f>
        <v/>
      </c>
      <c r="H26" s="57" t="str">
        <f t="shared" si="0"/>
        <v/>
      </c>
    </row>
    <row r="27" spans="2:8" ht="20" thickBot="1">
      <c r="B27" s="276"/>
      <c r="C27" s="245"/>
      <c r="D27" s="117" t="str">
        <f>IF(ISBLANK(C27),"",(VLOOKUP($C27,'Upgrade Parts Future_K_v6.4'!$H$3:$M$528,2,FALSE)))</f>
        <v/>
      </c>
      <c r="E27" s="119"/>
      <c r="F27" s="118" t="str">
        <f>IF(ISBLANK(E27), "",
           IF(AND(VLOOKUP(C27,'Upgrade Parts Future_K_v6.0'!$H$3:$K$528,4,FALSE)="Resource Value Unit", E27 &lt; 10), 1,
            IF(VLOOKUP(C27,'Upgrade Parts Future_K_v6.0'!$H$3:$K$528,4,FALSE)="Resource Value Unit", E27/10, E27
        )
    )
)</f>
        <v/>
      </c>
      <c r="G27" s="56" t="str">
        <f>IF(ISBLANK(E27),"",(VLOOKUP($C27,'Upgrade Parts Future_K_v6.4'!$H$3:$M$528,5,FALSE)))</f>
        <v/>
      </c>
      <c r="H27" s="57" t="str">
        <f t="shared" si="0"/>
        <v/>
      </c>
    </row>
    <row r="28" spans="2:8" ht="20" thickBot="1">
      <c r="B28" s="276"/>
      <c r="C28" s="245"/>
      <c r="D28" s="117" t="str">
        <f>IF(ISBLANK(C28),"",(VLOOKUP($C28,'Upgrade Parts Future_K_v6.4'!$H$3:$M$528,2,FALSE)))</f>
        <v/>
      </c>
      <c r="E28" s="119"/>
      <c r="F28" s="118" t="str">
        <f>IF(ISBLANK(E28), "",
           IF(AND(VLOOKUP(C28,'Upgrade Parts Future_K_v6.0'!$H$3:$K$528,4,FALSE)="Resource Value Unit", E28 &lt; 10), 1,
            IF(VLOOKUP(C28,'Upgrade Parts Future_K_v6.0'!$H$3:$K$528,4,FALSE)="Resource Value Unit", E28/10, E28
        )
    )
)</f>
        <v/>
      </c>
      <c r="G28" s="56" t="str">
        <f>IF(ISBLANK(E28),"",(VLOOKUP($C28,'Upgrade Parts Future_K_v6.4'!$H$3:$M$528,5,FALSE)))</f>
        <v/>
      </c>
      <c r="H28" s="57" t="str">
        <f t="shared" si="0"/>
        <v/>
      </c>
    </row>
    <row r="29" spans="2:8" ht="20" thickBot="1">
      <c r="B29" s="276"/>
      <c r="C29" s="245"/>
      <c r="D29" s="117" t="str">
        <f>IF(ISBLANK(C29),"",(VLOOKUP($C29,'Upgrade Parts Future_K_v6.4'!$H$3:$M$528,2,FALSE)))</f>
        <v/>
      </c>
      <c r="E29" s="119"/>
      <c r="F29" s="118" t="str">
        <f>IF(ISBLANK(E29), "",
           IF(AND(VLOOKUP(C29,'Upgrade Parts Future_K_v6.0'!$H$3:$K$528,4,FALSE)="Resource Value Unit", E29 &lt; 10), 1,
            IF(VLOOKUP(C29,'Upgrade Parts Future_K_v6.0'!$H$3:$K$528,4,FALSE)="Resource Value Unit", E29/10, E29
        )
    )
)</f>
        <v/>
      </c>
      <c r="G29" s="56" t="str">
        <f>IF(ISBLANK(E29),"",(VLOOKUP($C29,'Upgrade Parts Future_K_v6.4'!$H$3:$M$528,5,FALSE)))</f>
        <v/>
      </c>
      <c r="H29" s="57" t="str">
        <f t="shared" si="0"/>
        <v/>
      </c>
    </row>
    <row r="30" spans="2:8" ht="20" thickBot="1">
      <c r="B30" s="276"/>
      <c r="C30" s="245"/>
      <c r="D30" s="117"/>
      <c r="E30" s="119"/>
      <c r="F30" s="118"/>
      <c r="G30" s="56"/>
      <c r="H30" s="57"/>
    </row>
    <row r="31" spans="2:8" ht="20" thickBot="1">
      <c r="B31" s="276"/>
      <c r="C31" s="245"/>
      <c r="D31" s="117"/>
      <c r="E31" s="119"/>
      <c r="F31" s="118"/>
      <c r="G31" s="56"/>
      <c r="H31" s="57"/>
    </row>
    <row r="32" spans="2:8" ht="20" thickBot="1">
      <c r="B32" s="276"/>
      <c r="C32" s="245"/>
      <c r="D32" s="117"/>
      <c r="E32" s="119"/>
      <c r="F32" s="118"/>
      <c r="G32" s="56"/>
      <c r="H32" s="57"/>
    </row>
    <row r="33" spans="2:8" ht="20" thickBot="1">
      <c r="B33" s="276"/>
      <c r="C33" s="245"/>
      <c r="D33" s="117"/>
      <c r="E33" s="119"/>
      <c r="F33" s="118"/>
      <c r="G33" s="56"/>
      <c r="H33" s="57"/>
    </row>
    <row r="34" spans="2:8" ht="20" thickBot="1">
      <c r="B34" s="276"/>
      <c r="C34" s="245"/>
      <c r="D34" s="117"/>
      <c r="E34" s="119"/>
      <c r="F34" s="118"/>
      <c r="G34" s="56"/>
      <c r="H34" s="57"/>
    </row>
    <row r="35" spans="2:8" ht="20" thickBot="1">
      <c r="B35" s="277"/>
      <c r="C35" s="245"/>
      <c r="D35" s="117" t="str">
        <f>IF(ISBLANK(C35),"",(VLOOKUP($C35,'Upgrade Parts Future_K_v6.4'!$H$3:$M$528,2,FALSE)))</f>
        <v/>
      </c>
      <c r="E35" s="119"/>
      <c r="F35" s="118" t="str">
        <f>IF(ISBLANK(E35), "",
           IF(AND(VLOOKUP(C35,'Upgrade Parts Future_K_v6.0'!$H$3:$K$528,4,FALSE)="Resource Value Unit", E35 &lt; 10), 1,
            IF(VLOOKUP(C35,'Upgrade Parts Future_K_v6.0'!$H$3:$K$528,4,FALSE)="Resource Value Unit", E35/10, E35
        )
    )
)</f>
        <v/>
      </c>
      <c r="G35" s="56" t="str">
        <f>IF(ISBLANK(E35),"",(VLOOKUP($C35,'Upgrade Parts Future_K_v6.4'!$H$3:$M$528,5,FALSE)))</f>
        <v/>
      </c>
      <c r="H35" s="57" t="str">
        <f t="shared" si="0"/>
        <v/>
      </c>
    </row>
    <row r="36" spans="2:8" ht="19">
      <c r="B36" s="278" t="s">
        <v>1275</v>
      </c>
      <c r="C36" s="297"/>
      <c r="D36" s="279"/>
      <c r="E36" s="110">
        <f>SUM(E5:E35)</f>
        <v>0</v>
      </c>
      <c r="F36" s="298"/>
      <c r="G36" s="299"/>
      <c r="H36" s="111">
        <f>MROUND(SUM(H5:H35),5)</f>
        <v>0</v>
      </c>
    </row>
  </sheetData>
  <sheetProtection algorithmName="SHA-512" hashValue="SzVbX1DOsUhqisQthp6fLwmgoaqfPP7mr2twL34KbzIKIxsjoWkVLERZa7ezap2XbfDqhwlSEvoE4F//AhbWFg==" saltValue="csR843zs2VkZ4ibXwkfVqg==" spinCount="100000" sheet="1" objects="1" scenarios="1"/>
  <mergeCells count="3">
    <mergeCell ref="B5:B35"/>
    <mergeCell ref="B36:D36"/>
    <mergeCell ref="F36:G3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912674-9A73-CE40-8156-FA266D60C67D}">
          <x14:formula1>
            <xm:f>'Upgrade Parts Future_K_v6.4'!$H$3:$H$528</xm:f>
          </x14:formula1>
          <xm:sqref>C6:C35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3566-D284-F84C-A357-FA2DBDC97B36}">
  <sheetPr codeName="Sheet8">
    <tabColor theme="4" tint="-0.499984740745262"/>
  </sheetPr>
  <dimension ref="A1:K51"/>
  <sheetViews>
    <sheetView topLeftCell="A6" zoomScale="88" zoomScaleNormal="88" workbookViewId="0">
      <selection activeCell="C34" sqref="C34"/>
    </sheetView>
  </sheetViews>
  <sheetFormatPr baseColWidth="10" defaultColWidth="8.83203125" defaultRowHeight="15"/>
  <cols>
    <col min="1" max="1" width="21.6640625" customWidth="1"/>
    <col min="2" max="2" width="24.5" bestFit="1" customWidth="1"/>
    <col min="3" max="3" width="14" bestFit="1" customWidth="1"/>
    <col min="4" max="4" width="26.33203125" customWidth="1"/>
    <col min="5" max="6" width="12.5" bestFit="1" customWidth="1"/>
    <col min="7" max="7" width="13.6640625" customWidth="1"/>
    <col min="8" max="8" width="14" bestFit="1" customWidth="1"/>
    <col min="9" max="9" width="11.5" customWidth="1"/>
    <col min="10" max="11" width="16.5" customWidth="1"/>
    <col min="12" max="12" width="28" customWidth="1"/>
  </cols>
  <sheetData>
    <row r="1" spans="1:11">
      <c r="A1" s="280" t="s">
        <v>1472</v>
      </c>
      <c r="B1" s="280"/>
      <c r="G1" s="120" t="s">
        <v>1470</v>
      </c>
    </row>
    <row r="2" spans="1:11">
      <c r="A2" t="s">
        <v>1413</v>
      </c>
      <c r="G2" s="187" t="s">
        <v>1471</v>
      </c>
    </row>
    <row r="3" spans="1:11">
      <c r="A3" s="281" t="s">
        <v>1414</v>
      </c>
      <c r="B3" s="281"/>
      <c r="C3" s="281"/>
      <c r="D3" s="281"/>
    </row>
    <row r="4" spans="1:11">
      <c r="A4" s="281" t="s">
        <v>1524</v>
      </c>
      <c r="B4" s="281"/>
      <c r="C4" s="281"/>
      <c r="D4" s="281"/>
      <c r="E4" s="281"/>
    </row>
    <row r="5" spans="1:11">
      <c r="A5" t="s">
        <v>1537</v>
      </c>
      <c r="B5" s="173"/>
      <c r="C5" s="173"/>
      <c r="D5" s="173"/>
      <c r="E5" s="173"/>
    </row>
    <row r="6" spans="1:11">
      <c r="A6" t="s">
        <v>1525</v>
      </c>
    </row>
    <row r="8" spans="1:11">
      <c r="A8" s="74" t="s">
        <v>1416</v>
      </c>
      <c r="B8" s="120" t="s">
        <v>1417</v>
      </c>
      <c r="C8" t="s">
        <v>1466</v>
      </c>
    </row>
    <row r="9" spans="1:11" ht="16" thickBot="1"/>
    <row r="10" spans="1:11" ht="16" thickBot="1">
      <c r="A10" s="300" t="s">
        <v>1579</v>
      </c>
      <c r="B10" s="301"/>
      <c r="C10" s="301"/>
      <c r="D10" s="301"/>
      <c r="E10" s="301"/>
      <c r="F10" s="301"/>
      <c r="G10" s="301"/>
      <c r="H10" s="302"/>
    </row>
    <row r="11" spans="1:11" s="74" customFormat="1" ht="65" thickBot="1">
      <c r="A11" s="121" t="s">
        <v>1554</v>
      </c>
      <c r="B11" s="122" t="s">
        <v>1420</v>
      </c>
      <c r="C11" s="123" t="s">
        <v>1528</v>
      </c>
      <c r="D11" s="123" t="s">
        <v>1541</v>
      </c>
      <c r="E11" s="123" t="s">
        <v>1460</v>
      </c>
      <c r="F11" s="123" t="s">
        <v>1422</v>
      </c>
      <c r="G11" s="124" t="s">
        <v>1423</v>
      </c>
      <c r="H11" s="125" t="s">
        <v>1424</v>
      </c>
      <c r="I11" s="233"/>
      <c r="J11" s="126"/>
      <c r="K11" s="127" t="s">
        <v>1425</v>
      </c>
    </row>
    <row r="12" spans="1:11" ht="14.25" customHeight="1" thickBot="1">
      <c r="A12" s="128"/>
      <c r="B12" s="128"/>
      <c r="C12" s="185">
        <f>B12*1.35</f>
        <v>0</v>
      </c>
      <c r="D12" s="128"/>
      <c r="E12" s="128">
        <v>36</v>
      </c>
      <c r="F12" s="183">
        <f>D12*E12*12</f>
        <v>0</v>
      </c>
      <c r="G12" s="131" t="e">
        <f>1-(H12/F12)</f>
        <v>#DIV/0!</v>
      </c>
      <c r="H12" s="184">
        <f>C12</f>
        <v>0</v>
      </c>
      <c r="I12" s="234"/>
      <c r="J12" s="235"/>
      <c r="K12" s="132" t="s">
        <v>1426</v>
      </c>
    </row>
    <row r="13" spans="1:11">
      <c r="H13" s="133"/>
      <c r="I13" s="133"/>
      <c r="J13" s="133"/>
      <c r="K13" s="133"/>
    </row>
    <row r="14" spans="1:11">
      <c r="A14" t="s">
        <v>1529</v>
      </c>
      <c r="F14" s="177">
        <f>+F12</f>
        <v>0</v>
      </c>
      <c r="G14" s="66" t="s">
        <v>1427</v>
      </c>
      <c r="H14" s="177">
        <f>H12 *1.03</f>
        <v>0</v>
      </c>
    </row>
    <row r="15" spans="1:11">
      <c r="F15" s="177">
        <f>+F14</f>
        <v>0</v>
      </c>
      <c r="G15" s="66" t="s">
        <v>1428</v>
      </c>
      <c r="H15" s="177">
        <f>H14 *1.03</f>
        <v>0</v>
      </c>
      <c r="I15" s="133"/>
      <c r="J15" s="133"/>
      <c r="K15" s="133"/>
    </row>
    <row r="16" spans="1:11" ht="16" thickBot="1">
      <c r="F16" s="177">
        <f>+F15</f>
        <v>0</v>
      </c>
      <c r="G16" s="66" t="s">
        <v>1429</v>
      </c>
      <c r="H16" s="177">
        <f>H15 *1.03</f>
        <v>0</v>
      </c>
      <c r="I16" s="133"/>
      <c r="J16" s="133"/>
      <c r="K16" s="133"/>
    </row>
    <row r="17" spans="1:11" ht="33" thickBot="1">
      <c r="F17" s="178">
        <f>+F16</f>
        <v>0</v>
      </c>
      <c r="G17" s="66" t="s">
        <v>1430</v>
      </c>
      <c r="H17" s="178">
        <f>H16 *1.03</f>
        <v>0</v>
      </c>
      <c r="I17" s="136" t="s">
        <v>1431</v>
      </c>
      <c r="J17" s="133"/>
      <c r="K17" s="133"/>
    </row>
    <row r="18" spans="1:11" ht="16" thickBot="1">
      <c r="F18" s="179">
        <f>F12+F14+F15</f>
        <v>0</v>
      </c>
      <c r="G18" s="137" t="s">
        <v>1432</v>
      </c>
      <c r="H18" s="181">
        <f>H12+H14+H15</f>
        <v>0</v>
      </c>
      <c r="I18" s="186">
        <f>H18*0.15</f>
        <v>0</v>
      </c>
      <c r="J18" s="139"/>
      <c r="K18" s="140">
        <f>SUM(K13:K15)</f>
        <v>0</v>
      </c>
    </row>
    <row r="19" spans="1:11" ht="16" thickBot="1">
      <c r="F19" s="180">
        <f>F18+F16+F17</f>
        <v>0</v>
      </c>
      <c r="G19" s="137" t="s">
        <v>1433</v>
      </c>
      <c r="H19" s="182">
        <f>H18+H16+H17</f>
        <v>0</v>
      </c>
      <c r="I19" s="186">
        <f>H19*0.11</f>
        <v>0</v>
      </c>
      <c r="J19" s="141"/>
      <c r="K19" s="140">
        <f>K18+K16+K17</f>
        <v>0</v>
      </c>
    </row>
    <row r="20" spans="1:11" hidden="1">
      <c r="B20" s="146"/>
      <c r="E20" s="147"/>
      <c r="G20" s="148"/>
      <c r="H20" s="141"/>
    </row>
    <row r="21" spans="1:11" hidden="1"/>
    <row r="22" spans="1:11" hidden="1">
      <c r="H22" s="149"/>
    </row>
    <row r="23" spans="1:11" hidden="1">
      <c r="H23" s="149"/>
    </row>
    <row r="24" spans="1:11" hidden="1">
      <c r="H24" s="149"/>
    </row>
    <row r="25" spans="1:11" hidden="1">
      <c r="H25" s="149"/>
    </row>
    <row r="26" spans="1:11" ht="16" hidden="1" thickBot="1">
      <c r="H26" s="150"/>
    </row>
    <row r="27" spans="1:11">
      <c r="H27" s="149"/>
    </row>
    <row r="28" spans="1:11" ht="16" thickBot="1">
      <c r="H28" s="149"/>
    </row>
    <row r="29" spans="1:11" ht="16" thickBot="1">
      <c r="A29" s="300" t="s">
        <v>1580</v>
      </c>
      <c r="B29" s="301"/>
      <c r="C29" s="301"/>
      <c r="D29" s="301"/>
      <c r="E29" s="301"/>
      <c r="F29" s="301"/>
      <c r="G29" s="301"/>
      <c r="H29" s="302"/>
    </row>
    <row r="30" spans="1:11" s="74" customFormat="1" ht="65" thickBot="1">
      <c r="A30" s="121" t="s">
        <v>1554</v>
      </c>
      <c r="B30" s="122" t="s">
        <v>1420</v>
      </c>
      <c r="C30" s="123" t="s">
        <v>1528</v>
      </c>
      <c r="D30" s="123" t="s">
        <v>1541</v>
      </c>
      <c r="E30" s="123" t="s">
        <v>1460</v>
      </c>
      <c r="F30" s="123" t="s">
        <v>1422</v>
      </c>
      <c r="G30" s="124" t="s">
        <v>1423</v>
      </c>
      <c r="H30" s="125" t="s">
        <v>1424</v>
      </c>
      <c r="I30" s="233"/>
      <c r="J30" s="126"/>
      <c r="K30" s="127" t="s">
        <v>1425</v>
      </c>
    </row>
    <row r="31" spans="1:11" ht="14.25" customHeight="1" thickBot="1">
      <c r="A31" s="128"/>
      <c r="B31" s="128"/>
      <c r="C31" s="185">
        <f>B31*1.35</f>
        <v>0</v>
      </c>
      <c r="D31" s="128"/>
      <c r="E31" s="128">
        <v>36</v>
      </c>
      <c r="F31" s="183">
        <f>D31*E31*12</f>
        <v>0</v>
      </c>
      <c r="G31" s="131" t="e">
        <f>1-(H31/F31)</f>
        <v>#DIV/0!</v>
      </c>
      <c r="H31" s="184">
        <f>C31</f>
        <v>0</v>
      </c>
      <c r="I31" s="234"/>
      <c r="J31" s="235"/>
      <c r="K31" s="132" t="s">
        <v>1426</v>
      </c>
    </row>
    <row r="32" spans="1:11">
      <c r="H32" s="133"/>
      <c r="I32" s="133"/>
      <c r="J32" s="133"/>
      <c r="K32" s="133"/>
    </row>
    <row r="33" spans="1:11">
      <c r="A33" t="s">
        <v>1529</v>
      </c>
      <c r="F33" s="177">
        <f>+F31</f>
        <v>0</v>
      </c>
      <c r="G33" s="66" t="s">
        <v>1427</v>
      </c>
      <c r="H33" s="177">
        <f>H31 * 1.05</f>
        <v>0</v>
      </c>
    </row>
    <row r="34" spans="1:11">
      <c r="F34" s="177">
        <f>+F33</f>
        <v>0</v>
      </c>
      <c r="G34" s="66" t="s">
        <v>1428</v>
      </c>
      <c r="H34" s="177">
        <f>H33 * 1.05</f>
        <v>0</v>
      </c>
      <c r="I34" s="133"/>
      <c r="J34" s="133"/>
      <c r="K34" s="133"/>
    </row>
    <row r="35" spans="1:11" ht="16" thickBot="1">
      <c r="F35" s="177">
        <f>+F34</f>
        <v>0</v>
      </c>
      <c r="G35" s="66" t="s">
        <v>1429</v>
      </c>
      <c r="H35" s="177">
        <f>H34 * 1.05</f>
        <v>0</v>
      </c>
      <c r="I35" s="133"/>
      <c r="J35" s="133"/>
      <c r="K35" s="133"/>
    </row>
    <row r="36" spans="1:11" ht="33" thickBot="1">
      <c r="F36" s="178">
        <f>+F35</f>
        <v>0</v>
      </c>
      <c r="G36" s="66" t="s">
        <v>1430</v>
      </c>
      <c r="H36" s="178">
        <f>H35 * 1.05</f>
        <v>0</v>
      </c>
      <c r="I36" s="136" t="s">
        <v>1431</v>
      </c>
      <c r="J36" s="133"/>
      <c r="K36" s="133"/>
    </row>
    <row r="37" spans="1:11" ht="16" thickBot="1">
      <c r="F37" s="179">
        <f>F31+F33+F34</f>
        <v>0</v>
      </c>
      <c r="G37" s="137" t="s">
        <v>1432</v>
      </c>
      <c r="H37" s="181">
        <f>H31+H33+H34</f>
        <v>0</v>
      </c>
      <c r="I37" s="186">
        <f>H37*0.15</f>
        <v>0</v>
      </c>
      <c r="J37" s="139"/>
      <c r="K37" s="140">
        <f>SUM(K32:K34)</f>
        <v>0</v>
      </c>
    </row>
    <row r="38" spans="1:11" ht="16" thickBot="1">
      <c r="F38" s="180">
        <f>F37+F35+F36</f>
        <v>0</v>
      </c>
      <c r="G38" s="137" t="s">
        <v>1433</v>
      </c>
      <c r="H38" s="182">
        <f>H37+H35+H36</f>
        <v>0</v>
      </c>
      <c r="I38" s="186">
        <f>H38*0.11</f>
        <v>0</v>
      </c>
      <c r="J38" s="141"/>
      <c r="K38" s="140">
        <f>K37+K35+K36</f>
        <v>0</v>
      </c>
    </row>
    <row r="39" spans="1:11">
      <c r="F39" s="235"/>
      <c r="G39" s="74"/>
      <c r="H39" s="235"/>
      <c r="I39" s="141"/>
      <c r="J39" s="141"/>
      <c r="K39" s="265"/>
    </row>
    <row r="40" spans="1:11">
      <c r="A40" s="74" t="s">
        <v>1531</v>
      </c>
    </row>
    <row r="41" spans="1:11" ht="16" thickBot="1"/>
    <row r="42" spans="1:11" ht="16" thickBot="1">
      <c r="A42" s="300" t="s">
        <v>1467</v>
      </c>
      <c r="B42" s="301"/>
      <c r="C42" s="301"/>
      <c r="D42" s="301"/>
      <c r="E42" s="301"/>
      <c r="F42" s="301"/>
      <c r="G42" s="301"/>
      <c r="H42" s="302"/>
    </row>
    <row r="43" spans="1:11" ht="145" thickBot="1">
      <c r="A43" s="121" t="s">
        <v>1419</v>
      </c>
      <c r="B43" s="122" t="s">
        <v>1420</v>
      </c>
      <c r="C43" s="123" t="s">
        <v>1528</v>
      </c>
      <c r="D43" s="123" t="s">
        <v>1541</v>
      </c>
      <c r="E43" s="123" t="s">
        <v>1460</v>
      </c>
      <c r="F43" s="123" t="s">
        <v>1422</v>
      </c>
      <c r="G43" s="124" t="s">
        <v>1423</v>
      </c>
      <c r="H43" s="125" t="s">
        <v>1424</v>
      </c>
      <c r="I43" s="237" t="s">
        <v>1527</v>
      </c>
      <c r="J43" s="238" t="s">
        <v>1526</v>
      </c>
      <c r="K43" s="239" t="s">
        <v>1423</v>
      </c>
    </row>
    <row r="44" spans="1:11" ht="16" thickBot="1">
      <c r="A44" s="128"/>
      <c r="B44" s="128">
        <v>100</v>
      </c>
      <c r="C44" s="185">
        <f>B44*1.35</f>
        <v>135</v>
      </c>
      <c r="D44" s="128">
        <v>100</v>
      </c>
      <c r="E44" s="128">
        <v>36</v>
      </c>
      <c r="F44" s="183">
        <f>D44*E44*12</f>
        <v>43200</v>
      </c>
      <c r="G44" s="131">
        <f>1-(H44/F44)</f>
        <v>0.99687499999999996</v>
      </c>
      <c r="H44" s="184">
        <f>C44</f>
        <v>135</v>
      </c>
      <c r="I44" s="241">
        <v>0.12</v>
      </c>
      <c r="J44" s="240">
        <f>H44*(1+I44)</f>
        <v>151.20000000000002</v>
      </c>
      <c r="K44" s="236">
        <f>1-J44/F44</f>
        <v>0.99650000000000005</v>
      </c>
    </row>
    <row r="45" spans="1:11">
      <c r="H45" s="133"/>
      <c r="I45" s="133"/>
      <c r="J45" s="133"/>
      <c r="K45" s="133"/>
    </row>
    <row r="46" spans="1:11">
      <c r="F46" s="177">
        <f>+F44</f>
        <v>43200</v>
      </c>
      <c r="G46" s="66" t="s">
        <v>1427</v>
      </c>
      <c r="H46" s="177">
        <f>H44</f>
        <v>135</v>
      </c>
    </row>
    <row r="47" spans="1:11">
      <c r="F47" s="177">
        <f>+F46</f>
        <v>43200</v>
      </c>
      <c r="G47" s="66" t="s">
        <v>1428</v>
      </c>
      <c r="H47" s="177">
        <f>H46</f>
        <v>135</v>
      </c>
      <c r="I47" s="133"/>
      <c r="J47" s="133"/>
      <c r="K47" s="133"/>
    </row>
    <row r="48" spans="1:11" ht="16" thickBot="1">
      <c r="A48" t="s">
        <v>1530</v>
      </c>
      <c r="F48" s="177">
        <f>+F47</f>
        <v>43200</v>
      </c>
      <c r="G48" s="66" t="s">
        <v>1429</v>
      </c>
      <c r="H48" s="177">
        <f>H47</f>
        <v>135</v>
      </c>
      <c r="I48" s="133"/>
      <c r="J48" s="133"/>
      <c r="K48" s="133"/>
    </row>
    <row r="49" spans="6:11" ht="33" thickBot="1">
      <c r="F49" s="178">
        <f>+F48</f>
        <v>43200</v>
      </c>
      <c r="G49" s="66" t="s">
        <v>1430</v>
      </c>
      <c r="H49" s="178">
        <f>H48</f>
        <v>135</v>
      </c>
      <c r="I49" s="136" t="s">
        <v>1431</v>
      </c>
      <c r="J49" s="133"/>
      <c r="K49" s="133"/>
    </row>
    <row r="50" spans="6:11" ht="16" thickBot="1">
      <c r="F50" s="179">
        <f>F44+F46+F47</f>
        <v>129600</v>
      </c>
      <c r="G50" s="137" t="s">
        <v>1432</v>
      </c>
      <c r="H50" s="181">
        <f>H44+H46+H47</f>
        <v>405</v>
      </c>
      <c r="I50" s="186">
        <f>H50*0.15</f>
        <v>60.75</v>
      </c>
      <c r="J50" s="139"/>
      <c r="K50" s="139"/>
    </row>
    <row r="51" spans="6:11" ht="16" thickBot="1">
      <c r="F51" s="180">
        <f>F50+F48+F49</f>
        <v>216000</v>
      </c>
      <c r="G51" s="137" t="s">
        <v>1433</v>
      </c>
      <c r="H51" s="182">
        <f>H50+H48+H49</f>
        <v>675</v>
      </c>
      <c r="I51" s="186">
        <f>H51*0.11</f>
        <v>74.25</v>
      </c>
      <c r="J51" s="141"/>
      <c r="K51" s="141"/>
    </row>
  </sheetData>
  <mergeCells count="6">
    <mergeCell ref="A42:H42"/>
    <mergeCell ref="A1:B1"/>
    <mergeCell ref="A3:D3"/>
    <mergeCell ref="A4:E4"/>
    <mergeCell ref="A10:H10"/>
    <mergeCell ref="A29:H2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6518-7CEF-7C4B-B92C-EB3902422585}">
  <sheetPr codeName="Sheet9">
    <tabColor rgb="FF521B93"/>
  </sheetPr>
  <dimension ref="A1:H42"/>
  <sheetViews>
    <sheetView showGridLines="0" zoomScale="55" zoomScaleNormal="55" workbookViewId="0">
      <selection activeCell="A15" sqref="A15"/>
    </sheetView>
  </sheetViews>
  <sheetFormatPr baseColWidth="10" defaultColWidth="8.83203125" defaultRowHeight="13"/>
  <cols>
    <col min="1" max="1" width="6.1640625" style="27" customWidth="1"/>
    <col min="2" max="2" width="70.33203125" style="27" customWidth="1"/>
    <col min="3" max="3" width="39.5" style="27" customWidth="1"/>
    <col min="4" max="4" width="22.6640625" style="27" customWidth="1"/>
    <col min="5" max="5" width="21.33203125" style="27" customWidth="1"/>
    <col min="6" max="6" width="88.6640625" style="27" customWidth="1"/>
    <col min="7" max="7" width="32.1640625" style="27" customWidth="1"/>
    <col min="8" max="8" width="17.1640625" style="27" customWidth="1"/>
    <col min="9" max="16384" width="8.83203125" style="27"/>
  </cols>
  <sheetData>
    <row r="1" spans="1:8">
      <c r="A1" s="39"/>
    </row>
    <row r="2" spans="1:8" ht="25" customHeight="1" thickBot="1">
      <c r="B2" s="293" t="s">
        <v>1451</v>
      </c>
      <c r="C2" s="293"/>
      <c r="D2" s="293"/>
      <c r="E2" s="293"/>
      <c r="F2" s="293"/>
      <c r="G2" s="293"/>
      <c r="H2" s="293"/>
    </row>
    <row r="3" spans="1:8" ht="20">
      <c r="A3" s="27" t="s">
        <v>1316</v>
      </c>
      <c r="B3" s="294" t="s">
        <v>1317</v>
      </c>
      <c r="C3" s="294"/>
      <c r="D3" s="294"/>
      <c r="E3" s="294"/>
      <c r="F3" s="294"/>
      <c r="G3" s="294"/>
      <c r="H3" s="294"/>
    </row>
    <row r="4" spans="1:8" ht="20">
      <c r="B4" s="75"/>
      <c r="C4" s="76"/>
      <c r="D4" s="76"/>
      <c r="E4" s="75"/>
      <c r="F4" s="75"/>
      <c r="G4" s="75"/>
      <c r="H4" s="75"/>
    </row>
    <row r="5" spans="1:8" ht="20">
      <c r="B5" s="289" t="s">
        <v>1298</v>
      </c>
      <c r="C5" s="289"/>
      <c r="D5" s="77"/>
      <c r="E5" s="78"/>
      <c r="F5" s="78"/>
      <c r="G5" s="78"/>
      <c r="H5" s="78"/>
    </row>
    <row r="6" spans="1:8" ht="20">
      <c r="B6" s="79"/>
      <c r="C6" s="79"/>
      <c r="D6" s="79"/>
      <c r="E6" s="80"/>
      <c r="F6" s="80"/>
      <c r="G6" s="80"/>
      <c r="H6" s="80"/>
    </row>
    <row r="7" spans="1:8" ht="21">
      <c r="B7" s="81" t="s">
        <v>1395</v>
      </c>
      <c r="C7" s="82"/>
      <c r="D7" s="83"/>
      <c r="E7" s="80"/>
      <c r="F7" s="80"/>
      <c r="G7" s="80"/>
      <c r="H7" s="80"/>
    </row>
    <row r="8" spans="1:8" ht="21">
      <c r="B8" s="81" t="s">
        <v>1396</v>
      </c>
      <c r="C8" s="115"/>
      <c r="D8" s="85"/>
      <c r="E8" s="80"/>
      <c r="F8" s="80"/>
      <c r="G8" s="80"/>
      <c r="H8" s="80"/>
    </row>
    <row r="9" spans="1:8" ht="20">
      <c r="B9" s="86"/>
      <c r="C9" s="79"/>
      <c r="D9" s="79"/>
      <c r="E9" s="80"/>
      <c r="F9" s="80"/>
      <c r="G9" s="80"/>
      <c r="H9" s="80"/>
    </row>
    <row r="10" spans="1:8" ht="20">
      <c r="B10" s="289" t="s">
        <v>1299</v>
      </c>
      <c r="C10" s="289"/>
      <c r="D10" s="77"/>
      <c r="E10" s="78"/>
      <c r="F10" s="78"/>
      <c r="G10" s="78"/>
      <c r="H10" s="78"/>
    </row>
    <row r="11" spans="1:8" ht="20">
      <c r="B11" s="79"/>
      <c r="C11" s="83"/>
      <c r="D11" s="83"/>
      <c r="E11" s="80"/>
      <c r="F11" s="80"/>
      <c r="G11" s="80"/>
      <c r="H11" s="80"/>
    </row>
    <row r="12" spans="1:8" ht="21">
      <c r="B12" s="81" t="s">
        <v>1397</v>
      </c>
      <c r="C12" s="82"/>
      <c r="D12" s="83"/>
      <c r="E12" s="80"/>
      <c r="F12" s="80"/>
      <c r="G12" s="80"/>
      <c r="H12" s="80"/>
    </row>
    <row r="13" spans="1:8" ht="21">
      <c r="B13" s="81" t="s">
        <v>1398</v>
      </c>
      <c r="C13" s="84"/>
      <c r="D13" s="79"/>
      <c r="E13" s="87" t="s">
        <v>1300</v>
      </c>
      <c r="F13" s="80"/>
      <c r="G13" s="80"/>
      <c r="H13" s="80"/>
    </row>
    <row r="14" spans="1:8" ht="20">
      <c r="B14" s="86"/>
      <c r="C14" s="79"/>
      <c r="D14" s="79"/>
      <c r="E14" s="80"/>
      <c r="F14" s="80"/>
      <c r="G14" s="80"/>
      <c r="H14" s="80"/>
    </row>
    <row r="15" spans="1:8" ht="20">
      <c r="B15" s="289" t="s">
        <v>1301</v>
      </c>
      <c r="C15" s="289"/>
      <c r="D15" s="77"/>
      <c r="E15" s="88"/>
      <c r="F15" s="88"/>
      <c r="G15" s="88"/>
      <c r="H15" s="88"/>
    </row>
    <row r="16" spans="1:8" ht="20">
      <c r="B16" s="79"/>
      <c r="C16" s="83"/>
      <c r="D16" s="83"/>
      <c r="E16" s="80"/>
      <c r="F16" s="80"/>
      <c r="G16" s="80"/>
      <c r="H16" s="80"/>
    </row>
    <row r="17" spans="2:8" ht="21">
      <c r="B17" s="81" t="s">
        <v>1399</v>
      </c>
      <c r="C17" s="82"/>
      <c r="D17" s="79"/>
      <c r="E17" s="80"/>
      <c r="F17" s="89"/>
      <c r="G17" s="80"/>
      <c r="H17" s="80"/>
    </row>
    <row r="18" spans="2:8" ht="21">
      <c r="B18" s="81" t="s">
        <v>1400</v>
      </c>
      <c r="C18" s="82"/>
      <c r="D18" s="79"/>
      <c r="E18" s="80"/>
      <c r="F18" s="89"/>
      <c r="G18" s="80"/>
      <c r="H18" s="80"/>
    </row>
    <row r="19" spans="2:8" ht="21">
      <c r="B19" s="81" t="s">
        <v>1401</v>
      </c>
      <c r="C19" s="82"/>
      <c r="D19" s="79"/>
      <c r="E19" s="291" t="s">
        <v>1302</v>
      </c>
      <c r="F19" s="292"/>
      <c r="G19" s="90"/>
      <c r="H19" s="80"/>
    </row>
    <row r="20" spans="2:8" ht="63">
      <c r="B20" s="81" t="s">
        <v>1373</v>
      </c>
      <c r="C20" s="82"/>
      <c r="D20" s="79"/>
      <c r="E20" s="291" t="s">
        <v>1394</v>
      </c>
      <c r="F20" s="292"/>
      <c r="G20" s="90"/>
      <c r="H20" s="80"/>
    </row>
    <row r="21" spans="2:8" ht="21">
      <c r="B21" s="81" t="s">
        <v>1452</v>
      </c>
      <c r="C21" s="82"/>
      <c r="D21" s="79"/>
      <c r="E21" s="290" t="s">
        <v>1303</v>
      </c>
      <c r="F21" s="290"/>
      <c r="G21" s="91"/>
      <c r="H21" s="80"/>
    </row>
    <row r="22" spans="2:8" ht="21">
      <c r="B22" s="81" t="s">
        <v>1304</v>
      </c>
      <c r="C22" s="82"/>
      <c r="D22" s="79"/>
      <c r="E22" s="86"/>
      <c r="F22" s="86"/>
      <c r="G22" s="91"/>
      <c r="H22" s="80"/>
    </row>
    <row r="23" spans="2:8" ht="21">
      <c r="B23" s="81" t="s">
        <v>1305</v>
      </c>
      <c r="C23" s="82" t="s">
        <v>1306</v>
      </c>
      <c r="D23" s="79"/>
      <c r="E23" s="285" t="s">
        <v>1318</v>
      </c>
      <c r="F23" s="286"/>
      <c r="G23" s="92"/>
      <c r="H23" s="80"/>
    </row>
    <row r="24" spans="2:8" ht="21">
      <c r="B24" s="81" t="s">
        <v>1307</v>
      </c>
      <c r="C24" s="82"/>
      <c r="D24" s="79"/>
      <c r="E24" s="285" t="s">
        <v>1375</v>
      </c>
      <c r="F24" s="286"/>
      <c r="G24" s="90"/>
      <c r="H24" s="80"/>
    </row>
    <row r="25" spans="2:8" ht="20">
      <c r="B25" s="86"/>
      <c r="C25" s="86"/>
      <c r="D25" s="79"/>
      <c r="E25" s="287" t="s">
        <v>1319</v>
      </c>
      <c r="F25" s="288"/>
      <c r="G25" s="90"/>
      <c r="H25" s="80"/>
    </row>
    <row r="26" spans="2:8" ht="20">
      <c r="B26" s="289" t="s">
        <v>1308</v>
      </c>
      <c r="C26" s="289"/>
      <c r="D26" s="86"/>
      <c r="E26" s="80"/>
      <c r="F26" s="93"/>
      <c r="G26" s="93"/>
      <c r="H26" s="80"/>
    </row>
    <row r="27" spans="2:8" ht="20">
      <c r="B27" s="79"/>
      <c r="C27" s="83"/>
      <c r="D27" s="77"/>
      <c r="E27" s="88"/>
      <c r="F27" s="88"/>
      <c r="G27" s="88"/>
      <c r="H27" s="88"/>
    </row>
    <row r="28" spans="2:8" ht="63">
      <c r="B28" s="81" t="s">
        <v>1320</v>
      </c>
      <c r="C28" s="82"/>
      <c r="D28" s="83"/>
      <c r="E28" s="80"/>
      <c r="F28" s="80"/>
      <c r="G28" s="80"/>
      <c r="H28" s="80"/>
    </row>
    <row r="29" spans="2:8" ht="21">
      <c r="B29" s="95" t="s">
        <v>1309</v>
      </c>
      <c r="C29" s="82" t="s">
        <v>1306</v>
      </c>
      <c r="D29" s="79"/>
      <c r="E29" s="80"/>
      <c r="F29" s="94" t="s">
        <v>1321</v>
      </c>
      <c r="G29" s="90"/>
      <c r="H29" s="80"/>
    </row>
    <row r="30" spans="2:8" ht="63">
      <c r="B30" s="96" t="s">
        <v>1322</v>
      </c>
      <c r="C30" s="97"/>
      <c r="D30" s="79"/>
      <c r="E30" s="80"/>
      <c r="F30" s="94" t="s">
        <v>1310</v>
      </c>
      <c r="G30" s="90"/>
      <c r="H30" s="80"/>
    </row>
    <row r="31" spans="2:8" ht="42">
      <c r="B31" s="95" t="s">
        <v>1323</v>
      </c>
      <c r="C31" s="82"/>
      <c r="D31" s="97"/>
      <c r="E31" s="98"/>
      <c r="F31" s="94" t="s">
        <v>1311</v>
      </c>
      <c r="G31" s="90"/>
      <c r="H31" s="80"/>
    </row>
    <row r="32" spans="2:8" ht="63">
      <c r="B32" s="95" t="s">
        <v>1376</v>
      </c>
      <c r="C32" s="99"/>
      <c r="D32" s="97"/>
      <c r="E32" s="98"/>
      <c r="F32" s="94" t="s">
        <v>1312</v>
      </c>
      <c r="G32" s="82" t="s">
        <v>1306</v>
      </c>
      <c r="H32" s="80"/>
    </row>
    <row r="33" spans="2:8" ht="21">
      <c r="B33" s="81" t="s">
        <v>1324</v>
      </c>
      <c r="C33" s="82"/>
      <c r="D33" s="97"/>
      <c r="E33" s="98"/>
      <c r="F33" s="94" t="s">
        <v>1313</v>
      </c>
      <c r="G33" s="82" t="s">
        <v>1306</v>
      </c>
      <c r="H33" s="80"/>
    </row>
    <row r="34" spans="2:8" ht="63">
      <c r="B34" s="81" t="s">
        <v>1325</v>
      </c>
      <c r="C34" s="82"/>
      <c r="D34" s="97"/>
      <c r="E34" s="97"/>
      <c r="F34" s="95" t="s">
        <v>1314</v>
      </c>
      <c r="G34" s="90"/>
      <c r="H34" s="80"/>
    </row>
    <row r="35" spans="2:8" ht="63">
      <c r="B35" s="100" t="s">
        <v>1326</v>
      </c>
      <c r="C35" s="101"/>
      <c r="D35" s="97"/>
      <c r="E35" s="97"/>
      <c r="F35" s="95" t="s">
        <v>1315</v>
      </c>
      <c r="G35" s="90"/>
      <c r="H35" s="98"/>
    </row>
    <row r="36" spans="2:8" ht="42">
      <c r="B36" s="79"/>
      <c r="C36" s="101"/>
      <c r="D36" s="97"/>
      <c r="E36" s="101"/>
      <c r="F36" s="95" t="s">
        <v>1327</v>
      </c>
      <c r="G36" s="92"/>
      <c r="H36" s="98"/>
    </row>
    <row r="37" spans="2:8" ht="42">
      <c r="B37" s="79"/>
      <c r="C37" s="101"/>
      <c r="D37" s="97"/>
      <c r="E37" s="97"/>
      <c r="F37" s="95" t="s">
        <v>1377</v>
      </c>
      <c r="G37" s="92"/>
      <c r="H37" s="98"/>
    </row>
    <row r="38" spans="2:8" ht="42">
      <c r="B38" s="79"/>
      <c r="C38" s="79"/>
      <c r="D38" s="97"/>
      <c r="E38" s="101"/>
      <c r="F38" s="109" t="s">
        <v>1378</v>
      </c>
      <c r="G38" s="98"/>
      <c r="H38" s="98"/>
    </row>
    <row r="39" spans="2:8" ht="20">
      <c r="B39" s="79"/>
      <c r="C39" s="79"/>
      <c r="D39" s="97"/>
      <c r="E39" s="93"/>
      <c r="F39" s="102"/>
      <c r="G39" s="98"/>
      <c r="H39" s="98"/>
    </row>
    <row r="40" spans="2:8" ht="20">
      <c r="B40" s="97"/>
      <c r="C40" s="97"/>
      <c r="D40" s="97"/>
      <c r="E40" s="93"/>
      <c r="F40" s="102"/>
      <c r="G40" s="98"/>
      <c r="H40" s="98"/>
    </row>
    <row r="41" spans="2:8" ht="20">
      <c r="B41" s="289" t="s">
        <v>1334</v>
      </c>
      <c r="C41" s="289"/>
      <c r="D41" s="77"/>
      <c r="E41" s="78"/>
      <c r="F41" s="78"/>
      <c r="G41" s="78"/>
      <c r="H41" s="78"/>
    </row>
    <row r="42" spans="2:8" ht="15" customHeight="1">
      <c r="B42" s="72"/>
      <c r="C42" s="72"/>
      <c r="D42" s="72"/>
    </row>
  </sheetData>
  <mergeCells count="13">
    <mergeCell ref="B41:C41"/>
    <mergeCell ref="E20:F20"/>
    <mergeCell ref="E21:F21"/>
    <mergeCell ref="E23:F23"/>
    <mergeCell ref="E24:F24"/>
    <mergeCell ref="E25:F25"/>
    <mergeCell ref="B26:C26"/>
    <mergeCell ref="E19:F19"/>
    <mergeCell ref="B2:H2"/>
    <mergeCell ref="B3:H3"/>
    <mergeCell ref="B5:C5"/>
    <mergeCell ref="B10:C10"/>
    <mergeCell ref="B15:C15"/>
  </mergeCells>
  <conditionalFormatting sqref="G30 G34:G37">
    <cfRule type="expression" dxfId="1" priority="2">
      <formula>$G$29="STANDARD"</formula>
    </cfRule>
  </conditionalFormatting>
  <conditionalFormatting sqref="G31">
    <cfRule type="expression" dxfId="0" priority="1">
      <formula>$G$29="STANDARD"</formula>
    </cfRule>
  </conditionalFormatting>
  <dataValidations count="17">
    <dataValidation showInputMessage="1" showErrorMessage="1" sqref="C32" xr:uid="{AE5BC57D-D2CB-5B44-BA0B-2F7E79E65403}"/>
    <dataValidation type="list" operator="greaterThan" allowBlank="1" showInputMessage="1" showErrorMessage="1" errorTitle="Enter correct format" error="Please enter the date in format &quot;MM/DD/YYYY&quot;." sqref="G25" xr:uid="{CB589FE5-6B72-524A-A71A-808EE47AD332}">
      <formula1>"Yes, No, Unknown"</formula1>
    </dataValidation>
    <dataValidation type="list" allowBlank="1" showInputMessage="1" showErrorMessage="1" sqref="G24:G25" xr:uid="{A28ED800-5A74-2649-9575-7428ED72FE83}">
      <formula1>"Yes, No, Unknown"</formula1>
    </dataValidation>
    <dataValidation type="list" showInputMessage="1" showErrorMessage="1" sqref="G23" xr:uid="{776865A4-1767-6D4B-9A64-060D6FD311AE}">
      <formula1>"Yes, No, Unknown"</formula1>
    </dataValidation>
    <dataValidation type="custom" allowBlank="1" showInputMessage="1" showErrorMessage="1" errorTitle="Error" error="Please check the Requester Email Address." sqref="C8:D8 C13:D13" xr:uid="{1F384639-B99E-1D4D-8D98-E81C3362176E}">
      <formula1>ISNUMBER(MATCH("*@*.*",C8,0))</formula1>
    </dataValidation>
    <dataValidation type="list" allowBlank="1" showInputMessage="1" showErrorMessage="1" errorTitle="Error" error="Please select an entry from the drop-down list." sqref="G19:G20" xr:uid="{A06B07F3-786C-D44E-B287-C7EF82CEAFA4}">
      <formula1>"Direct, Channel"</formula1>
    </dataValidation>
    <dataValidation type="list" allowBlank="1" showInputMessage="1" showErrorMessage="1" errorTitle="Error" error="Please select an entry from the drop-down list." sqref="C24:D24" xr:uid="{D31A731A-98AF-FE4A-A589-C3B2CA29BC5F}">
      <formula1>rsvp</formula1>
    </dataValidation>
    <dataValidation type="list" allowBlank="1" showInputMessage="1" showErrorMessage="1" errorTitle="Error" error="Please select an entry from the drop-down list." sqref="D25" xr:uid="{1A882AFC-ACF8-964B-B48F-7D442E5E5B1A}">
      <formula1>Currency</formula1>
    </dataValidation>
    <dataValidation type="custom" allowBlank="1" showInputMessage="1" showErrorMessage="1" sqref="C7:D7 C12 D17:D18 C17" xr:uid="{8C835411-1F1B-4244-A8B0-8C6AA04834B8}">
      <formula1>ISTEXT(C7)</formula1>
    </dataValidation>
    <dataValidation type="list" allowBlank="1" showInputMessage="1" showErrorMessage="1" sqref="C20:D21 D37 C31 D35 C33:C34 G36 D29 C28" xr:uid="{F09D2CD5-9C29-2F47-BC67-909C96EC4AB7}">
      <formula1>"Yes, No"</formula1>
    </dataValidation>
    <dataValidation operator="greaterThan" allowBlank="1" showInputMessage="1" showErrorMessage="1" errorTitle="Enter correct format" error="Please enter the date in format &quot;MM/DD/YYYY&quot;." sqref="C34 D30:D34 C30:C31" xr:uid="{452BD559-F4B8-C74E-9A64-0FB0A588D528}"/>
    <dataValidation type="list" allowBlank="1" showInputMessage="1" showErrorMessage="1" sqref="G29" xr:uid="{C3CDE8CF-3EB3-974B-B73F-4337843AE3DB}">
      <formula1>"STANDARD,ELA,ELA w/UEL Catalogue or ACEL,ISLO,ESSO,OIO,IULA,Saphire,PSP,ESA"</formula1>
    </dataValidation>
    <dataValidation type="list" allowBlank="1" showInputMessage="1" showErrorMessage="1" sqref="G30" xr:uid="{0F80F3AF-646B-374E-9127-C05DA02A4C1C}">
      <formula1>"Yes, No,N/A"</formula1>
    </dataValidation>
    <dataValidation type="list" allowBlank="1" showInputMessage="1" showErrorMessage="1" error="Data Entry only required if &quot;Yes&quot; selected above." sqref="G36" xr:uid="{A715F49A-A084-654C-BD6D-A341173A9743}">
      <formula1>"Yes, No"</formula1>
    </dataValidation>
    <dataValidation type="list" allowBlank="1" showInputMessage="1" showErrorMessage="1" sqref="G35" xr:uid="{4EA8700D-91B7-714A-8AF5-DDEDB9759331}">
      <formula1>"Amendment,Termination,Expiring"</formula1>
    </dataValidation>
    <dataValidation type="custom" showInputMessage="1" showErrorMessage="1" sqref="D36" xr:uid="{EF3B915F-82AB-6C40-8567-4D08E384480B}">
      <formula1>$C$31="No"</formula1>
    </dataValidation>
    <dataValidation type="custom" showInputMessage="1" showErrorMessage="1" error="Data Entry only required if &quot;Yes&quot; selected above." sqref="D38:D40" xr:uid="{CDAEA0A7-37DF-E94F-AB9E-3F56FE4A137B}">
      <formula1>$C$33="Yes"</formula1>
    </dataValidation>
  </dataValidations>
  <hyperlinks>
    <hyperlink ref="E13" r:id="rId1" xr:uid="{136F4B53-DA0B-A84D-9816-F22DD56AE1E2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6491-72B1-494E-BDE5-A99EF686D952}">
  <sheetPr codeName="Sheet10">
    <tabColor rgb="FF521B93"/>
  </sheetPr>
  <dimension ref="B2:H36"/>
  <sheetViews>
    <sheetView showGridLines="0" tabSelected="1" topLeftCell="A4" zoomScale="64" zoomScaleNormal="64" workbookViewId="0">
      <selection activeCell="E5" sqref="E5"/>
    </sheetView>
  </sheetViews>
  <sheetFormatPr baseColWidth="10" defaultColWidth="8.83203125" defaultRowHeight="15"/>
  <cols>
    <col min="2" max="2" width="25.83203125" bestFit="1" customWidth="1"/>
    <col min="3" max="3" width="18.5" customWidth="1"/>
    <col min="4" max="4" width="159.33203125" customWidth="1"/>
    <col min="5" max="5" width="15.6640625" customWidth="1"/>
    <col min="6" max="6" width="28.33203125" customWidth="1"/>
    <col min="7" max="7" width="16.33203125" customWidth="1"/>
    <col min="8" max="8" width="18.5" customWidth="1"/>
  </cols>
  <sheetData>
    <row r="2" spans="2:8" ht="26">
      <c r="B2" s="58" t="s">
        <v>1450</v>
      </c>
    </row>
    <row r="4" spans="2:8" ht="111.5" customHeight="1" thickBot="1">
      <c r="B4" s="171" t="s">
        <v>1276</v>
      </c>
      <c r="C4" s="171" t="s">
        <v>1271</v>
      </c>
      <c r="D4" s="171" t="s">
        <v>1335</v>
      </c>
      <c r="E4" s="171" t="s">
        <v>1272</v>
      </c>
      <c r="F4" s="171" t="s">
        <v>1492</v>
      </c>
      <c r="G4" s="171" t="s">
        <v>1273</v>
      </c>
      <c r="H4" s="171" t="s">
        <v>1274</v>
      </c>
    </row>
    <row r="5" spans="2:8" ht="20" thickBot="1">
      <c r="B5" s="295" t="s">
        <v>1409</v>
      </c>
      <c r="C5" s="258"/>
      <c r="D5" s="117" t="str">
        <f>IF(ISBLANK(C5),"",(VLOOKUP($C5,'Upgrade Parts Future_K_v6.4'!$H$3:$M$528,2,FALSE)))</f>
        <v/>
      </c>
      <c r="E5" s="119"/>
      <c r="F5" s="118" t="str">
        <f>IF(ISBLANK(E5), "",
           IF(AND(VLOOKUP(C5,'Upgrade Parts Future_K_v6.4'!$H$3:$K$528,4,FALSE)="Resource Value Unit", E5 &lt; 10), 1,
            IF(VLOOKUP(C5,'Upgrade Parts Future_K_v6.4'!$H$3:$K$528,4,FALSE)="Resource Value Unit", E5/10, E5
        )
    )
)</f>
        <v/>
      </c>
      <c r="G5" s="56" t="str">
        <f>IF(ISBLANK(E5),"",(VLOOKUP($C5,'Upgrade Parts Future_K_v6.4'!$H$3:$M$528,5,FALSE)))</f>
        <v/>
      </c>
      <c r="H5" s="174" t="str">
        <f t="shared" ref="H5:H35" si="0">IF(ISBLANK(E5),"",ROUNDUP((F5*G5),0))</f>
        <v/>
      </c>
    </row>
    <row r="6" spans="2:8" ht="20" thickBot="1">
      <c r="B6" s="296"/>
      <c r="C6" s="258"/>
      <c r="D6" s="117" t="str">
        <f>IF(ISBLANK(C6),"",(VLOOKUP($C6,'Upgrade Parts Future_K_v6.4'!$H$3:$M$528,2,FALSE)))</f>
        <v/>
      </c>
      <c r="E6" s="119"/>
      <c r="F6" s="118" t="str">
        <f>IF(ISBLANK(E6), "",
           IF(AND(VLOOKUP(C6,'Upgrade Parts Future_K_v6.4'!$H$3:$K$528,4,FALSE)="Resource Value Unit", E6 &lt; 10), 1,
            IF(VLOOKUP(C6,'Upgrade Parts Future_K_v6.4'!$H$3:$K$528,4,FALSE)="Resource Value Unit", E6/10, E6
        )
    )
)</f>
        <v/>
      </c>
      <c r="G6" s="56" t="str">
        <f>IF(ISBLANK(E6),"",(VLOOKUP($C6,'Upgrade Parts Future_K_v6.4'!$H$3:$M$528,5,FALSE)))</f>
        <v/>
      </c>
      <c r="H6" s="174" t="str">
        <f t="shared" si="0"/>
        <v/>
      </c>
    </row>
    <row r="7" spans="2:8" ht="20" thickBot="1">
      <c r="B7" s="296"/>
      <c r="C7" s="258"/>
      <c r="D7" s="117" t="str">
        <f>IF(ISBLANK(C7),"",(VLOOKUP($C7,'Upgrade Parts Future_K_v6.4'!$H$3:$M$528,2,FALSE)))</f>
        <v/>
      </c>
      <c r="E7" s="119"/>
      <c r="F7" s="118" t="str">
        <f>IF(ISBLANK(E7), "",
           IF(AND(VLOOKUP(C7,'Upgrade Parts Future_K_v6.4'!$H$3:$K$528,4,FALSE)="Resource Value Unit", E7 &lt; 10), 1,
            IF(VLOOKUP(C7,'Upgrade Parts Future_K_v6.4'!$H$3:$K$528,4,FALSE)="Resource Value Unit", E7/10, E7
        )
    )
)</f>
        <v/>
      </c>
      <c r="G7" s="56" t="str">
        <f>IF(ISBLANK(E7),"",(VLOOKUP($C7,'Upgrade Parts Future_K_v6.4'!$H$3:$M$528,5,FALSE)))</f>
        <v/>
      </c>
      <c r="H7" s="174" t="str">
        <f t="shared" si="0"/>
        <v/>
      </c>
    </row>
    <row r="8" spans="2:8" ht="20" thickBot="1">
      <c r="B8" s="276"/>
      <c r="C8" s="258"/>
      <c r="D8" s="117" t="str">
        <f>IF(ISBLANK(C8),"",(VLOOKUP($C8,'Upgrade Parts Future_K_v6.4'!$H$3:$M$528,2,FALSE)))</f>
        <v/>
      </c>
      <c r="E8" s="119"/>
      <c r="F8" s="118" t="str">
        <f>IF(ISBLANK(E8), "",
           IF(AND(VLOOKUP(C8,'Upgrade Parts Future_K_v6.4'!$H$3:$K$528,4,FALSE)="Resource Value Unit", E8 &lt; 10), 1,
            IF(VLOOKUP(C8,'Upgrade Parts Future_K_v6.4'!$H$3:$K$528,4,FALSE)="Resource Value Unit", E8/10, E8
        )
    )
)</f>
        <v/>
      </c>
      <c r="G8" s="56" t="str">
        <f>IF(ISBLANK(E8),"",(VLOOKUP($C8,'Upgrade Parts Future_K_v6.4'!$H$3:$M$528,5,FALSE)))</f>
        <v/>
      </c>
      <c r="H8" s="174" t="str">
        <f t="shared" si="0"/>
        <v/>
      </c>
    </row>
    <row r="9" spans="2:8" ht="20" thickBot="1">
      <c r="B9" s="276"/>
      <c r="C9" s="258"/>
      <c r="D9" s="117" t="str">
        <f>IF(ISBLANK(C9),"",(VLOOKUP($C9,'Upgrade Parts Future_K_v6.4'!$H$3:$M$528,2,FALSE)))</f>
        <v/>
      </c>
      <c r="E9" s="119"/>
      <c r="F9" s="118" t="str">
        <f>IF(ISBLANK(E9), "",
           IF(AND(VLOOKUP(C9,'Upgrade Parts Future_K_v6.4'!$H$3:$K$528,4,FALSE)="Resource Value Unit", E9 &lt; 10), 1,
            IF(VLOOKUP(C9,'Upgrade Parts Future_K_v6.4'!$H$3:$K$528,4,FALSE)="Resource Value Unit", E9/10, E9
        )
    )
)</f>
        <v/>
      </c>
      <c r="G9" s="56" t="str">
        <f>IF(ISBLANK(E9),"",(VLOOKUP($C9,'Upgrade Parts Future_K_v6.4'!$H$3:$M$528,5,FALSE)))</f>
        <v/>
      </c>
      <c r="H9" s="174" t="str">
        <f t="shared" si="0"/>
        <v/>
      </c>
    </row>
    <row r="10" spans="2:8" ht="20" thickBot="1">
      <c r="B10" s="276"/>
      <c r="C10" s="258"/>
      <c r="D10" s="117" t="str">
        <f>IF(ISBLANK(C10),"",(VLOOKUP($C10,'Upgrade Parts Future_K_v6.4'!$H$3:$M$528,2,FALSE)))</f>
        <v/>
      </c>
      <c r="E10" s="119"/>
      <c r="F10" s="118" t="str">
        <f>IF(ISBLANK(E10), "",
           IF(AND(VLOOKUP(C10,'Upgrade Parts Future_K_v6.4'!$H$3:$K$528,4,FALSE)="Resource Value Unit", E10 &lt; 10), 1,
            IF(VLOOKUP(C10,'Upgrade Parts Future_K_v6.4'!$H$3:$K$528,4,FALSE)="Resource Value Unit", E10/10, E10
        )
    )
)</f>
        <v/>
      </c>
      <c r="G10" s="56" t="str">
        <f>IF(ISBLANK(E10),"",(VLOOKUP($C10,'Upgrade Parts Future_K_v6.4'!$H$3:$M$528,5,FALSE)))</f>
        <v/>
      </c>
      <c r="H10" s="174" t="str">
        <f t="shared" si="0"/>
        <v/>
      </c>
    </row>
    <row r="11" spans="2:8" ht="20" thickBot="1">
      <c r="B11" s="276"/>
      <c r="C11" s="258"/>
      <c r="D11" s="117" t="str">
        <f>IF(ISBLANK(C11),"",(VLOOKUP($C11,'Upgrade Parts Future_K_v6.4'!$H$3:$M$528,2,FALSE)))</f>
        <v/>
      </c>
      <c r="E11" s="119"/>
      <c r="F11" s="118" t="str">
        <f>IF(ISBLANK(E11), "",
           IF(AND(VLOOKUP(C11,'Upgrade Parts Future_K_v6.4'!$H$3:$K$528,4,FALSE)="Resource Value Unit", E11 &lt; 10), 1,
            IF(VLOOKUP(C11,'Upgrade Parts Future_K_v6.4'!$H$3:$K$528,4,FALSE)="Resource Value Unit", E11/10, E11
        )
    )
)</f>
        <v/>
      </c>
      <c r="G11" s="56" t="str">
        <f>IF(ISBLANK(E11),"",(VLOOKUP($C11,'Upgrade Parts Future_K_v6.4'!$H$3:$M$528,5,FALSE)))</f>
        <v/>
      </c>
      <c r="H11" s="174" t="str">
        <f t="shared" si="0"/>
        <v/>
      </c>
    </row>
    <row r="12" spans="2:8" ht="20" thickBot="1">
      <c r="B12" s="276"/>
      <c r="C12" s="258"/>
      <c r="D12" s="117" t="str">
        <f>IF(ISBLANK(C12),"",(VLOOKUP($C12,'Upgrade Parts Future_K_v6.4'!$H$3:$M$528,2,FALSE)))</f>
        <v/>
      </c>
      <c r="E12" s="119"/>
      <c r="F12" s="118" t="str">
        <f>IF(ISBLANK(E12), "",
           IF(AND(VLOOKUP(C12,'Upgrade Parts Future_K_v6.4'!$H$3:$K$528,4,FALSE)="Resource Value Unit", E12 &lt; 10), 1,
            IF(VLOOKUP(C12,'Upgrade Parts Future_K_v6.4'!$H$3:$K$528,4,FALSE)="Resource Value Unit", E12/10, E12
        )
    )
)</f>
        <v/>
      </c>
      <c r="G12" s="56" t="str">
        <f>IF(ISBLANK(E12),"",(VLOOKUP($C12,'Upgrade Parts Future_K_v6.4'!$H$3:$M$528,5,FALSE)))</f>
        <v/>
      </c>
      <c r="H12" s="174" t="str">
        <f t="shared" si="0"/>
        <v/>
      </c>
    </row>
    <row r="13" spans="2:8" ht="20" thickBot="1">
      <c r="B13" s="276"/>
      <c r="C13" s="258"/>
      <c r="D13" s="117" t="str">
        <f>IF(ISBLANK(C13),"",(VLOOKUP($C13,'Upgrade Parts Future_K_v6.4'!$H$3:$M$528,2,FALSE)))</f>
        <v/>
      </c>
      <c r="E13" s="119"/>
      <c r="F13" s="118" t="str">
        <f>IF(ISBLANK(E13), "",
           IF(AND(VLOOKUP(C13,'Upgrade Parts Future_K_v6.4'!$H$3:$K$528,4,FALSE)="Resource Value Unit", E13 &lt; 10), 1,
            IF(VLOOKUP(C13,'Upgrade Parts Future_K_v6.4'!$H$3:$K$528,4,FALSE)="Resource Value Unit", E13/10, E13
        )
    )
)</f>
        <v/>
      </c>
      <c r="G13" s="56" t="str">
        <f>IF(ISBLANK(E13),"",(VLOOKUP($C13,'Upgrade Parts Future_K_v6.4'!$H$3:$M$528,5,FALSE)))</f>
        <v/>
      </c>
      <c r="H13" s="174" t="str">
        <f t="shared" si="0"/>
        <v/>
      </c>
    </row>
    <row r="14" spans="2:8" ht="20" thickBot="1">
      <c r="B14" s="276"/>
      <c r="C14" s="258"/>
      <c r="D14" s="117" t="str">
        <f>IF(ISBLANK(C14),"",(VLOOKUP($C14,'Upgrade Parts Future_K_v6.4'!$H$3:$M$528,2,FALSE)))</f>
        <v/>
      </c>
      <c r="E14" s="119"/>
      <c r="F14" s="118" t="str">
        <f>IF(ISBLANK(E14), "",
           IF(AND(VLOOKUP(C14,'Upgrade Parts Future_K_v6.4'!$H$3:$K$528,4,FALSE)="Resource Value Unit", E14 &lt; 10), 1,
            IF(VLOOKUP(C14,'Upgrade Parts Future_K_v6.4'!$H$3:$K$528,4,FALSE)="Resource Value Unit", E14/10, E14
        )
    )
)</f>
        <v/>
      </c>
      <c r="G14" s="56" t="str">
        <f>IF(ISBLANK(E14),"",(VLOOKUP($C14,'Upgrade Parts Future_K_v6.4'!$H$3:$M$528,5,FALSE)))</f>
        <v/>
      </c>
      <c r="H14" s="174" t="str">
        <f t="shared" si="0"/>
        <v/>
      </c>
    </row>
    <row r="15" spans="2:8" ht="20" thickBot="1">
      <c r="B15" s="276"/>
      <c r="C15" s="258"/>
      <c r="D15" s="117" t="str">
        <f>IF(ISBLANK(C15),"",(VLOOKUP($C15,'Upgrade Parts Future_K_v6.4'!$H$3:$M$528,2,FALSE)))</f>
        <v/>
      </c>
      <c r="E15" s="119"/>
      <c r="F15" s="118" t="str">
        <f>IF(ISBLANK(E15), "",
           IF(AND(VLOOKUP(C15,'Upgrade Parts Future_K_v6.4'!$H$3:$K$528,4,FALSE)="Resource Value Unit", E15 &lt; 10), 1,
            IF(VLOOKUP(C15,'Upgrade Parts Future_K_v6.4'!$H$3:$K$528,4,FALSE)="Resource Value Unit", E15/10, E15
        )
    )
)</f>
        <v/>
      </c>
      <c r="G15" s="56" t="str">
        <f>IF(ISBLANK(E15),"",(VLOOKUP($C15,'Upgrade Parts Future_K_v6.4'!$H$3:$M$528,5,FALSE)))</f>
        <v/>
      </c>
      <c r="H15" s="174" t="str">
        <f t="shared" si="0"/>
        <v/>
      </c>
    </row>
    <row r="16" spans="2:8" ht="20" thickBot="1">
      <c r="B16" s="276"/>
      <c r="C16" s="258"/>
      <c r="D16" s="117" t="str">
        <f>IF(ISBLANK(C16),"",(VLOOKUP($C16,'Upgrade Parts Future_K_v6.4'!$H$3:$M$528,2,FALSE)))</f>
        <v/>
      </c>
      <c r="E16" s="119"/>
      <c r="F16" s="118" t="str">
        <f>IF(ISBLANK(E16), "",
           IF(AND(VLOOKUP(C16,'Upgrade Parts Future_K_v6.4'!$H$3:$K$528,4,FALSE)="Resource Value Unit", E16 &lt; 10), 1,
            IF(VLOOKUP(C16,'Upgrade Parts Future_K_v6.4'!$H$3:$K$528,4,FALSE)="Resource Value Unit", E16/10, E16
        )
    )
)</f>
        <v/>
      </c>
      <c r="G16" s="56" t="str">
        <f>IF(ISBLANK(E16),"",(VLOOKUP($C16,'Upgrade Parts Future_K_v6.4'!$H$3:$M$528,5,FALSE)))</f>
        <v/>
      </c>
      <c r="H16" s="174" t="str">
        <f t="shared" si="0"/>
        <v/>
      </c>
    </row>
    <row r="17" spans="2:8" ht="20" thickBot="1">
      <c r="B17" s="276"/>
      <c r="C17" s="258"/>
      <c r="D17" s="117" t="str">
        <f>IF(ISBLANK(C17),"",(VLOOKUP($C17,'Upgrade Parts Future_K_v6.4'!$H$3:$M$528,2,FALSE)))</f>
        <v/>
      </c>
      <c r="E17" s="119"/>
      <c r="F17" s="118" t="str">
        <f>IF(ISBLANK(E17), "",
           IF(AND(VLOOKUP(C17,'Upgrade Parts Future_K_v6.4'!$H$3:$K$528,4,FALSE)="Resource Value Unit", E17 &lt; 10), 1,
            IF(VLOOKUP(C17,'Upgrade Parts Future_K_v6.4'!$H$3:$K$528,4,FALSE)="Resource Value Unit", E17/10, E17
        )
    )
)</f>
        <v/>
      </c>
      <c r="G17" s="56" t="str">
        <f>IF(ISBLANK(E17),"",(VLOOKUP($C17,'Upgrade Parts Future_K_v6.4'!$H$3:$M$528,5,FALSE)))</f>
        <v/>
      </c>
      <c r="H17" s="174" t="str">
        <f t="shared" si="0"/>
        <v/>
      </c>
    </row>
    <row r="18" spans="2:8" ht="20" thickBot="1">
      <c r="B18" s="276"/>
      <c r="C18" s="258"/>
      <c r="D18" s="117" t="str">
        <f>IF(ISBLANK(C18),"",(VLOOKUP($C18,'Upgrade Parts Future_K_v6.4'!$H$3:$M$528,2,FALSE)))</f>
        <v/>
      </c>
      <c r="E18" s="119"/>
      <c r="F18" s="118" t="str">
        <f>IF(ISBLANK(E18), "",
           IF(AND(VLOOKUP(C18,'Upgrade Parts Future_K_v6.4'!$H$3:$K$528,4,FALSE)="Resource Value Unit", E18 &lt; 10), 1,
            IF(VLOOKUP(C18,'Upgrade Parts Future_K_v6.4'!$H$3:$K$528,4,FALSE)="Resource Value Unit", E18/10, E18
        )
    )
)</f>
        <v/>
      </c>
      <c r="G18" s="56" t="str">
        <f>IF(ISBLANK(E18),"",(VLOOKUP($C18,'Upgrade Parts Future_K_v6.4'!$H$3:$M$528,5,FALSE)))</f>
        <v/>
      </c>
      <c r="H18" s="174" t="str">
        <f t="shared" si="0"/>
        <v/>
      </c>
    </row>
    <row r="19" spans="2:8" ht="20" thickBot="1">
      <c r="B19" s="276"/>
      <c r="C19" s="258"/>
      <c r="D19" s="117" t="str">
        <f>IF(ISBLANK(C19),"",(VLOOKUP($C19,'Upgrade Parts Future_K_v6.4'!$H$3:$M$528,2,FALSE)))</f>
        <v/>
      </c>
      <c r="E19" s="119"/>
      <c r="F19" s="118" t="str">
        <f>IF(ISBLANK(E19), "",
           IF(AND(VLOOKUP(C19,'Upgrade Parts Future_K_v6.4'!$H$3:$K$528,4,FALSE)="Resource Value Unit", E19 &lt; 10), 1,
            IF(VLOOKUP(C19,'Upgrade Parts Future_K_v6.4'!$H$3:$K$528,4,FALSE)="Resource Value Unit", E19/10, E19
        )
    )
)</f>
        <v/>
      </c>
      <c r="G19" s="56" t="str">
        <f>IF(ISBLANK(E19),"",(VLOOKUP($C19,'Upgrade Parts Future_K_v6.4'!$H$3:$M$528,5,FALSE)))</f>
        <v/>
      </c>
      <c r="H19" s="174" t="str">
        <f t="shared" si="0"/>
        <v/>
      </c>
    </row>
    <row r="20" spans="2:8" ht="20" thickBot="1">
      <c r="B20" s="276"/>
      <c r="C20" s="258"/>
      <c r="D20" s="117" t="str">
        <f>IF(ISBLANK(C20),"",(VLOOKUP($C20,'Upgrade Parts Future_K_v6.4'!$H$3:$M$528,2,FALSE)))</f>
        <v/>
      </c>
      <c r="E20" s="119"/>
      <c r="F20" s="118" t="str">
        <f>IF(ISBLANK(E20), "",
           IF(AND(VLOOKUP(C20,'Upgrade Parts Future_K_v6.4'!$H$3:$K$528,4,FALSE)="Resource Value Unit", E20 &lt; 10), 1,
            IF(VLOOKUP(C20,'Upgrade Parts Future_K_v6.4'!$H$3:$K$528,4,FALSE)="Resource Value Unit", E20/10, E20
        )
    )
)</f>
        <v/>
      </c>
      <c r="G20" s="56" t="str">
        <f>IF(ISBLANK(E20),"",(VLOOKUP($C20,'Upgrade Parts Future_K_v6.4'!$H$3:$M$528,5,FALSE)))</f>
        <v/>
      </c>
      <c r="H20" s="174" t="str">
        <f t="shared" si="0"/>
        <v/>
      </c>
    </row>
    <row r="21" spans="2:8" ht="20" thickBot="1">
      <c r="B21" s="276"/>
      <c r="C21" s="258"/>
      <c r="D21" s="117" t="str">
        <f>IF(ISBLANK(C21),"",(VLOOKUP($C21,'Upgrade Parts Future_K_v6.4'!$H$3:$M$528,2,FALSE)))</f>
        <v/>
      </c>
      <c r="E21" s="119"/>
      <c r="F21" s="118" t="str">
        <f>IF(ISBLANK(E21), "",
           IF(AND(VLOOKUP(C21,'Upgrade Parts Future_K_v6.4'!$H$3:$K$528,4,FALSE)="Resource Value Unit", E21 &lt; 10), 1,
            IF(VLOOKUP(C21,'Upgrade Parts Future_K_v6.4'!$H$3:$K$528,4,FALSE)="Resource Value Unit", E21/10, E21
        )
    )
)</f>
        <v/>
      </c>
      <c r="G21" s="56" t="str">
        <f>IF(ISBLANK(E21),"",(VLOOKUP($C21,'Upgrade Parts Future_K_v6.4'!$H$3:$M$528,5,FALSE)))</f>
        <v/>
      </c>
      <c r="H21" s="174" t="str">
        <f t="shared" si="0"/>
        <v/>
      </c>
    </row>
    <row r="22" spans="2:8" ht="20" thickBot="1">
      <c r="B22" s="276"/>
      <c r="C22" s="258"/>
      <c r="D22" s="117" t="str">
        <f>IF(ISBLANK(C22),"",(VLOOKUP($C22,'Upgrade Parts Future_K_v6.4'!$H$3:$M$528,2,FALSE)))</f>
        <v/>
      </c>
      <c r="E22" s="119"/>
      <c r="F22" s="118" t="str">
        <f>IF(ISBLANK(E22), "",
           IF(AND(VLOOKUP(C22,'Upgrade Parts Future_K_v6.4'!$H$3:$K$528,4,FALSE)="Resource Value Unit", E22 &lt; 10), 1,
            IF(VLOOKUP(C22,'Upgrade Parts Future_K_v6.4'!$H$3:$K$528,4,FALSE)="Resource Value Unit", E22/10, E22
        )
    )
)</f>
        <v/>
      </c>
      <c r="G22" s="56" t="str">
        <f>IF(ISBLANK(E22),"",(VLOOKUP($C22,'Upgrade Parts Future_K_v6.4'!$H$3:$M$528,5,FALSE)))</f>
        <v/>
      </c>
      <c r="H22" s="174" t="str">
        <f t="shared" si="0"/>
        <v/>
      </c>
    </row>
    <row r="23" spans="2:8" ht="20" thickBot="1">
      <c r="B23" s="276"/>
      <c r="C23" s="258"/>
      <c r="D23" s="117" t="str">
        <f>IF(ISBLANK(C23),"",(VLOOKUP($C23,'Upgrade Parts Future_K_v6.4'!$H$3:$M$528,2,FALSE)))</f>
        <v/>
      </c>
      <c r="E23" s="119"/>
      <c r="F23" s="118" t="str">
        <f>IF(ISBLANK(E23), "",
           IF(AND(VLOOKUP(C23,'Upgrade Parts Future_K_v6.4'!$H$3:$K$528,4,FALSE)="Resource Value Unit", E23 &lt; 10), 1,
            IF(VLOOKUP(C23,'Upgrade Parts Future_K_v6.4'!$H$3:$K$528,4,FALSE)="Resource Value Unit", E23/10, E23
        )
    )
)</f>
        <v/>
      </c>
      <c r="G23" s="56" t="str">
        <f>IF(ISBLANK(E23),"",(VLOOKUP($C23,'Upgrade Parts Future_K_v6.4'!$H$3:$M$528,5,FALSE)))</f>
        <v/>
      </c>
      <c r="H23" s="174" t="str">
        <f t="shared" si="0"/>
        <v/>
      </c>
    </row>
    <row r="24" spans="2:8" ht="20" thickBot="1">
      <c r="B24" s="276"/>
      <c r="C24" s="258"/>
      <c r="D24" s="117" t="str">
        <f>IF(ISBLANK(C24),"",(VLOOKUP($C24,'Upgrade Parts Future_K_v6.4'!$H$3:$M$528,2,FALSE)))</f>
        <v/>
      </c>
      <c r="E24" s="119"/>
      <c r="F24" s="118" t="str">
        <f>IF(ISBLANK(E24), "",
           IF(AND(VLOOKUP(C24,'Upgrade Parts Future_K_v6.4'!$H$3:$K$528,4,FALSE)="Resource Value Unit", E24 &lt; 10), 1,
            IF(VLOOKUP(C24,'Upgrade Parts Future_K_v6.4'!$H$3:$K$528,4,FALSE)="Resource Value Unit", E24/10, E24
        )
    )
)</f>
        <v/>
      </c>
      <c r="G24" s="56" t="str">
        <f>IF(ISBLANK(E24),"",(VLOOKUP($C24,'Upgrade Parts Future_K_v6.4'!$H$3:$M$528,5,FALSE)))</f>
        <v/>
      </c>
      <c r="H24" s="174" t="str">
        <f t="shared" si="0"/>
        <v/>
      </c>
    </row>
    <row r="25" spans="2:8" ht="20" thickBot="1">
      <c r="B25" s="276"/>
      <c r="C25" s="258"/>
      <c r="D25" s="117" t="str">
        <f>IF(ISBLANK(C25),"",(VLOOKUP($C25,'Upgrade Parts Future_K_v6.4'!$H$3:$M$528,2,FALSE)))</f>
        <v/>
      </c>
      <c r="E25" s="119"/>
      <c r="F25" s="118" t="str">
        <f>IF(ISBLANK(E25), "",
           IF(AND(VLOOKUP(C25,'Upgrade Parts Future_K_v6.4'!$H$3:$K$528,4,FALSE)="Resource Value Unit", E25 &lt; 10), 1,
            IF(VLOOKUP(C25,'Upgrade Parts Future_K_v6.4'!$H$3:$K$528,4,FALSE)="Resource Value Unit", E25/10, E25
        )
    )
)</f>
        <v/>
      </c>
      <c r="G25" s="56" t="str">
        <f>IF(ISBLANK(E25),"",(VLOOKUP($C25,'Upgrade Parts Future_K_v6.4'!$H$3:$M$528,5,FALSE)))</f>
        <v/>
      </c>
      <c r="H25" s="174" t="str">
        <f t="shared" si="0"/>
        <v/>
      </c>
    </row>
    <row r="26" spans="2:8" ht="20" thickBot="1">
      <c r="B26" s="276"/>
      <c r="C26" s="258"/>
      <c r="D26" s="117" t="str">
        <f>IF(ISBLANK(C26),"",(VLOOKUP($C26,'Upgrade Parts Future_K_v6.4'!$H$3:$M$528,2,FALSE)))</f>
        <v/>
      </c>
      <c r="E26" s="119"/>
      <c r="F26" s="118" t="str">
        <f>IF(ISBLANK(E26), "",
           IF(AND(VLOOKUP(C26,'Upgrade Parts Future_K_v6.4'!$H$3:$K$528,4,FALSE)="Resource Value Unit", E26 &lt; 10), 1,
            IF(VLOOKUP(C26,'Upgrade Parts Future_K_v6.4'!$H$3:$K$528,4,FALSE)="Resource Value Unit", E26/10, E26
        )
    )
)</f>
        <v/>
      </c>
      <c r="G26" s="56" t="str">
        <f>IF(ISBLANK(E26),"",(VLOOKUP($C26,'Upgrade Parts Future_K_v6.4'!$H$3:$M$528,5,FALSE)))</f>
        <v/>
      </c>
      <c r="H26" s="174" t="str">
        <f t="shared" si="0"/>
        <v/>
      </c>
    </row>
    <row r="27" spans="2:8" ht="20" thickBot="1">
      <c r="B27" s="276"/>
      <c r="C27" s="258"/>
      <c r="D27" s="117" t="str">
        <f>IF(ISBLANK(C27),"",(VLOOKUP($C27,'Upgrade Parts Future_K_v6.4'!$H$3:$M$528,2,FALSE)))</f>
        <v/>
      </c>
      <c r="E27" s="119"/>
      <c r="F27" s="118" t="str">
        <f>IF(ISBLANK(E27), "",
           IF(AND(VLOOKUP(C27,'Upgrade Parts Future_K_v6.4'!$H$3:$K$528,4,FALSE)="Resource Value Unit", E27 &lt; 10), 1,
            IF(VLOOKUP(C27,'Upgrade Parts Future_K_v6.4'!$H$3:$K$528,4,FALSE)="Resource Value Unit", E27/10, E27
        )
    )
)</f>
        <v/>
      </c>
      <c r="G27" s="56" t="str">
        <f>IF(ISBLANK(E27),"",(VLOOKUP($C27,'Upgrade Parts Future_K_v6.4'!$H$3:$M$528,5,FALSE)))</f>
        <v/>
      </c>
      <c r="H27" s="174" t="str">
        <f t="shared" si="0"/>
        <v/>
      </c>
    </row>
    <row r="28" spans="2:8" ht="20" thickBot="1">
      <c r="B28" s="276"/>
      <c r="C28" s="258"/>
      <c r="D28" s="117" t="str">
        <f>IF(ISBLANK(C28),"",(VLOOKUP($C28,'Upgrade Parts Future_K_v6.4'!$H$3:$M$528,2,FALSE)))</f>
        <v/>
      </c>
      <c r="E28" s="119"/>
      <c r="F28" s="118" t="str">
        <f>IF(ISBLANK(E28), "",
           IF(AND(VLOOKUP(C28,'Upgrade Parts Future_K_v6.4'!$H$3:$K$528,4,FALSE)="Resource Value Unit", E28 &lt; 10), 1,
            IF(VLOOKUP(C28,'Upgrade Parts Future_K_v6.4'!$H$3:$K$528,4,FALSE)="Resource Value Unit", E28/10, E28
        )
    )
)</f>
        <v/>
      </c>
      <c r="G28" s="56" t="str">
        <f>IF(ISBLANK(E28),"",(VLOOKUP($C28,'Upgrade Parts Future_K_v6.4'!$H$3:$M$528,5,FALSE)))</f>
        <v/>
      </c>
      <c r="H28" s="174" t="str">
        <f t="shared" si="0"/>
        <v/>
      </c>
    </row>
    <row r="29" spans="2:8" ht="20" thickBot="1">
      <c r="B29" s="276"/>
      <c r="C29" s="258"/>
      <c r="D29" s="117" t="str">
        <f>IF(ISBLANK(C29),"",(VLOOKUP($C29,'Upgrade Parts Future_K_v6.4'!$H$3:$M$528,2,FALSE)))</f>
        <v/>
      </c>
      <c r="E29" s="119"/>
      <c r="F29" s="118" t="str">
        <f>IF(ISBLANK(E29), "",
           IF(AND(VLOOKUP(C29,'Upgrade Parts Future_K_v6.4'!$H$3:$K$528,4,FALSE)="Resource Value Unit", E29 &lt; 10), 1,
            IF(VLOOKUP(C29,'Upgrade Parts Future_K_v6.4'!$H$3:$K$528,4,FALSE)="Resource Value Unit", E29/10, E29
        )
    )
)</f>
        <v/>
      </c>
      <c r="G29" s="56" t="str">
        <f>IF(ISBLANK(E29),"",(VLOOKUP($C29,'Upgrade Parts Future_K_v6.4'!$H$3:$M$528,5,FALSE)))</f>
        <v/>
      </c>
      <c r="H29" s="174" t="str">
        <f t="shared" si="0"/>
        <v/>
      </c>
    </row>
    <row r="30" spans="2:8" ht="20" thickBot="1">
      <c r="B30" s="276"/>
      <c r="C30" s="258"/>
      <c r="D30" s="117"/>
      <c r="E30" s="119"/>
      <c r="F30" s="118"/>
      <c r="G30" s="56"/>
      <c r="H30" s="174"/>
    </row>
    <row r="31" spans="2:8" ht="20" thickBot="1">
      <c r="B31" s="276"/>
      <c r="C31" s="258"/>
      <c r="D31" s="117"/>
      <c r="E31" s="119"/>
      <c r="F31" s="118"/>
      <c r="G31" s="56"/>
      <c r="H31" s="174"/>
    </row>
    <row r="32" spans="2:8" ht="20" thickBot="1">
      <c r="B32" s="276"/>
      <c r="C32" s="258"/>
      <c r="D32" s="117"/>
      <c r="E32" s="119"/>
      <c r="F32" s="118"/>
      <c r="G32" s="56"/>
      <c r="H32" s="174"/>
    </row>
    <row r="33" spans="2:8" ht="20" thickBot="1">
      <c r="B33" s="276"/>
      <c r="C33" s="258"/>
      <c r="D33" s="117"/>
      <c r="E33" s="119"/>
      <c r="F33" s="118"/>
      <c r="G33" s="56"/>
      <c r="H33" s="174"/>
    </row>
    <row r="34" spans="2:8" ht="20" thickBot="1">
      <c r="B34" s="276"/>
      <c r="C34" s="258"/>
      <c r="D34" s="117"/>
      <c r="E34" s="119"/>
      <c r="F34" s="118"/>
      <c r="G34" s="56"/>
      <c r="H34" s="174"/>
    </row>
    <row r="35" spans="2:8" ht="20" thickBot="1">
      <c r="B35" s="277"/>
      <c r="C35" s="258"/>
      <c r="D35" s="117" t="str">
        <f>IF(ISBLANK(C35),"",(VLOOKUP($C35,'Upgrade Parts Future_K_v6.4'!$H$3:$M$528,2,FALSE)))</f>
        <v/>
      </c>
      <c r="E35" s="119"/>
      <c r="F35" s="118" t="str">
        <f>IF(ISBLANK(E35), "",
           IF(AND(VLOOKUP(C35,'Upgrade Parts Future_K_v6.4'!$H$3:$K$528,4,FALSE)="Resource Value Unit", E35 &lt; 10), 1,
            IF(VLOOKUP(C35,'Upgrade Parts Future_K_v6.4'!$H$3:$K$528,4,FALSE)="Resource Value Unit", E35/10, E35
        )
    )
)</f>
        <v/>
      </c>
      <c r="G35" s="56" t="str">
        <f>IF(ISBLANK(E35),"",(VLOOKUP($C35,'Upgrade Parts Future_K_v6.4'!$H$3:$M$528,5,FALSE)))</f>
        <v/>
      </c>
      <c r="H35" s="174" t="str">
        <f t="shared" si="0"/>
        <v/>
      </c>
    </row>
    <row r="36" spans="2:8" ht="19">
      <c r="B36" s="278" t="s">
        <v>1275</v>
      </c>
      <c r="C36" s="297"/>
      <c r="D36" s="279"/>
      <c r="E36" s="110">
        <f>SUM(E5:E35)</f>
        <v>0</v>
      </c>
      <c r="F36" s="298"/>
      <c r="G36" s="299"/>
      <c r="H36" s="111">
        <f>MROUND(SUM(H5:H35),5)</f>
        <v>0</v>
      </c>
    </row>
  </sheetData>
  <sheetProtection algorithmName="SHA-512" hashValue="haWeW2uagdRr5J19mVe8auBsFL+r03McmQwfTLDEc+L7sPFEzn6Mk5CEUalRguu4yRKt5eIiBIP7o5+k27SPAw==" saltValue="aWObyTdr/YChJCE7VEmEqQ==" spinCount="100000" sheet="1" objects="1" scenarios="1"/>
  <mergeCells count="3">
    <mergeCell ref="B5:B35"/>
    <mergeCell ref="B36:D36"/>
    <mergeCell ref="F36:G3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1DCFC7-E990-7D4F-91DA-49E23C331FF7}">
          <x14:formula1>
            <xm:f>'Upgrade Parts Future_K_v6.4'!$H$3:$H$528</xm:f>
          </x14:formula1>
          <xm:sqref>C5:C29 C31:C35 C30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30F5-DE02-7E48-A18A-B3D976224DE4}">
  <sheetPr codeName="Sheet11">
    <tabColor rgb="FF521B93"/>
  </sheetPr>
  <dimension ref="A1:M42"/>
  <sheetViews>
    <sheetView zoomScale="84" zoomScaleNormal="84" workbookViewId="0">
      <selection activeCell="L40" sqref="L40"/>
    </sheetView>
  </sheetViews>
  <sheetFormatPr baseColWidth="10" defaultColWidth="8.83203125" defaultRowHeight="15"/>
  <cols>
    <col min="1" max="1" width="21.6640625" customWidth="1"/>
    <col min="2" max="2" width="24.5" bestFit="1" customWidth="1"/>
    <col min="3" max="3" width="14" bestFit="1" customWidth="1"/>
    <col min="4" max="4" width="26.33203125" customWidth="1"/>
    <col min="5" max="6" width="12.5" bestFit="1" customWidth="1"/>
    <col min="7" max="7" width="11.5" customWidth="1"/>
    <col min="8" max="8" width="14" bestFit="1" customWidth="1"/>
    <col min="9" max="9" width="15.6640625" customWidth="1"/>
    <col min="10" max="10" width="14" bestFit="1" customWidth="1"/>
    <col min="11" max="11" width="28" customWidth="1"/>
  </cols>
  <sheetData>
    <row r="1" spans="1:10">
      <c r="A1" s="280" t="s">
        <v>1472</v>
      </c>
      <c r="B1" s="280"/>
      <c r="H1" s="120" t="s">
        <v>1470</v>
      </c>
    </row>
    <row r="2" spans="1:10">
      <c r="A2" t="s">
        <v>1457</v>
      </c>
      <c r="H2" s="187" t="s">
        <v>1471</v>
      </c>
    </row>
    <row r="3" spans="1:10">
      <c r="A3" s="281" t="s">
        <v>1458</v>
      </c>
      <c r="B3" s="281"/>
      <c r="C3" s="281"/>
      <c r="D3" s="281"/>
      <c r="H3" s="217" t="s">
        <v>1498</v>
      </c>
    </row>
    <row r="4" spans="1:10">
      <c r="A4" t="s">
        <v>1525</v>
      </c>
      <c r="B4" s="173"/>
      <c r="C4" s="173"/>
      <c r="D4" s="173"/>
      <c r="E4" s="173"/>
      <c r="F4" s="173"/>
      <c r="G4" s="173"/>
    </row>
    <row r="7" spans="1:10">
      <c r="A7" s="74" t="s">
        <v>1416</v>
      </c>
      <c r="B7" s="120"/>
      <c r="C7" t="s">
        <v>1466</v>
      </c>
    </row>
    <row r="8" spans="1:10" ht="16" thickBot="1"/>
    <row r="9" spans="1:10" ht="16" thickBot="1">
      <c r="A9" s="300" t="s">
        <v>1468</v>
      </c>
      <c r="B9" s="301"/>
      <c r="C9" s="301"/>
      <c r="D9" s="301"/>
      <c r="E9" s="301"/>
      <c r="F9" s="301"/>
      <c r="G9" s="301"/>
      <c r="H9" s="302"/>
    </row>
    <row r="10" spans="1:10" s="74" customFormat="1" ht="49" customHeight="1" thickBot="1">
      <c r="A10" s="121" t="s">
        <v>1554</v>
      </c>
      <c r="B10" s="122" t="s">
        <v>1420</v>
      </c>
      <c r="C10" s="175" t="s">
        <v>1459</v>
      </c>
      <c r="D10" s="123" t="s">
        <v>1542</v>
      </c>
      <c r="E10" s="123" t="s">
        <v>1463</v>
      </c>
      <c r="F10" s="123" t="s">
        <v>1462</v>
      </c>
      <c r="G10" s="124" t="s">
        <v>1423</v>
      </c>
      <c r="H10" s="125" t="s">
        <v>1424</v>
      </c>
      <c r="I10" s="126" t="s">
        <v>1496</v>
      </c>
      <c r="J10" s="126" t="s">
        <v>1497</v>
      </c>
    </row>
    <row r="11" spans="1:10" ht="14.25" customHeight="1">
      <c r="A11" s="128"/>
      <c r="B11" s="128"/>
      <c r="C11" s="185">
        <f>B11*1.485</f>
        <v>0</v>
      </c>
      <c r="D11" s="128"/>
      <c r="E11" s="128">
        <v>664</v>
      </c>
      <c r="F11" s="183">
        <f>D11*E11</f>
        <v>0</v>
      </c>
      <c r="G11" s="131" t="e">
        <f>1-(H11/F11)</f>
        <v>#DIV/0!</v>
      </c>
      <c r="H11" s="184">
        <f>C11</f>
        <v>0</v>
      </c>
      <c r="I11" s="216">
        <f>(+H11*0.7407)</f>
        <v>0</v>
      </c>
      <c r="J11" s="216">
        <f>(+H11*0.2593)</f>
        <v>0</v>
      </c>
    </row>
    <row r="12" spans="1:10">
      <c r="H12" s="133"/>
      <c r="I12" s="133"/>
      <c r="J12" s="133"/>
    </row>
    <row r="13" spans="1:10">
      <c r="F13" s="177">
        <f>+F11</f>
        <v>0</v>
      </c>
      <c r="G13" s="66" t="s">
        <v>1427</v>
      </c>
      <c r="H13" s="177">
        <f>(+H11*0.7407)*1.1</f>
        <v>0</v>
      </c>
      <c r="I13" t="s">
        <v>1469</v>
      </c>
    </row>
    <row r="14" spans="1:10">
      <c r="F14" s="177">
        <f>+F13</f>
        <v>0</v>
      </c>
      <c r="G14" s="66" t="s">
        <v>1428</v>
      </c>
      <c r="H14" s="177">
        <f>+H13*1.1</f>
        <v>0</v>
      </c>
      <c r="I14" t="s">
        <v>1469</v>
      </c>
      <c r="J14" s="133"/>
    </row>
    <row r="15" spans="1:10" ht="16" thickBot="1">
      <c r="F15" s="177">
        <f>+F14</f>
        <v>0</v>
      </c>
      <c r="G15" s="66" t="s">
        <v>1429</v>
      </c>
      <c r="H15" s="177">
        <f>+H14*1.1</f>
        <v>0</v>
      </c>
      <c r="I15" t="s">
        <v>1469</v>
      </c>
      <c r="J15" s="133"/>
    </row>
    <row r="16" spans="1:10" ht="33" thickBot="1">
      <c r="F16" s="178">
        <f>+F15</f>
        <v>0</v>
      </c>
      <c r="G16" s="66" t="s">
        <v>1430</v>
      </c>
      <c r="H16" s="178">
        <f>+H15*1.1</f>
        <v>0</v>
      </c>
      <c r="I16" s="136" t="s">
        <v>1461</v>
      </c>
      <c r="J16" s="133"/>
    </row>
    <row r="17" spans="1:10" ht="16" thickBot="1">
      <c r="F17" s="179">
        <f>F11+F13+F14</f>
        <v>0</v>
      </c>
      <c r="G17" s="176" t="s">
        <v>1432</v>
      </c>
      <c r="H17" s="181">
        <f>H11+H13+H14</f>
        <v>0</v>
      </c>
      <c r="I17" s="186">
        <f>+H11*0.2593</f>
        <v>0</v>
      </c>
      <c r="J17" s="139"/>
    </row>
    <row r="18" spans="1:10" ht="16" thickBot="1">
      <c r="F18" s="180">
        <f>F17+F15+F16</f>
        <v>0</v>
      </c>
      <c r="G18" s="176" t="s">
        <v>1433</v>
      </c>
      <c r="H18" s="182">
        <f>H17+H15+H16</f>
        <v>0</v>
      </c>
      <c r="I18" s="186">
        <f>+H11*0.2593</f>
        <v>0</v>
      </c>
      <c r="J18" s="141"/>
    </row>
    <row r="19" spans="1:10" ht="16" hidden="1" thickBot="1">
      <c r="A19" s="282" t="s">
        <v>1434</v>
      </c>
      <c r="B19" s="283"/>
      <c r="C19" s="283"/>
      <c r="D19" s="283"/>
      <c r="E19" s="283"/>
      <c r="F19" s="283"/>
      <c r="G19" s="303"/>
      <c r="H19" s="304"/>
      <c r="I19" s="142">
        <f>H19*0.11</f>
        <v>0</v>
      </c>
      <c r="J19" s="141"/>
    </row>
    <row r="20" spans="1:10" ht="17" hidden="1" thickBot="1">
      <c r="A20" s="143" t="s">
        <v>1435</v>
      </c>
      <c r="B20" s="144" t="s">
        <v>1436</v>
      </c>
      <c r="C20" s="144" t="s">
        <v>1437</v>
      </c>
      <c r="D20" s="144" t="s">
        <v>1438</v>
      </c>
      <c r="E20" s="144" t="s">
        <v>1439</v>
      </c>
      <c r="F20" s="144"/>
      <c r="G20" s="144" t="s">
        <v>1423</v>
      </c>
      <c r="H20" s="145" t="s">
        <v>1440</v>
      </c>
    </row>
    <row r="21" spans="1:10" hidden="1">
      <c r="B21" s="146"/>
      <c r="E21" s="147"/>
      <c r="G21" s="148"/>
      <c r="H21" s="141"/>
    </row>
    <row r="22" spans="1:10" hidden="1"/>
    <row r="23" spans="1:10" hidden="1">
      <c r="H23" s="149"/>
    </row>
    <row r="24" spans="1:10" hidden="1">
      <c r="H24" s="149"/>
    </row>
    <row r="25" spans="1:10" hidden="1">
      <c r="H25" s="149"/>
    </row>
    <row r="26" spans="1:10" hidden="1">
      <c r="H26" s="149"/>
    </row>
    <row r="27" spans="1:10" ht="16" hidden="1" thickBot="1">
      <c r="H27" s="150"/>
    </row>
    <row r="31" spans="1:10">
      <c r="A31" s="74" t="s">
        <v>1531</v>
      </c>
    </row>
    <row r="32" spans="1:10" ht="16" thickBot="1"/>
    <row r="33" spans="1:13" ht="16" thickBot="1">
      <c r="A33" s="300" t="s">
        <v>1543</v>
      </c>
      <c r="B33" s="301"/>
      <c r="C33" s="301"/>
      <c r="D33" s="301"/>
      <c r="E33" s="301"/>
      <c r="F33" s="301"/>
      <c r="G33" s="301"/>
      <c r="H33" s="302"/>
    </row>
    <row r="34" spans="1:13" ht="65" thickBot="1">
      <c r="A34" s="121" t="s">
        <v>1554</v>
      </c>
      <c r="B34" s="122" t="s">
        <v>1420</v>
      </c>
      <c r="C34" s="175" t="s">
        <v>1459</v>
      </c>
      <c r="D34" s="123" t="s">
        <v>1542</v>
      </c>
      <c r="E34" s="123" t="s">
        <v>1463</v>
      </c>
      <c r="F34" s="123" t="s">
        <v>1462</v>
      </c>
      <c r="G34" s="124" t="s">
        <v>1423</v>
      </c>
      <c r="H34" s="125" t="s">
        <v>1424</v>
      </c>
      <c r="I34" s="126" t="s">
        <v>1496</v>
      </c>
      <c r="J34" s="126" t="s">
        <v>1497</v>
      </c>
      <c r="K34" s="237" t="s">
        <v>1527</v>
      </c>
      <c r="L34" s="238" t="s">
        <v>1526</v>
      </c>
      <c r="M34" s="239" t="s">
        <v>1423</v>
      </c>
    </row>
    <row r="35" spans="1:13" ht="16" thickBot="1">
      <c r="A35" s="128"/>
      <c r="B35" s="128"/>
      <c r="C35" s="185">
        <f>B35*1.485</f>
        <v>0</v>
      </c>
      <c r="D35" s="128"/>
      <c r="E35" s="128">
        <v>664</v>
      </c>
      <c r="F35" s="183">
        <f>D35*E35</f>
        <v>0</v>
      </c>
      <c r="G35" s="131" t="e">
        <f>1-(H35/F35)</f>
        <v>#DIV/0!</v>
      </c>
      <c r="H35" s="184">
        <f>C35</f>
        <v>0</v>
      </c>
      <c r="I35" s="216">
        <f>(+H35*0.7407)</f>
        <v>0</v>
      </c>
      <c r="J35" s="216">
        <f>(+H35*0.2593)</f>
        <v>0</v>
      </c>
      <c r="K35" s="241">
        <v>0.12</v>
      </c>
      <c r="L35" s="240">
        <f>H35*(1+K35)</f>
        <v>0</v>
      </c>
      <c r="M35" s="236" t="e">
        <f>1-L35/F35</f>
        <v>#DIV/0!</v>
      </c>
    </row>
    <row r="36" spans="1:13">
      <c r="H36" s="133"/>
      <c r="I36" s="133"/>
      <c r="J36" s="133"/>
      <c r="K36" s="133"/>
    </row>
    <row r="37" spans="1:13">
      <c r="F37" s="177">
        <f>+F35</f>
        <v>0</v>
      </c>
      <c r="G37" s="66" t="s">
        <v>1427</v>
      </c>
      <c r="H37" s="177">
        <f>(+H35*0.7407)*1.1</f>
        <v>0</v>
      </c>
      <c r="I37" t="s">
        <v>1469</v>
      </c>
    </row>
    <row r="38" spans="1:13">
      <c r="F38" s="177">
        <f>+F37</f>
        <v>0</v>
      </c>
      <c r="G38" s="66" t="s">
        <v>1428</v>
      </c>
      <c r="H38" s="177">
        <f>+H37*1.1</f>
        <v>0</v>
      </c>
      <c r="I38" t="s">
        <v>1469</v>
      </c>
      <c r="J38" s="133"/>
      <c r="K38" s="133"/>
    </row>
    <row r="39" spans="1:13" ht="16" thickBot="1">
      <c r="F39" s="177">
        <f>+F38</f>
        <v>0</v>
      </c>
      <c r="G39" s="66" t="s">
        <v>1429</v>
      </c>
      <c r="H39" s="177">
        <f>+H38*1.1</f>
        <v>0</v>
      </c>
      <c r="I39" t="s">
        <v>1469</v>
      </c>
      <c r="J39" s="133"/>
      <c r="K39" s="133"/>
    </row>
    <row r="40" spans="1:13" ht="33" thickBot="1">
      <c r="F40" s="178">
        <f>+F39</f>
        <v>0</v>
      </c>
      <c r="G40" s="66" t="s">
        <v>1430</v>
      </c>
      <c r="H40" s="178">
        <f>+H39*1.1</f>
        <v>0</v>
      </c>
      <c r="I40" s="136" t="s">
        <v>1461</v>
      </c>
      <c r="J40" s="133"/>
      <c r="K40" s="133"/>
    </row>
    <row r="41" spans="1:13" ht="16" thickBot="1">
      <c r="F41" s="179">
        <f>F35+F37+F38</f>
        <v>0</v>
      </c>
      <c r="G41" s="176" t="s">
        <v>1432</v>
      </c>
      <c r="H41" s="181">
        <f>H35+H37+H38</f>
        <v>0</v>
      </c>
      <c r="I41" s="186">
        <f>+H35*0.2593</f>
        <v>0</v>
      </c>
      <c r="J41" s="139"/>
      <c r="K41" s="139"/>
    </row>
    <row r="42" spans="1:13" ht="16" thickBot="1">
      <c r="F42" s="180">
        <f>F41+F39+F40</f>
        <v>0</v>
      </c>
      <c r="G42" s="176" t="s">
        <v>1433</v>
      </c>
      <c r="H42" s="182">
        <f>H41+H39+H40</f>
        <v>0</v>
      </c>
      <c r="I42" s="186">
        <f>+H35*0.2593</f>
        <v>0</v>
      </c>
      <c r="J42" s="141"/>
      <c r="K42" s="141"/>
    </row>
  </sheetData>
  <mergeCells count="5">
    <mergeCell ref="A1:B1"/>
    <mergeCell ref="A3:D3"/>
    <mergeCell ref="A9:H9"/>
    <mergeCell ref="A19:H19"/>
    <mergeCell ref="A33:H3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A6E3-AFAF-3142-BAA4-09CFD735665F}">
  <sheetPr>
    <tabColor rgb="FFFF9300"/>
  </sheetPr>
  <dimension ref="A1:U528"/>
  <sheetViews>
    <sheetView topLeftCell="D1" zoomScale="113" zoomScaleNormal="113" workbookViewId="0">
      <selection activeCell="D1" sqref="D1"/>
    </sheetView>
  </sheetViews>
  <sheetFormatPr baseColWidth="10" defaultColWidth="9" defaultRowHeight="15" outlineLevelCol="1"/>
  <cols>
    <col min="1" max="1" width="27.83203125" style="4" customWidth="1"/>
    <col min="2" max="2" width="21.1640625" style="4" customWidth="1"/>
    <col min="3" max="3" width="15" style="4" customWidth="1"/>
    <col min="4" max="4" width="27.1640625" style="4" customWidth="1"/>
    <col min="5" max="5" width="30.5" style="4" customWidth="1"/>
    <col min="6" max="6" width="28.6640625" style="4" customWidth="1"/>
    <col min="7" max="7" width="129" style="4" customWidth="1"/>
    <col min="8" max="8" width="15.1640625" style="4" customWidth="1"/>
    <col min="9" max="9" width="29.5" style="4" customWidth="1"/>
    <col min="10" max="10" width="13.83203125" style="4" customWidth="1"/>
    <col min="11" max="11" width="25" style="4" customWidth="1" outlineLevel="1"/>
    <col min="12" max="12" width="18" style="4" customWidth="1" outlineLevel="1"/>
    <col min="13" max="13" width="12.5" style="4" customWidth="1" outlineLevel="1"/>
    <col min="14" max="14" width="15.5" style="4" customWidth="1" outlineLevel="1"/>
    <col min="15" max="15" width="129.5" style="4" bestFit="1" customWidth="1" outlineLevel="1"/>
    <col min="17" max="16384" width="9" style="4"/>
  </cols>
  <sheetData>
    <row r="1" spans="1:14" ht="16" thickBo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s="9" customFormat="1" ht="41" thickTop="1" thickBot="1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7</v>
      </c>
      <c r="G2" s="5" t="s">
        <v>8</v>
      </c>
      <c r="H2" s="5" t="s">
        <v>9</v>
      </c>
      <c r="I2" s="5" t="s">
        <v>10</v>
      </c>
      <c r="J2" s="223" t="s">
        <v>16</v>
      </c>
      <c r="K2" s="224"/>
      <c r="L2" s="224"/>
      <c r="M2" s="224"/>
      <c r="N2" s="224"/>
    </row>
    <row r="3" spans="1:14" ht="29.25" customHeight="1" thickBot="1">
      <c r="A3" s="10" t="s">
        <v>21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0" t="s">
        <v>29</v>
      </c>
      <c r="I3" s="10" t="s">
        <v>30</v>
      </c>
      <c r="J3" s="10" t="s">
        <v>31</v>
      </c>
    </row>
    <row r="4" spans="1:14" ht="29.25" customHeight="1" thickBot="1">
      <c r="A4" s="10" t="s">
        <v>21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29</v>
      </c>
      <c r="G4" s="10" t="s">
        <v>32</v>
      </c>
      <c r="H4" s="10" t="s">
        <v>29</v>
      </c>
      <c r="I4" s="10" t="s">
        <v>30</v>
      </c>
      <c r="J4" s="10" t="s">
        <v>33</v>
      </c>
    </row>
    <row r="5" spans="1:14" ht="29.25" customHeight="1" thickBot="1">
      <c r="A5" s="10" t="s">
        <v>21</v>
      </c>
      <c r="B5" s="10" t="s">
        <v>23</v>
      </c>
      <c r="C5" s="10" t="s">
        <v>24</v>
      </c>
      <c r="D5" s="10" t="s">
        <v>25</v>
      </c>
      <c r="E5" s="10" t="s">
        <v>26</v>
      </c>
      <c r="F5" s="10" t="s">
        <v>34</v>
      </c>
      <c r="G5" s="10" t="s">
        <v>35</v>
      </c>
      <c r="H5" s="10" t="s">
        <v>29</v>
      </c>
      <c r="I5" s="10" t="s">
        <v>30</v>
      </c>
      <c r="J5" s="10" t="s">
        <v>36</v>
      </c>
    </row>
    <row r="6" spans="1:14" ht="29.25" customHeight="1" thickBot="1">
      <c r="A6" s="10" t="s">
        <v>21</v>
      </c>
      <c r="B6" s="10" t="s">
        <v>23</v>
      </c>
      <c r="C6" s="10" t="s">
        <v>24</v>
      </c>
      <c r="D6" s="10" t="s">
        <v>25</v>
      </c>
      <c r="E6" s="10" t="s">
        <v>26</v>
      </c>
      <c r="F6" s="10" t="s">
        <v>37</v>
      </c>
      <c r="G6" s="10" t="s">
        <v>38</v>
      </c>
      <c r="H6" s="10" t="s">
        <v>39</v>
      </c>
      <c r="I6" s="10" t="s">
        <v>40</v>
      </c>
      <c r="J6" s="10" t="s">
        <v>31</v>
      </c>
    </row>
    <row r="7" spans="1:14" ht="29.25" customHeight="1" thickBot="1">
      <c r="A7" s="10" t="s">
        <v>21</v>
      </c>
      <c r="B7" s="10" t="s">
        <v>23</v>
      </c>
      <c r="C7" s="10" t="s">
        <v>24</v>
      </c>
      <c r="D7" s="10" t="s">
        <v>25</v>
      </c>
      <c r="E7" s="10" t="s">
        <v>26</v>
      </c>
      <c r="F7" s="10" t="s">
        <v>39</v>
      </c>
      <c r="G7" s="10" t="s">
        <v>41</v>
      </c>
      <c r="H7" s="10" t="s">
        <v>39</v>
      </c>
      <c r="I7" s="10" t="s">
        <v>40</v>
      </c>
      <c r="J7" s="10" t="s">
        <v>33</v>
      </c>
    </row>
    <row r="8" spans="1:14" ht="16" thickBot="1">
      <c r="A8" s="10" t="s">
        <v>21</v>
      </c>
      <c r="B8" s="10" t="s">
        <v>23</v>
      </c>
      <c r="C8" s="10" t="s">
        <v>24</v>
      </c>
      <c r="D8" s="10" t="s">
        <v>25</v>
      </c>
      <c r="E8" s="10" t="s">
        <v>26</v>
      </c>
      <c r="F8" s="10" t="s">
        <v>43</v>
      </c>
      <c r="G8" s="10" t="s">
        <v>44</v>
      </c>
      <c r="H8" s="10" t="s">
        <v>39</v>
      </c>
      <c r="I8" s="10" t="s">
        <v>40</v>
      </c>
      <c r="J8" s="10" t="s">
        <v>36</v>
      </c>
    </row>
    <row r="9" spans="1:14" ht="27" thickBot="1">
      <c r="A9" s="10" t="s">
        <v>21</v>
      </c>
      <c r="B9" s="10" t="s">
        <v>23</v>
      </c>
      <c r="C9" s="10" t="s">
        <v>24</v>
      </c>
      <c r="D9" s="10" t="s">
        <v>25</v>
      </c>
      <c r="E9" s="10" t="s">
        <v>26</v>
      </c>
      <c r="F9" s="10" t="s">
        <v>45</v>
      </c>
      <c r="G9" s="225" t="s">
        <v>46</v>
      </c>
      <c r="H9" s="10" t="s">
        <v>47</v>
      </c>
      <c r="I9" s="10" t="s">
        <v>40</v>
      </c>
      <c r="J9" s="10" t="s">
        <v>48</v>
      </c>
    </row>
    <row r="10" spans="1:14" ht="16" thickBot="1">
      <c r="A10" s="10" t="s">
        <v>21</v>
      </c>
      <c r="B10" s="10" t="s">
        <v>23</v>
      </c>
      <c r="C10" s="10" t="s">
        <v>24</v>
      </c>
      <c r="D10" s="10" t="s">
        <v>25</v>
      </c>
      <c r="E10" s="10" t="s">
        <v>26</v>
      </c>
      <c r="F10" s="10" t="s">
        <v>49</v>
      </c>
      <c r="G10" s="10" t="s">
        <v>50</v>
      </c>
      <c r="H10" s="10" t="s">
        <v>47</v>
      </c>
      <c r="I10" s="10" t="s">
        <v>40</v>
      </c>
      <c r="J10" s="10" t="s">
        <v>31</v>
      </c>
    </row>
    <row r="11" spans="1:14" ht="29.25" customHeight="1" thickBot="1">
      <c r="A11" s="10" t="s">
        <v>21</v>
      </c>
      <c r="B11" s="10" t="s">
        <v>23</v>
      </c>
      <c r="C11" s="10" t="s">
        <v>24</v>
      </c>
      <c r="D11" s="10" t="s">
        <v>25</v>
      </c>
      <c r="E11" s="10" t="s">
        <v>26</v>
      </c>
      <c r="F11" s="10" t="s">
        <v>47</v>
      </c>
      <c r="G11" s="10" t="s">
        <v>51</v>
      </c>
      <c r="H11" s="10" t="s">
        <v>47</v>
      </c>
      <c r="I11" s="10" t="s">
        <v>40</v>
      </c>
      <c r="J11" s="10" t="s">
        <v>33</v>
      </c>
    </row>
    <row r="12" spans="1:14" ht="16" thickBot="1">
      <c r="A12" s="10" t="s">
        <v>21</v>
      </c>
      <c r="B12" s="10" t="s">
        <v>23</v>
      </c>
      <c r="C12" s="10" t="s">
        <v>24</v>
      </c>
      <c r="D12" s="10" t="s">
        <v>25</v>
      </c>
      <c r="E12" s="10" t="s">
        <v>26</v>
      </c>
      <c r="F12" s="10" t="s">
        <v>52</v>
      </c>
      <c r="G12" s="10" t="s">
        <v>53</v>
      </c>
      <c r="H12" s="10" t="s">
        <v>47</v>
      </c>
      <c r="I12" s="10" t="s">
        <v>40</v>
      </c>
      <c r="J12" s="10" t="s">
        <v>36</v>
      </c>
    </row>
    <row r="13" spans="1:14" ht="29.25" customHeight="1" thickBot="1">
      <c r="A13" s="10" t="s">
        <v>21</v>
      </c>
      <c r="B13" s="10" t="s">
        <v>23</v>
      </c>
      <c r="C13" s="10" t="s">
        <v>24</v>
      </c>
      <c r="D13" s="10" t="s">
        <v>25</v>
      </c>
      <c r="E13" s="10" t="s">
        <v>26</v>
      </c>
      <c r="F13" s="10" t="s">
        <v>54</v>
      </c>
      <c r="G13" s="225" t="s">
        <v>55</v>
      </c>
      <c r="H13" s="10" t="s">
        <v>39</v>
      </c>
      <c r="I13" s="10" t="s">
        <v>40</v>
      </c>
      <c r="J13" s="10" t="s">
        <v>48</v>
      </c>
    </row>
    <row r="14" spans="1:14" ht="16" thickBot="1">
      <c r="A14" s="10" t="s">
        <v>21</v>
      </c>
      <c r="B14" s="10" t="s">
        <v>23</v>
      </c>
      <c r="C14" s="10" t="s">
        <v>24</v>
      </c>
      <c r="D14" s="10" t="s">
        <v>25</v>
      </c>
      <c r="E14" s="10" t="s">
        <v>26</v>
      </c>
      <c r="F14" s="10" t="s">
        <v>56</v>
      </c>
      <c r="G14" s="10" t="s">
        <v>57</v>
      </c>
      <c r="H14" s="10" t="s">
        <v>58</v>
      </c>
      <c r="I14" s="10" t="s">
        <v>30</v>
      </c>
      <c r="J14" s="10" t="s">
        <v>31</v>
      </c>
    </row>
    <row r="15" spans="1:14" ht="29.25" customHeight="1" thickBot="1">
      <c r="A15" s="10" t="s">
        <v>21</v>
      </c>
      <c r="B15" s="10" t="s">
        <v>23</v>
      </c>
      <c r="C15" s="10" t="s">
        <v>24</v>
      </c>
      <c r="D15" s="10" t="s">
        <v>25</v>
      </c>
      <c r="E15" s="10" t="s">
        <v>26</v>
      </c>
      <c r="F15" s="10" t="s">
        <v>58</v>
      </c>
      <c r="G15" s="10" t="s">
        <v>59</v>
      </c>
      <c r="H15" s="10" t="s">
        <v>58</v>
      </c>
      <c r="I15" s="10" t="s">
        <v>30</v>
      </c>
      <c r="J15" s="10" t="s">
        <v>33</v>
      </c>
    </row>
    <row r="16" spans="1:14" ht="16" thickBot="1">
      <c r="A16" s="10" t="s">
        <v>21</v>
      </c>
      <c r="B16" s="10" t="s">
        <v>23</v>
      </c>
      <c r="C16" s="10" t="s">
        <v>24</v>
      </c>
      <c r="D16" s="10" t="s">
        <v>25</v>
      </c>
      <c r="E16" s="10" t="s">
        <v>26</v>
      </c>
      <c r="F16" s="10" t="s">
        <v>60</v>
      </c>
      <c r="G16" s="10" t="s">
        <v>61</v>
      </c>
      <c r="H16" s="10" t="s">
        <v>58</v>
      </c>
      <c r="I16" s="10" t="s">
        <v>30</v>
      </c>
      <c r="J16" s="10" t="s">
        <v>36</v>
      </c>
    </row>
    <row r="17" spans="1:10" ht="16" thickBot="1">
      <c r="A17" s="10" t="s">
        <v>21</v>
      </c>
      <c r="B17" s="10" t="s">
        <v>23</v>
      </c>
      <c r="C17" s="10" t="s">
        <v>24</v>
      </c>
      <c r="D17" s="10" t="s">
        <v>25</v>
      </c>
      <c r="E17" s="10" t="s">
        <v>26</v>
      </c>
      <c r="F17" s="10" t="s">
        <v>62</v>
      </c>
      <c r="G17" s="10" t="s">
        <v>63</v>
      </c>
      <c r="H17" s="10" t="s">
        <v>64</v>
      </c>
      <c r="I17" s="10" t="s">
        <v>40</v>
      </c>
      <c r="J17" s="10" t="s">
        <v>31</v>
      </c>
    </row>
    <row r="18" spans="1:10" ht="16" thickBot="1">
      <c r="A18" s="10" t="s">
        <v>21</v>
      </c>
      <c r="B18" s="10" t="s">
        <v>23</v>
      </c>
      <c r="C18" s="10" t="s">
        <v>24</v>
      </c>
      <c r="D18" s="10" t="s">
        <v>25</v>
      </c>
      <c r="E18" s="10" t="s">
        <v>26</v>
      </c>
      <c r="F18" s="10" t="s">
        <v>64</v>
      </c>
      <c r="G18" s="10" t="s">
        <v>65</v>
      </c>
      <c r="H18" s="10" t="s">
        <v>64</v>
      </c>
      <c r="I18" s="10" t="s">
        <v>40</v>
      </c>
      <c r="J18" s="10" t="s">
        <v>33</v>
      </c>
    </row>
    <row r="19" spans="1:10" ht="29.25" customHeight="1" thickBot="1">
      <c r="A19" s="10" t="s">
        <v>21</v>
      </c>
      <c r="B19" s="10" t="s">
        <v>23</v>
      </c>
      <c r="C19" s="10" t="s">
        <v>24</v>
      </c>
      <c r="D19" s="10" t="s">
        <v>25</v>
      </c>
      <c r="E19" s="10" t="s">
        <v>26</v>
      </c>
      <c r="F19" s="10" t="s">
        <v>66</v>
      </c>
      <c r="G19" s="10" t="s">
        <v>67</v>
      </c>
      <c r="H19" s="10" t="s">
        <v>64</v>
      </c>
      <c r="I19" s="10" t="s">
        <v>40</v>
      </c>
      <c r="J19" s="10" t="s">
        <v>36</v>
      </c>
    </row>
    <row r="20" spans="1:10" ht="27" thickBot="1">
      <c r="A20" s="10" t="s">
        <v>21</v>
      </c>
      <c r="B20" s="10" t="s">
        <v>23</v>
      </c>
      <c r="C20" s="10" t="s">
        <v>24</v>
      </c>
      <c r="D20" s="10" t="s">
        <v>25</v>
      </c>
      <c r="E20" s="10" t="s">
        <v>26</v>
      </c>
      <c r="F20" s="10" t="s">
        <v>68</v>
      </c>
      <c r="G20" s="225" t="s">
        <v>69</v>
      </c>
      <c r="H20" s="10" t="s">
        <v>47</v>
      </c>
      <c r="I20" s="10" t="s">
        <v>40</v>
      </c>
      <c r="J20" s="10" t="s">
        <v>48</v>
      </c>
    </row>
    <row r="21" spans="1:10" ht="16" thickBot="1">
      <c r="A21" s="10" t="s">
        <v>21</v>
      </c>
      <c r="B21" s="10" t="s">
        <v>23</v>
      </c>
      <c r="C21" s="10" t="s">
        <v>24</v>
      </c>
      <c r="D21" s="10" t="s">
        <v>25</v>
      </c>
      <c r="E21" s="10" t="s">
        <v>26</v>
      </c>
      <c r="F21" s="10" t="s">
        <v>70</v>
      </c>
      <c r="G21" s="10" t="s">
        <v>71</v>
      </c>
      <c r="H21" s="10" t="s">
        <v>72</v>
      </c>
      <c r="I21" s="10" t="s">
        <v>40</v>
      </c>
      <c r="J21" s="10" t="s">
        <v>31</v>
      </c>
    </row>
    <row r="22" spans="1:10" ht="29.25" customHeight="1" thickBot="1">
      <c r="A22" s="10" t="s">
        <v>21</v>
      </c>
      <c r="B22" s="10" t="s">
        <v>23</v>
      </c>
      <c r="C22" s="10" t="s">
        <v>24</v>
      </c>
      <c r="D22" s="10" t="s">
        <v>25</v>
      </c>
      <c r="E22" s="10" t="s">
        <v>26</v>
      </c>
      <c r="F22" s="10" t="s">
        <v>72</v>
      </c>
      <c r="G22" s="10" t="s">
        <v>73</v>
      </c>
      <c r="H22" s="10" t="s">
        <v>72</v>
      </c>
      <c r="I22" s="10" t="s">
        <v>40</v>
      </c>
      <c r="J22" s="10" t="s">
        <v>33</v>
      </c>
    </row>
    <row r="23" spans="1:10" ht="16" thickBot="1">
      <c r="A23" s="10" t="s">
        <v>21</v>
      </c>
      <c r="B23" s="10" t="s">
        <v>23</v>
      </c>
      <c r="C23" s="10" t="s">
        <v>24</v>
      </c>
      <c r="D23" s="10" t="s">
        <v>25</v>
      </c>
      <c r="E23" s="10" t="s">
        <v>26</v>
      </c>
      <c r="F23" s="10" t="s">
        <v>74</v>
      </c>
      <c r="G23" s="10" t="s">
        <v>75</v>
      </c>
      <c r="H23" s="10" t="s">
        <v>72</v>
      </c>
      <c r="I23" s="10" t="s">
        <v>40</v>
      </c>
      <c r="J23" s="10" t="s">
        <v>36</v>
      </c>
    </row>
    <row r="24" spans="1:10" ht="16" thickBot="1">
      <c r="A24" s="10" t="s">
        <v>21</v>
      </c>
      <c r="B24" s="10" t="s">
        <v>23</v>
      </c>
      <c r="C24" s="10" t="s">
        <v>24</v>
      </c>
      <c r="D24" s="10" t="s">
        <v>25</v>
      </c>
      <c r="E24" s="10" t="s">
        <v>26</v>
      </c>
      <c r="F24" s="10" t="s">
        <v>76</v>
      </c>
      <c r="G24" s="10" t="s">
        <v>77</v>
      </c>
      <c r="H24" s="10" t="s">
        <v>64</v>
      </c>
      <c r="I24" s="10" t="s">
        <v>40</v>
      </c>
      <c r="J24" s="10" t="s">
        <v>48</v>
      </c>
    </row>
    <row r="25" spans="1:10" ht="27" thickBot="1">
      <c r="A25" s="10" t="s">
        <v>21</v>
      </c>
      <c r="B25" s="10" t="s">
        <v>23</v>
      </c>
      <c r="C25" s="10" t="s">
        <v>24</v>
      </c>
      <c r="D25" s="10" t="s">
        <v>25</v>
      </c>
      <c r="E25" s="10" t="s">
        <v>26</v>
      </c>
      <c r="F25" s="10" t="s">
        <v>78</v>
      </c>
      <c r="G25" s="225" t="s">
        <v>79</v>
      </c>
      <c r="H25" s="10" t="s">
        <v>72</v>
      </c>
      <c r="I25" s="10" t="s">
        <v>30</v>
      </c>
      <c r="J25" s="10" t="s">
        <v>48</v>
      </c>
    </row>
    <row r="26" spans="1:10" ht="16" thickBot="1">
      <c r="A26" s="10" t="s">
        <v>21</v>
      </c>
      <c r="B26" s="10" t="s">
        <v>23</v>
      </c>
      <c r="C26" s="10" t="s">
        <v>24</v>
      </c>
      <c r="D26" s="10" t="s">
        <v>25</v>
      </c>
      <c r="E26" s="10" t="s">
        <v>26</v>
      </c>
      <c r="F26" s="10" t="s">
        <v>80</v>
      </c>
      <c r="G26" s="10" t="s">
        <v>81</v>
      </c>
      <c r="H26" s="10" t="s">
        <v>82</v>
      </c>
      <c r="I26" s="10" t="s">
        <v>30</v>
      </c>
      <c r="J26" s="10" t="s">
        <v>31</v>
      </c>
    </row>
    <row r="27" spans="1:10" ht="16" thickBot="1">
      <c r="A27" s="10" t="s">
        <v>21</v>
      </c>
      <c r="B27" s="10" t="s">
        <v>23</v>
      </c>
      <c r="C27" s="10" t="s">
        <v>24</v>
      </c>
      <c r="D27" s="10" t="s">
        <v>25</v>
      </c>
      <c r="E27" s="10" t="s">
        <v>26</v>
      </c>
      <c r="F27" s="10" t="s">
        <v>82</v>
      </c>
      <c r="G27" s="10" t="s">
        <v>83</v>
      </c>
      <c r="H27" s="10" t="s">
        <v>82</v>
      </c>
      <c r="I27" s="10" t="s">
        <v>30</v>
      </c>
      <c r="J27" s="10" t="s">
        <v>33</v>
      </c>
    </row>
    <row r="28" spans="1:10" ht="16" thickBot="1">
      <c r="A28" s="10" t="s">
        <v>21</v>
      </c>
      <c r="B28" s="10" t="s">
        <v>23</v>
      </c>
      <c r="C28" s="10" t="s">
        <v>24</v>
      </c>
      <c r="D28" s="10" t="s">
        <v>25</v>
      </c>
      <c r="E28" s="10" t="s">
        <v>26</v>
      </c>
      <c r="F28" s="10" t="s">
        <v>84</v>
      </c>
      <c r="G28" s="10" t="s">
        <v>85</v>
      </c>
      <c r="H28" s="10" t="s">
        <v>82</v>
      </c>
      <c r="I28" s="10" t="s">
        <v>30</v>
      </c>
      <c r="J28" s="10" t="s">
        <v>36</v>
      </c>
    </row>
    <row r="29" spans="1:10" ht="16" thickBot="1">
      <c r="A29" s="10" t="s">
        <v>21</v>
      </c>
      <c r="B29" s="10" t="s">
        <v>23</v>
      </c>
      <c r="C29" s="10" t="s">
        <v>24</v>
      </c>
      <c r="D29" s="10" t="s">
        <v>25</v>
      </c>
      <c r="E29" s="10" t="s">
        <v>26</v>
      </c>
      <c r="F29" s="10" t="s">
        <v>86</v>
      </c>
      <c r="G29" s="225" t="s">
        <v>87</v>
      </c>
      <c r="H29" s="10" t="s">
        <v>64</v>
      </c>
      <c r="I29" s="10" t="s">
        <v>30</v>
      </c>
      <c r="J29" s="10" t="s">
        <v>48</v>
      </c>
    </row>
    <row r="30" spans="1:10" ht="16" thickBot="1">
      <c r="A30" s="10" t="s">
        <v>21</v>
      </c>
      <c r="B30" s="10" t="s">
        <v>23</v>
      </c>
      <c r="C30" s="10" t="s">
        <v>24</v>
      </c>
      <c r="D30" s="10" t="s">
        <v>25</v>
      </c>
      <c r="E30" s="10" t="s">
        <v>26</v>
      </c>
      <c r="F30" s="10" t="s">
        <v>88</v>
      </c>
      <c r="G30" s="10" t="s">
        <v>89</v>
      </c>
      <c r="H30" s="10" t="s">
        <v>90</v>
      </c>
      <c r="I30" s="10" t="s">
        <v>30</v>
      </c>
      <c r="J30" s="10" t="s">
        <v>31</v>
      </c>
    </row>
    <row r="31" spans="1:10" ht="16" thickBot="1">
      <c r="A31" s="10" t="s">
        <v>21</v>
      </c>
      <c r="B31" s="10" t="s">
        <v>23</v>
      </c>
      <c r="C31" s="10" t="s">
        <v>24</v>
      </c>
      <c r="D31" s="10" t="s">
        <v>25</v>
      </c>
      <c r="E31" s="10" t="s">
        <v>26</v>
      </c>
      <c r="F31" s="10" t="s">
        <v>90</v>
      </c>
      <c r="G31" s="10" t="s">
        <v>91</v>
      </c>
      <c r="H31" s="10" t="s">
        <v>90</v>
      </c>
      <c r="I31" s="10" t="s">
        <v>30</v>
      </c>
      <c r="J31" s="10" t="s">
        <v>33</v>
      </c>
    </row>
    <row r="32" spans="1:10" ht="16" thickBot="1">
      <c r="A32" s="10" t="s">
        <v>21</v>
      </c>
      <c r="B32" s="10" t="s">
        <v>23</v>
      </c>
      <c r="C32" s="10" t="s">
        <v>24</v>
      </c>
      <c r="D32" s="10" t="s">
        <v>25</v>
      </c>
      <c r="E32" s="10" t="s">
        <v>26</v>
      </c>
      <c r="F32" s="10" t="s">
        <v>92</v>
      </c>
      <c r="G32" s="10" t="s">
        <v>93</v>
      </c>
      <c r="H32" s="10" t="s">
        <v>90</v>
      </c>
      <c r="I32" s="10" t="s">
        <v>30</v>
      </c>
      <c r="J32" s="10" t="s">
        <v>36</v>
      </c>
    </row>
    <row r="33" spans="1:10" ht="16" thickBot="1">
      <c r="A33" s="10" t="s">
        <v>21</v>
      </c>
      <c r="B33" s="10" t="s">
        <v>94</v>
      </c>
      <c r="C33" s="10" t="s">
        <v>95</v>
      </c>
      <c r="D33" s="10" t="s">
        <v>96</v>
      </c>
      <c r="E33" s="10" t="s">
        <v>97</v>
      </c>
      <c r="F33" s="10" t="s">
        <v>98</v>
      </c>
      <c r="G33" s="10" t="s">
        <v>99</v>
      </c>
      <c r="H33" s="10" t="s">
        <v>100</v>
      </c>
      <c r="I33" s="10" t="s">
        <v>101</v>
      </c>
      <c r="J33" s="10" t="s">
        <v>31</v>
      </c>
    </row>
    <row r="34" spans="1:10" ht="16" thickBot="1">
      <c r="A34" s="10" t="s">
        <v>21</v>
      </c>
      <c r="B34" s="10" t="s">
        <v>94</v>
      </c>
      <c r="C34" s="10" t="s">
        <v>95</v>
      </c>
      <c r="D34" s="10" t="s">
        <v>96</v>
      </c>
      <c r="E34" s="10" t="s">
        <v>97</v>
      </c>
      <c r="F34" s="10" t="s">
        <v>100</v>
      </c>
      <c r="G34" s="10" t="s">
        <v>103</v>
      </c>
      <c r="H34" s="10" t="s">
        <v>100</v>
      </c>
      <c r="I34" s="10" t="s">
        <v>101</v>
      </c>
      <c r="J34" s="10" t="s">
        <v>33</v>
      </c>
    </row>
    <row r="35" spans="1:10" ht="16" thickBot="1">
      <c r="A35" s="10" t="s">
        <v>21</v>
      </c>
      <c r="B35" s="10" t="s">
        <v>94</v>
      </c>
      <c r="C35" s="10" t="s">
        <v>95</v>
      </c>
      <c r="D35" s="10" t="s">
        <v>96</v>
      </c>
      <c r="E35" s="10" t="s">
        <v>97</v>
      </c>
      <c r="F35" s="10" t="s">
        <v>104</v>
      </c>
      <c r="G35" s="10" t="s">
        <v>105</v>
      </c>
      <c r="H35" s="10" t="s">
        <v>100</v>
      </c>
      <c r="I35" s="10" t="s">
        <v>101</v>
      </c>
      <c r="J35" s="10" t="s">
        <v>36</v>
      </c>
    </row>
    <row r="36" spans="1:10" ht="16" thickBot="1">
      <c r="A36" s="10" t="s">
        <v>21</v>
      </c>
      <c r="B36" s="10" t="s">
        <v>94</v>
      </c>
      <c r="C36" s="10" t="s">
        <v>95</v>
      </c>
      <c r="D36" s="10" t="s">
        <v>96</v>
      </c>
      <c r="E36" s="10" t="s">
        <v>97</v>
      </c>
      <c r="F36" s="10" t="s">
        <v>106</v>
      </c>
      <c r="G36" s="10" t="s">
        <v>107</v>
      </c>
      <c r="H36" s="10" t="s">
        <v>108</v>
      </c>
      <c r="I36" s="10" t="s">
        <v>30</v>
      </c>
      <c r="J36" s="10" t="s">
        <v>31</v>
      </c>
    </row>
    <row r="37" spans="1:10" ht="16" thickBot="1">
      <c r="A37" s="10" t="s">
        <v>21</v>
      </c>
      <c r="B37" s="10" t="s">
        <v>94</v>
      </c>
      <c r="C37" s="10" t="s">
        <v>95</v>
      </c>
      <c r="D37" s="10" t="s">
        <v>96</v>
      </c>
      <c r="E37" s="10" t="s">
        <v>97</v>
      </c>
      <c r="F37" s="10" t="s">
        <v>108</v>
      </c>
      <c r="G37" s="10" t="s">
        <v>109</v>
      </c>
      <c r="H37" s="10" t="s">
        <v>108</v>
      </c>
      <c r="I37" s="10" t="s">
        <v>30</v>
      </c>
      <c r="J37" s="10" t="s">
        <v>33</v>
      </c>
    </row>
    <row r="38" spans="1:10" ht="16" thickBot="1">
      <c r="A38" s="10" t="s">
        <v>21</v>
      </c>
      <c r="B38" s="10" t="s">
        <v>94</v>
      </c>
      <c r="C38" s="10" t="s">
        <v>95</v>
      </c>
      <c r="D38" s="10" t="s">
        <v>96</v>
      </c>
      <c r="E38" s="10" t="s">
        <v>97</v>
      </c>
      <c r="F38" s="10" t="s">
        <v>110</v>
      </c>
      <c r="G38" s="10" t="s">
        <v>111</v>
      </c>
      <c r="H38" s="10" t="s">
        <v>108</v>
      </c>
      <c r="I38" s="10" t="s">
        <v>30</v>
      </c>
      <c r="J38" s="10" t="s">
        <v>36</v>
      </c>
    </row>
    <row r="39" spans="1:10" ht="16" thickBot="1">
      <c r="A39" s="10" t="s">
        <v>21</v>
      </c>
      <c r="B39" s="10" t="s">
        <v>94</v>
      </c>
      <c r="C39" s="10" t="s">
        <v>95</v>
      </c>
      <c r="D39" s="10" t="s">
        <v>96</v>
      </c>
      <c r="E39" s="10" t="s">
        <v>97</v>
      </c>
      <c r="F39" s="10" t="s">
        <v>112</v>
      </c>
      <c r="G39" s="10" t="s">
        <v>113</v>
      </c>
      <c r="H39" s="10" t="s">
        <v>114</v>
      </c>
      <c r="I39" s="10" t="s">
        <v>40</v>
      </c>
      <c r="J39" s="10" t="s">
        <v>31</v>
      </c>
    </row>
    <row r="40" spans="1:10" ht="16" thickBot="1">
      <c r="A40" s="10" t="s">
        <v>21</v>
      </c>
      <c r="B40" s="10" t="s">
        <v>94</v>
      </c>
      <c r="C40" s="10" t="s">
        <v>95</v>
      </c>
      <c r="D40" s="10" t="s">
        <v>96</v>
      </c>
      <c r="E40" s="10" t="s">
        <v>97</v>
      </c>
      <c r="F40" s="10" t="s">
        <v>114</v>
      </c>
      <c r="G40" s="10" t="s">
        <v>115</v>
      </c>
      <c r="H40" s="10" t="s">
        <v>114</v>
      </c>
      <c r="I40" s="10" t="s">
        <v>40</v>
      </c>
      <c r="J40" s="10" t="s">
        <v>33</v>
      </c>
    </row>
    <row r="41" spans="1:10" ht="16" thickBot="1">
      <c r="A41" s="10" t="s">
        <v>21</v>
      </c>
      <c r="B41" s="10" t="s">
        <v>94</v>
      </c>
      <c r="C41" s="10" t="s">
        <v>95</v>
      </c>
      <c r="D41" s="10" t="s">
        <v>96</v>
      </c>
      <c r="E41" s="10" t="s">
        <v>97</v>
      </c>
      <c r="F41" s="10" t="s">
        <v>116</v>
      </c>
      <c r="G41" s="10" t="s">
        <v>117</v>
      </c>
      <c r="H41" s="10" t="s">
        <v>114</v>
      </c>
      <c r="I41" s="10" t="s">
        <v>40</v>
      </c>
      <c r="J41" s="10" t="s">
        <v>36</v>
      </c>
    </row>
    <row r="42" spans="1:10" ht="27" thickBot="1">
      <c r="A42" s="10" t="s">
        <v>21</v>
      </c>
      <c r="B42" s="10" t="s">
        <v>94</v>
      </c>
      <c r="C42" s="10" t="s">
        <v>95</v>
      </c>
      <c r="D42" s="10" t="s">
        <v>96</v>
      </c>
      <c r="E42" s="10" t="s">
        <v>97</v>
      </c>
      <c r="F42" s="10" t="s">
        <v>118</v>
      </c>
      <c r="G42" s="225" t="s">
        <v>119</v>
      </c>
      <c r="H42" s="10" t="s">
        <v>120</v>
      </c>
      <c r="I42" s="10" t="s">
        <v>40</v>
      </c>
      <c r="J42" s="10" t="s">
        <v>48</v>
      </c>
    </row>
    <row r="43" spans="1:10" ht="16" thickBot="1">
      <c r="A43" s="10" t="s">
        <v>21</v>
      </c>
      <c r="B43" s="10" t="s">
        <v>94</v>
      </c>
      <c r="C43" s="10" t="s">
        <v>95</v>
      </c>
      <c r="D43" s="10" t="s">
        <v>96</v>
      </c>
      <c r="E43" s="10" t="s">
        <v>97</v>
      </c>
      <c r="F43" s="10" t="s">
        <v>121</v>
      </c>
      <c r="G43" s="10" t="s">
        <v>122</v>
      </c>
      <c r="H43" s="10" t="s">
        <v>120</v>
      </c>
      <c r="I43" s="10" t="s">
        <v>40</v>
      </c>
      <c r="J43" s="10" t="s">
        <v>31</v>
      </c>
    </row>
    <row r="44" spans="1:10" ht="16" thickBot="1">
      <c r="A44" s="10" t="s">
        <v>21</v>
      </c>
      <c r="B44" s="10" t="s">
        <v>94</v>
      </c>
      <c r="C44" s="10" t="s">
        <v>95</v>
      </c>
      <c r="D44" s="10" t="s">
        <v>96</v>
      </c>
      <c r="E44" s="10" t="s">
        <v>97</v>
      </c>
      <c r="F44" s="10" t="s">
        <v>120</v>
      </c>
      <c r="G44" s="10" t="s">
        <v>123</v>
      </c>
      <c r="H44" s="10" t="s">
        <v>120</v>
      </c>
      <c r="I44" s="10" t="s">
        <v>40</v>
      </c>
      <c r="J44" s="10" t="s">
        <v>33</v>
      </c>
    </row>
    <row r="45" spans="1:10" ht="16" thickBot="1">
      <c r="A45" s="10" t="s">
        <v>21</v>
      </c>
      <c r="B45" s="10" t="s">
        <v>94</v>
      </c>
      <c r="C45" s="10" t="s">
        <v>95</v>
      </c>
      <c r="D45" s="10" t="s">
        <v>96</v>
      </c>
      <c r="E45" s="10" t="s">
        <v>97</v>
      </c>
      <c r="F45" s="10" t="s">
        <v>124</v>
      </c>
      <c r="G45" s="10" t="s">
        <v>125</v>
      </c>
      <c r="H45" s="10" t="s">
        <v>120</v>
      </c>
      <c r="I45" s="10" t="s">
        <v>40</v>
      </c>
      <c r="J45" s="10" t="s">
        <v>36</v>
      </c>
    </row>
    <row r="46" spans="1:10" ht="27" thickBot="1">
      <c r="A46" s="10" t="s">
        <v>21</v>
      </c>
      <c r="B46" s="10" t="s">
        <v>94</v>
      </c>
      <c r="C46" s="10" t="s">
        <v>95</v>
      </c>
      <c r="D46" s="10" t="s">
        <v>96</v>
      </c>
      <c r="E46" s="10" t="s">
        <v>97</v>
      </c>
      <c r="F46" s="10" t="s">
        <v>126</v>
      </c>
      <c r="G46" s="225" t="s">
        <v>127</v>
      </c>
      <c r="H46" s="10" t="s">
        <v>114</v>
      </c>
      <c r="I46" s="10" t="s">
        <v>40</v>
      </c>
      <c r="J46" s="10" t="s">
        <v>48</v>
      </c>
    </row>
    <row r="47" spans="1:10" ht="16" thickBot="1">
      <c r="A47" s="10" t="s">
        <v>21</v>
      </c>
      <c r="B47" s="10" t="s">
        <v>94</v>
      </c>
      <c r="C47" s="10" t="s">
        <v>95</v>
      </c>
      <c r="D47" s="10" t="s">
        <v>96</v>
      </c>
      <c r="E47" s="10" t="s">
        <v>97</v>
      </c>
      <c r="F47" s="10" t="s">
        <v>128</v>
      </c>
      <c r="G47" s="10" t="s">
        <v>129</v>
      </c>
      <c r="H47" s="10" t="s">
        <v>130</v>
      </c>
      <c r="I47" s="10" t="s">
        <v>101</v>
      </c>
      <c r="J47" s="10" t="s">
        <v>31</v>
      </c>
    </row>
    <row r="48" spans="1:10" ht="16" thickBot="1">
      <c r="A48" s="10" t="s">
        <v>21</v>
      </c>
      <c r="B48" s="10" t="s">
        <v>94</v>
      </c>
      <c r="C48" s="10" t="s">
        <v>95</v>
      </c>
      <c r="D48" s="10" t="s">
        <v>96</v>
      </c>
      <c r="E48" s="10" t="s">
        <v>97</v>
      </c>
      <c r="F48" s="10" t="s">
        <v>130</v>
      </c>
      <c r="G48" s="10" t="s">
        <v>131</v>
      </c>
      <c r="H48" s="10" t="s">
        <v>130</v>
      </c>
      <c r="I48" s="10" t="s">
        <v>101</v>
      </c>
      <c r="J48" s="10" t="s">
        <v>33</v>
      </c>
    </row>
    <row r="49" spans="1:10" ht="16" thickBot="1">
      <c r="A49" s="10" t="s">
        <v>21</v>
      </c>
      <c r="B49" s="10" t="s">
        <v>94</v>
      </c>
      <c r="C49" s="10" t="s">
        <v>95</v>
      </c>
      <c r="D49" s="10" t="s">
        <v>96</v>
      </c>
      <c r="E49" s="10" t="s">
        <v>97</v>
      </c>
      <c r="F49" s="10" t="s">
        <v>132</v>
      </c>
      <c r="G49" s="10" t="s">
        <v>133</v>
      </c>
      <c r="H49" s="10" t="s">
        <v>130</v>
      </c>
      <c r="I49" s="10" t="s">
        <v>101</v>
      </c>
      <c r="J49" s="10" t="s">
        <v>36</v>
      </c>
    </row>
    <row r="50" spans="1:10" ht="16" thickBot="1">
      <c r="A50" s="10" t="s">
        <v>21</v>
      </c>
      <c r="B50" s="10" t="s">
        <v>94</v>
      </c>
      <c r="C50" s="10" t="s">
        <v>95</v>
      </c>
      <c r="D50" s="10" t="s">
        <v>96</v>
      </c>
      <c r="E50" s="10" t="s">
        <v>97</v>
      </c>
      <c r="F50" s="10" t="s">
        <v>134</v>
      </c>
      <c r="G50" s="10" t="s">
        <v>135</v>
      </c>
      <c r="H50" s="10" t="s">
        <v>136</v>
      </c>
      <c r="I50" s="10" t="s">
        <v>30</v>
      </c>
      <c r="J50" s="10" t="s">
        <v>31</v>
      </c>
    </row>
    <row r="51" spans="1:10" ht="16" thickBot="1">
      <c r="A51" s="10" t="s">
        <v>21</v>
      </c>
      <c r="B51" s="10" t="s">
        <v>94</v>
      </c>
      <c r="C51" s="10" t="s">
        <v>95</v>
      </c>
      <c r="D51" s="10" t="s">
        <v>96</v>
      </c>
      <c r="E51" s="10" t="s">
        <v>97</v>
      </c>
      <c r="F51" s="10" t="s">
        <v>136</v>
      </c>
      <c r="G51" s="10" t="s">
        <v>137</v>
      </c>
      <c r="H51" s="10" t="s">
        <v>136</v>
      </c>
      <c r="I51" s="10" t="s">
        <v>30</v>
      </c>
      <c r="J51" s="10" t="s">
        <v>33</v>
      </c>
    </row>
    <row r="52" spans="1:10" ht="16" thickBot="1">
      <c r="A52" s="10" t="s">
        <v>21</v>
      </c>
      <c r="B52" s="10" t="s">
        <v>94</v>
      </c>
      <c r="C52" s="10" t="s">
        <v>95</v>
      </c>
      <c r="D52" s="10" t="s">
        <v>96</v>
      </c>
      <c r="E52" s="10" t="s">
        <v>97</v>
      </c>
      <c r="F52" s="10" t="s">
        <v>138</v>
      </c>
      <c r="G52" s="10" t="s">
        <v>139</v>
      </c>
      <c r="H52" s="10" t="s">
        <v>136</v>
      </c>
      <c r="I52" s="10" t="s">
        <v>30</v>
      </c>
      <c r="J52" s="10" t="s">
        <v>36</v>
      </c>
    </row>
    <row r="53" spans="1:10" ht="27" thickBot="1">
      <c r="A53" s="10" t="s">
        <v>21</v>
      </c>
      <c r="B53" s="10" t="s">
        <v>140</v>
      </c>
      <c r="C53" s="10" t="s">
        <v>141</v>
      </c>
      <c r="D53" s="10" t="s">
        <v>142</v>
      </c>
      <c r="E53" s="10" t="s">
        <v>143</v>
      </c>
      <c r="F53" s="10" t="s">
        <v>144</v>
      </c>
      <c r="G53" s="225" t="s">
        <v>145</v>
      </c>
      <c r="H53" s="11" t="s">
        <v>146</v>
      </c>
      <c r="I53" s="10" t="s">
        <v>30</v>
      </c>
      <c r="J53" s="10" t="s">
        <v>48</v>
      </c>
    </row>
    <row r="54" spans="1:10" ht="16" thickBot="1">
      <c r="A54" s="10" t="s">
        <v>21</v>
      </c>
      <c r="B54" s="10" t="s">
        <v>140</v>
      </c>
      <c r="C54" s="10" t="s">
        <v>141</v>
      </c>
      <c r="D54" s="10" t="s">
        <v>142</v>
      </c>
      <c r="E54" s="10" t="s">
        <v>143</v>
      </c>
      <c r="F54" s="10" t="s">
        <v>147</v>
      </c>
      <c r="G54" s="10" t="s">
        <v>148</v>
      </c>
      <c r="H54" s="10" t="s">
        <v>146</v>
      </c>
      <c r="I54" s="10" t="s">
        <v>30</v>
      </c>
      <c r="J54" s="10" t="s">
        <v>31</v>
      </c>
    </row>
    <row r="55" spans="1:10" ht="16" thickBot="1">
      <c r="A55" s="10" t="s">
        <v>21</v>
      </c>
      <c r="B55" s="10" t="s">
        <v>140</v>
      </c>
      <c r="C55" s="10" t="s">
        <v>141</v>
      </c>
      <c r="D55" s="10" t="s">
        <v>142</v>
      </c>
      <c r="E55" s="10" t="s">
        <v>143</v>
      </c>
      <c r="F55" s="10" t="s">
        <v>146</v>
      </c>
      <c r="G55" s="10" t="s">
        <v>149</v>
      </c>
      <c r="H55" s="10" t="s">
        <v>146</v>
      </c>
      <c r="I55" s="10" t="s">
        <v>30</v>
      </c>
      <c r="J55" s="10" t="s">
        <v>33</v>
      </c>
    </row>
    <row r="56" spans="1:10" ht="16" thickBot="1">
      <c r="A56" s="10" t="s">
        <v>21</v>
      </c>
      <c r="B56" s="10" t="s">
        <v>140</v>
      </c>
      <c r="C56" s="10" t="s">
        <v>141</v>
      </c>
      <c r="D56" s="10" t="s">
        <v>142</v>
      </c>
      <c r="E56" s="10" t="s">
        <v>143</v>
      </c>
      <c r="F56" s="10" t="s">
        <v>150</v>
      </c>
      <c r="G56" s="10" t="s">
        <v>151</v>
      </c>
      <c r="H56" s="10" t="s">
        <v>146</v>
      </c>
      <c r="I56" s="10" t="s">
        <v>30</v>
      </c>
      <c r="J56" s="10" t="s">
        <v>36</v>
      </c>
    </row>
    <row r="57" spans="1:10" ht="16" thickBot="1">
      <c r="A57" s="10" t="s">
        <v>21</v>
      </c>
      <c r="B57" s="10" t="s">
        <v>140</v>
      </c>
      <c r="C57" s="10" t="s">
        <v>141</v>
      </c>
      <c r="D57" s="10" t="s">
        <v>142</v>
      </c>
      <c r="E57" s="10" t="s">
        <v>143</v>
      </c>
      <c r="F57" s="10" t="s">
        <v>152</v>
      </c>
      <c r="G57" s="10" t="s">
        <v>153</v>
      </c>
      <c r="H57" s="10" t="s">
        <v>154</v>
      </c>
      <c r="I57" s="10" t="s">
        <v>40</v>
      </c>
      <c r="J57" s="10" t="s">
        <v>31</v>
      </c>
    </row>
    <row r="58" spans="1:10" ht="29.25" customHeight="1" thickBot="1">
      <c r="A58" s="10" t="s">
        <v>21</v>
      </c>
      <c r="B58" s="10" t="s">
        <v>140</v>
      </c>
      <c r="C58" s="10" t="s">
        <v>141</v>
      </c>
      <c r="D58" s="10" t="s">
        <v>142</v>
      </c>
      <c r="E58" s="10" t="s">
        <v>143</v>
      </c>
      <c r="F58" s="10" t="s">
        <v>154</v>
      </c>
      <c r="G58" s="10" t="s">
        <v>155</v>
      </c>
      <c r="H58" s="10" t="s">
        <v>154</v>
      </c>
      <c r="I58" s="10" t="s">
        <v>40</v>
      </c>
      <c r="J58" s="10" t="s">
        <v>33</v>
      </c>
    </row>
    <row r="59" spans="1:10" ht="29.25" customHeight="1" thickBot="1">
      <c r="A59" s="10" t="s">
        <v>21</v>
      </c>
      <c r="B59" s="10" t="s">
        <v>140</v>
      </c>
      <c r="C59" s="10" t="s">
        <v>141</v>
      </c>
      <c r="D59" s="10" t="s">
        <v>142</v>
      </c>
      <c r="E59" s="10" t="s">
        <v>143</v>
      </c>
      <c r="F59" s="10" t="s">
        <v>156</v>
      </c>
      <c r="G59" s="10" t="s">
        <v>157</v>
      </c>
      <c r="H59" s="10" t="s">
        <v>154</v>
      </c>
      <c r="I59" s="10" t="s">
        <v>40</v>
      </c>
      <c r="J59" s="10" t="s">
        <v>36</v>
      </c>
    </row>
    <row r="60" spans="1:10" ht="29.25" customHeight="1" thickBot="1">
      <c r="A60" s="10" t="s">
        <v>21</v>
      </c>
      <c r="B60" s="10" t="s">
        <v>140</v>
      </c>
      <c r="C60" s="10" t="s">
        <v>141</v>
      </c>
      <c r="D60" s="10" t="s">
        <v>142</v>
      </c>
      <c r="E60" s="10" t="s">
        <v>143</v>
      </c>
      <c r="F60" s="10" t="s">
        <v>158</v>
      </c>
      <c r="G60" s="10" t="s">
        <v>159</v>
      </c>
      <c r="H60" s="10" t="s">
        <v>160</v>
      </c>
      <c r="I60" s="10" t="s">
        <v>40</v>
      </c>
      <c r="J60" s="10" t="s">
        <v>48</v>
      </c>
    </row>
    <row r="61" spans="1:10" ht="27" thickBot="1">
      <c r="A61" s="10" t="s">
        <v>21</v>
      </c>
      <c r="B61" s="10" t="s">
        <v>140</v>
      </c>
      <c r="C61" s="10" t="s">
        <v>141</v>
      </c>
      <c r="D61" s="10" t="s">
        <v>142</v>
      </c>
      <c r="E61" s="10" t="s">
        <v>143</v>
      </c>
      <c r="F61" s="10" t="s">
        <v>161</v>
      </c>
      <c r="G61" s="225" t="s">
        <v>162</v>
      </c>
      <c r="H61" s="10" t="s">
        <v>160</v>
      </c>
      <c r="I61" s="10" t="s">
        <v>40</v>
      </c>
      <c r="J61" s="10" t="s">
        <v>48</v>
      </c>
    </row>
    <row r="62" spans="1:10" ht="27" thickBot="1">
      <c r="A62" s="10" t="s">
        <v>21</v>
      </c>
      <c r="B62" s="10" t="s">
        <v>140</v>
      </c>
      <c r="C62" s="10" t="s">
        <v>141</v>
      </c>
      <c r="D62" s="10" t="s">
        <v>142</v>
      </c>
      <c r="E62" s="10" t="s">
        <v>143</v>
      </c>
      <c r="F62" s="10" t="s">
        <v>163</v>
      </c>
      <c r="G62" s="225" t="s">
        <v>164</v>
      </c>
      <c r="H62" s="10" t="s">
        <v>160</v>
      </c>
      <c r="I62" s="10" t="s">
        <v>40</v>
      </c>
      <c r="J62" s="10" t="s">
        <v>48</v>
      </c>
    </row>
    <row r="63" spans="1:10" ht="16" thickBot="1">
      <c r="A63" s="10" t="s">
        <v>21</v>
      </c>
      <c r="B63" s="10" t="s">
        <v>140</v>
      </c>
      <c r="C63" s="10" t="s">
        <v>141</v>
      </c>
      <c r="D63" s="10" t="s">
        <v>142</v>
      </c>
      <c r="E63" s="10" t="s">
        <v>143</v>
      </c>
      <c r="F63" s="10" t="s">
        <v>165</v>
      </c>
      <c r="G63" s="10" t="s">
        <v>166</v>
      </c>
      <c r="H63" s="10" t="s">
        <v>160</v>
      </c>
      <c r="I63" s="10" t="s">
        <v>40</v>
      </c>
      <c r="J63" s="10" t="s">
        <v>31</v>
      </c>
    </row>
    <row r="64" spans="1:10" ht="16" thickBot="1">
      <c r="A64" s="10" t="s">
        <v>21</v>
      </c>
      <c r="B64" s="10" t="s">
        <v>140</v>
      </c>
      <c r="C64" s="10" t="s">
        <v>141</v>
      </c>
      <c r="D64" s="10" t="s">
        <v>142</v>
      </c>
      <c r="E64" s="10" t="s">
        <v>143</v>
      </c>
      <c r="F64" s="10" t="s">
        <v>160</v>
      </c>
      <c r="G64" s="10" t="s">
        <v>167</v>
      </c>
      <c r="H64" s="10" t="s">
        <v>160</v>
      </c>
      <c r="I64" s="10" t="s">
        <v>40</v>
      </c>
      <c r="J64" s="10" t="s">
        <v>33</v>
      </c>
    </row>
    <row r="65" spans="1:10" ht="29.25" customHeight="1" thickBot="1">
      <c r="A65" s="10" t="s">
        <v>21</v>
      </c>
      <c r="B65" s="10" t="s">
        <v>140</v>
      </c>
      <c r="C65" s="10" t="s">
        <v>141</v>
      </c>
      <c r="D65" s="10" t="s">
        <v>142</v>
      </c>
      <c r="E65" s="10" t="s">
        <v>143</v>
      </c>
      <c r="F65" s="10" t="s">
        <v>168</v>
      </c>
      <c r="G65" s="10" t="s">
        <v>169</v>
      </c>
      <c r="H65" s="10" t="s">
        <v>160</v>
      </c>
      <c r="I65" s="10" t="s">
        <v>40</v>
      </c>
      <c r="J65" s="10" t="s">
        <v>36</v>
      </c>
    </row>
    <row r="66" spans="1:10" ht="27" thickBot="1">
      <c r="A66" s="10" t="s">
        <v>21</v>
      </c>
      <c r="B66" s="10" t="s">
        <v>140</v>
      </c>
      <c r="C66" s="10" t="s">
        <v>141</v>
      </c>
      <c r="D66" s="10" t="s">
        <v>142</v>
      </c>
      <c r="E66" s="10" t="s">
        <v>143</v>
      </c>
      <c r="F66" s="10" t="s">
        <v>170</v>
      </c>
      <c r="G66" s="225" t="s">
        <v>171</v>
      </c>
      <c r="H66" s="10" t="s">
        <v>154</v>
      </c>
      <c r="I66" s="10" t="s">
        <v>40</v>
      </c>
      <c r="J66" s="10" t="s">
        <v>48</v>
      </c>
    </row>
    <row r="67" spans="1:10" ht="16" thickBot="1">
      <c r="A67" s="10" t="s">
        <v>21</v>
      </c>
      <c r="B67" s="10" t="s">
        <v>140</v>
      </c>
      <c r="C67" s="10" t="s">
        <v>141</v>
      </c>
      <c r="D67" s="10" t="s">
        <v>142</v>
      </c>
      <c r="E67" s="10" t="s">
        <v>143</v>
      </c>
      <c r="F67" s="10" t="s">
        <v>172</v>
      </c>
      <c r="G67" s="10" t="s">
        <v>173</v>
      </c>
      <c r="H67" s="10" t="s">
        <v>154</v>
      </c>
      <c r="I67" s="10" t="s">
        <v>40</v>
      </c>
      <c r="J67" s="10" t="s">
        <v>48</v>
      </c>
    </row>
    <row r="68" spans="1:10" ht="27" thickBot="1">
      <c r="A68" s="10" t="s">
        <v>21</v>
      </c>
      <c r="B68" s="10" t="s">
        <v>140</v>
      </c>
      <c r="C68" s="10" t="s">
        <v>141</v>
      </c>
      <c r="D68" s="10" t="s">
        <v>142</v>
      </c>
      <c r="E68" s="10" t="s">
        <v>143</v>
      </c>
      <c r="F68" s="10" t="s">
        <v>174</v>
      </c>
      <c r="G68" s="225" t="s">
        <v>175</v>
      </c>
      <c r="H68" s="10" t="s">
        <v>154</v>
      </c>
      <c r="I68" s="10" t="s">
        <v>40</v>
      </c>
      <c r="J68" s="10" t="s">
        <v>48</v>
      </c>
    </row>
    <row r="69" spans="1:10" ht="29.25" customHeight="1" thickBot="1">
      <c r="A69" s="10" t="s">
        <v>21</v>
      </c>
      <c r="B69" s="10" t="s">
        <v>140</v>
      </c>
      <c r="C69" s="10" t="s">
        <v>141</v>
      </c>
      <c r="D69" s="10" t="s">
        <v>142</v>
      </c>
      <c r="E69" s="10" t="s">
        <v>143</v>
      </c>
      <c r="F69" s="10" t="s">
        <v>176</v>
      </c>
      <c r="G69" s="10" t="s">
        <v>177</v>
      </c>
      <c r="H69" s="10" t="s">
        <v>178</v>
      </c>
      <c r="I69" s="10" t="s">
        <v>30</v>
      </c>
      <c r="J69" s="10" t="s">
        <v>31</v>
      </c>
    </row>
    <row r="70" spans="1:10" ht="29.25" customHeight="1" thickBot="1">
      <c r="A70" s="10" t="s">
        <v>21</v>
      </c>
      <c r="B70" s="10" t="s">
        <v>140</v>
      </c>
      <c r="C70" s="10" t="s">
        <v>141</v>
      </c>
      <c r="D70" s="10" t="s">
        <v>142</v>
      </c>
      <c r="E70" s="10" t="s">
        <v>143</v>
      </c>
      <c r="F70" s="10" t="s">
        <v>178</v>
      </c>
      <c r="G70" s="10" t="s">
        <v>179</v>
      </c>
      <c r="H70" s="10" t="s">
        <v>178</v>
      </c>
      <c r="I70" s="10" t="s">
        <v>30</v>
      </c>
      <c r="J70" s="10" t="s">
        <v>33</v>
      </c>
    </row>
    <row r="71" spans="1:10" ht="16" thickBot="1">
      <c r="A71" s="10" t="s">
        <v>21</v>
      </c>
      <c r="B71" s="10" t="s">
        <v>140</v>
      </c>
      <c r="C71" s="10" t="s">
        <v>141</v>
      </c>
      <c r="D71" s="10" t="s">
        <v>142</v>
      </c>
      <c r="E71" s="10" t="s">
        <v>143</v>
      </c>
      <c r="F71" s="10" t="s">
        <v>180</v>
      </c>
      <c r="G71" s="10" t="s">
        <v>181</v>
      </c>
      <c r="H71" s="10" t="s">
        <v>178</v>
      </c>
      <c r="I71" s="10" t="s">
        <v>30</v>
      </c>
      <c r="J71" s="10" t="s">
        <v>36</v>
      </c>
    </row>
    <row r="72" spans="1:10" ht="16" thickBot="1">
      <c r="A72" s="10" t="s">
        <v>21</v>
      </c>
      <c r="B72" s="10" t="s">
        <v>140</v>
      </c>
      <c r="C72" s="10" t="s">
        <v>141</v>
      </c>
      <c r="D72" s="10" t="s">
        <v>142</v>
      </c>
      <c r="E72" s="10" t="s">
        <v>143</v>
      </c>
      <c r="F72" s="10" t="s">
        <v>182</v>
      </c>
      <c r="G72" s="10" t="s">
        <v>183</v>
      </c>
      <c r="H72" s="10" t="s">
        <v>184</v>
      </c>
      <c r="I72" s="10" t="s">
        <v>40</v>
      </c>
      <c r="J72" s="10" t="s">
        <v>31</v>
      </c>
    </row>
    <row r="73" spans="1:10" ht="29.25" customHeight="1" thickBot="1">
      <c r="A73" s="10" t="s">
        <v>21</v>
      </c>
      <c r="B73" s="10" t="s">
        <v>140</v>
      </c>
      <c r="C73" s="10" t="s">
        <v>141</v>
      </c>
      <c r="D73" s="10" t="s">
        <v>142</v>
      </c>
      <c r="E73" s="10" t="s">
        <v>143</v>
      </c>
      <c r="F73" s="10" t="s">
        <v>184</v>
      </c>
      <c r="G73" s="10" t="s">
        <v>185</v>
      </c>
      <c r="H73" s="10" t="s">
        <v>184</v>
      </c>
      <c r="I73" s="10" t="s">
        <v>40</v>
      </c>
      <c r="J73" s="10" t="s">
        <v>33</v>
      </c>
    </row>
    <row r="74" spans="1:10" ht="16" thickBot="1">
      <c r="A74" s="10" t="s">
        <v>21</v>
      </c>
      <c r="B74" s="10" t="s">
        <v>140</v>
      </c>
      <c r="C74" s="10" t="s">
        <v>141</v>
      </c>
      <c r="D74" s="10" t="s">
        <v>142</v>
      </c>
      <c r="E74" s="10" t="s">
        <v>143</v>
      </c>
      <c r="F74" s="10" t="s">
        <v>186</v>
      </c>
      <c r="G74" s="10" t="s">
        <v>187</v>
      </c>
      <c r="H74" s="10" t="s">
        <v>184</v>
      </c>
      <c r="I74" s="10" t="s">
        <v>40</v>
      </c>
      <c r="J74" s="10" t="s">
        <v>36</v>
      </c>
    </row>
    <row r="75" spans="1:10" ht="29.25" customHeight="1" thickBot="1">
      <c r="A75" s="10" t="s">
        <v>21</v>
      </c>
      <c r="B75" s="10" t="s">
        <v>140</v>
      </c>
      <c r="C75" s="10" t="s">
        <v>141</v>
      </c>
      <c r="D75" s="10" t="s">
        <v>142</v>
      </c>
      <c r="E75" s="10" t="s">
        <v>143</v>
      </c>
      <c r="F75" s="10" t="s">
        <v>188</v>
      </c>
      <c r="G75" s="225" t="s">
        <v>189</v>
      </c>
      <c r="H75" s="10" t="s">
        <v>190</v>
      </c>
      <c r="I75" s="10" t="s">
        <v>40</v>
      </c>
      <c r="J75" s="10" t="s">
        <v>48</v>
      </c>
    </row>
    <row r="76" spans="1:10" ht="27" thickBot="1">
      <c r="A76" s="10" t="s">
        <v>21</v>
      </c>
      <c r="B76" s="10" t="s">
        <v>140</v>
      </c>
      <c r="C76" s="10" t="s">
        <v>141</v>
      </c>
      <c r="D76" s="10" t="s">
        <v>142</v>
      </c>
      <c r="E76" s="10" t="s">
        <v>143</v>
      </c>
      <c r="F76" s="10" t="s">
        <v>191</v>
      </c>
      <c r="G76" s="225" t="s">
        <v>192</v>
      </c>
      <c r="H76" s="10" t="s">
        <v>184</v>
      </c>
      <c r="I76" s="10" t="s">
        <v>40</v>
      </c>
      <c r="J76" s="10" t="s">
        <v>48</v>
      </c>
    </row>
    <row r="77" spans="1:10" ht="29.25" customHeight="1" thickBot="1">
      <c r="A77" s="10" t="s">
        <v>21</v>
      </c>
      <c r="B77" s="10" t="s">
        <v>140</v>
      </c>
      <c r="C77" s="10" t="s">
        <v>141</v>
      </c>
      <c r="D77" s="10" t="s">
        <v>142</v>
      </c>
      <c r="E77" s="10" t="s">
        <v>143</v>
      </c>
      <c r="F77" s="10" t="s">
        <v>193</v>
      </c>
      <c r="G77" s="10" t="s">
        <v>194</v>
      </c>
      <c r="H77" s="10" t="s">
        <v>195</v>
      </c>
      <c r="I77" s="10" t="s">
        <v>30</v>
      </c>
      <c r="J77" s="10" t="s">
        <v>31</v>
      </c>
    </row>
    <row r="78" spans="1:10" ht="29.25" customHeight="1" thickBot="1">
      <c r="A78" s="10" t="s">
        <v>21</v>
      </c>
      <c r="B78" s="10" t="s">
        <v>140</v>
      </c>
      <c r="C78" s="10" t="s">
        <v>141</v>
      </c>
      <c r="D78" s="10" t="s">
        <v>142</v>
      </c>
      <c r="E78" s="10" t="s">
        <v>143</v>
      </c>
      <c r="F78" s="10" t="s">
        <v>195</v>
      </c>
      <c r="G78" s="10" t="s">
        <v>196</v>
      </c>
      <c r="H78" s="10" t="s">
        <v>195</v>
      </c>
      <c r="I78" s="10" t="s">
        <v>30</v>
      </c>
      <c r="J78" s="10" t="s">
        <v>33</v>
      </c>
    </row>
    <row r="79" spans="1:10" ht="29.25" customHeight="1" thickBot="1">
      <c r="A79" s="10" t="s">
        <v>21</v>
      </c>
      <c r="B79" s="10" t="s">
        <v>140</v>
      </c>
      <c r="C79" s="10" t="s">
        <v>141</v>
      </c>
      <c r="D79" s="10" t="s">
        <v>142</v>
      </c>
      <c r="E79" s="10" t="s">
        <v>143</v>
      </c>
      <c r="F79" s="10" t="s">
        <v>197</v>
      </c>
      <c r="G79" s="10" t="s">
        <v>198</v>
      </c>
      <c r="H79" s="10" t="s">
        <v>195</v>
      </c>
      <c r="I79" s="10" t="s">
        <v>30</v>
      </c>
      <c r="J79" s="10" t="s">
        <v>36</v>
      </c>
    </row>
    <row r="80" spans="1:10" ht="16" thickBot="1">
      <c r="A80" s="10" t="s">
        <v>21</v>
      </c>
      <c r="B80" s="10" t="s">
        <v>140</v>
      </c>
      <c r="C80" s="10" t="s">
        <v>141</v>
      </c>
      <c r="D80" s="10" t="s">
        <v>142</v>
      </c>
      <c r="E80" s="10" t="s">
        <v>143</v>
      </c>
      <c r="F80" s="10" t="s">
        <v>199</v>
      </c>
      <c r="G80" s="10" t="s">
        <v>200</v>
      </c>
      <c r="H80" s="10" t="s">
        <v>190</v>
      </c>
      <c r="I80" s="10" t="s">
        <v>40</v>
      </c>
      <c r="J80" s="10" t="s">
        <v>31</v>
      </c>
    </row>
    <row r="81" spans="1:10" ht="29.25" customHeight="1" thickBot="1">
      <c r="A81" s="10" t="s">
        <v>21</v>
      </c>
      <c r="B81" s="10" t="s">
        <v>140</v>
      </c>
      <c r="C81" s="10" t="s">
        <v>141</v>
      </c>
      <c r="D81" s="10" t="s">
        <v>142</v>
      </c>
      <c r="E81" s="10" t="s">
        <v>143</v>
      </c>
      <c r="F81" s="10" t="s">
        <v>190</v>
      </c>
      <c r="G81" s="10" t="s">
        <v>201</v>
      </c>
      <c r="H81" s="10" t="s">
        <v>190</v>
      </c>
      <c r="I81" s="10" t="s">
        <v>40</v>
      </c>
      <c r="J81" s="10" t="s">
        <v>33</v>
      </c>
    </row>
    <row r="82" spans="1:10" ht="16" thickBot="1">
      <c r="A82" s="10" t="s">
        <v>21</v>
      </c>
      <c r="B82" s="10" t="s">
        <v>140</v>
      </c>
      <c r="C82" s="10" t="s">
        <v>141</v>
      </c>
      <c r="D82" s="10" t="s">
        <v>142</v>
      </c>
      <c r="E82" s="10" t="s">
        <v>143</v>
      </c>
      <c r="F82" s="10" t="s">
        <v>202</v>
      </c>
      <c r="G82" s="10" t="s">
        <v>203</v>
      </c>
      <c r="H82" s="10" t="s">
        <v>190</v>
      </c>
      <c r="I82" s="10" t="s">
        <v>40</v>
      </c>
      <c r="J82" s="10" t="s">
        <v>36</v>
      </c>
    </row>
    <row r="83" spans="1:10" ht="16" thickBot="1">
      <c r="A83" s="10" t="s">
        <v>21</v>
      </c>
      <c r="B83" s="10" t="s">
        <v>204</v>
      </c>
      <c r="C83" s="10" t="s">
        <v>141</v>
      </c>
      <c r="D83" s="10" t="s">
        <v>142</v>
      </c>
      <c r="E83" s="10" t="s">
        <v>143</v>
      </c>
      <c r="F83" s="10" t="s">
        <v>205</v>
      </c>
      <c r="G83" s="10" t="s">
        <v>206</v>
      </c>
      <c r="H83" s="10" t="s">
        <v>207</v>
      </c>
      <c r="I83" s="10" t="s">
        <v>40</v>
      </c>
      <c r="J83" s="10" t="s">
        <v>31</v>
      </c>
    </row>
    <row r="84" spans="1:10" ht="29.25" customHeight="1" thickBot="1">
      <c r="A84" s="10" t="s">
        <v>21</v>
      </c>
      <c r="B84" s="10" t="s">
        <v>204</v>
      </c>
      <c r="C84" s="10" t="s">
        <v>141</v>
      </c>
      <c r="D84" s="10" t="s">
        <v>142</v>
      </c>
      <c r="E84" s="10" t="s">
        <v>143</v>
      </c>
      <c r="F84" s="10" t="s">
        <v>207</v>
      </c>
      <c r="G84" s="10" t="s">
        <v>209</v>
      </c>
      <c r="H84" s="10" t="s">
        <v>207</v>
      </c>
      <c r="I84" s="10" t="s">
        <v>40</v>
      </c>
      <c r="J84" s="10" t="s">
        <v>33</v>
      </c>
    </row>
    <row r="85" spans="1:10" ht="29.25" customHeight="1" thickBot="1">
      <c r="A85" s="10" t="s">
        <v>21</v>
      </c>
      <c r="B85" s="10" t="s">
        <v>204</v>
      </c>
      <c r="C85" s="10" t="s">
        <v>141</v>
      </c>
      <c r="D85" s="10" t="s">
        <v>142</v>
      </c>
      <c r="E85" s="10" t="s">
        <v>143</v>
      </c>
      <c r="F85" s="10" t="s">
        <v>210</v>
      </c>
      <c r="G85" s="10" t="s">
        <v>211</v>
      </c>
      <c r="H85" s="10" t="s">
        <v>207</v>
      </c>
      <c r="I85" s="10" t="s">
        <v>40</v>
      </c>
      <c r="J85" s="10" t="s">
        <v>36</v>
      </c>
    </row>
    <row r="86" spans="1:10" ht="16" thickBot="1">
      <c r="A86" s="10" t="s">
        <v>21</v>
      </c>
      <c r="B86" s="10" t="s">
        <v>204</v>
      </c>
      <c r="C86" s="10" t="s">
        <v>141</v>
      </c>
      <c r="D86" s="10" t="s">
        <v>142</v>
      </c>
      <c r="E86" s="10" t="s">
        <v>143</v>
      </c>
      <c r="F86" s="10" t="s">
        <v>212</v>
      </c>
      <c r="G86" s="225" t="s">
        <v>213</v>
      </c>
      <c r="H86" s="10" t="s">
        <v>214</v>
      </c>
      <c r="I86" s="10" t="s">
        <v>40</v>
      </c>
      <c r="J86" s="10" t="s">
        <v>31</v>
      </c>
    </row>
    <row r="87" spans="1:10" ht="16" thickBot="1">
      <c r="A87" s="10" t="s">
        <v>21</v>
      </c>
      <c r="B87" s="10" t="s">
        <v>204</v>
      </c>
      <c r="C87" s="10" t="s">
        <v>141</v>
      </c>
      <c r="D87" s="10" t="s">
        <v>142</v>
      </c>
      <c r="E87" s="10" t="s">
        <v>143</v>
      </c>
      <c r="F87" s="10" t="s">
        <v>214</v>
      </c>
      <c r="G87" s="225" t="s">
        <v>215</v>
      </c>
      <c r="H87" s="10" t="s">
        <v>214</v>
      </c>
      <c r="I87" s="10" t="s">
        <v>40</v>
      </c>
      <c r="J87" s="10" t="s">
        <v>33</v>
      </c>
    </row>
    <row r="88" spans="1:10" ht="29.25" customHeight="1" thickBot="1">
      <c r="A88" s="10" t="s">
        <v>21</v>
      </c>
      <c r="B88" s="10" t="s">
        <v>204</v>
      </c>
      <c r="C88" s="10" t="s">
        <v>141</v>
      </c>
      <c r="D88" s="10" t="s">
        <v>142</v>
      </c>
      <c r="E88" s="10" t="s">
        <v>143</v>
      </c>
      <c r="F88" s="10" t="s">
        <v>216</v>
      </c>
      <c r="G88" s="225" t="s">
        <v>217</v>
      </c>
      <c r="H88" s="10" t="s">
        <v>214</v>
      </c>
      <c r="I88" s="10" t="s">
        <v>40</v>
      </c>
      <c r="J88" s="10" t="s">
        <v>36</v>
      </c>
    </row>
    <row r="89" spans="1:10" ht="29.25" customHeight="1" thickBot="1">
      <c r="A89" s="10" t="s">
        <v>21</v>
      </c>
      <c r="B89" s="10" t="s">
        <v>204</v>
      </c>
      <c r="C89" s="10" t="s">
        <v>141</v>
      </c>
      <c r="D89" s="10" t="s">
        <v>142</v>
      </c>
      <c r="E89" s="10" t="s">
        <v>143</v>
      </c>
      <c r="F89" s="10" t="s">
        <v>218</v>
      </c>
      <c r="G89" s="225" t="s">
        <v>219</v>
      </c>
      <c r="H89" s="10" t="s">
        <v>214</v>
      </c>
      <c r="I89" s="10" t="s">
        <v>40</v>
      </c>
      <c r="J89" s="10" t="s">
        <v>48</v>
      </c>
    </row>
    <row r="90" spans="1:10" ht="27" thickBot="1">
      <c r="A90" s="10" t="s">
        <v>21</v>
      </c>
      <c r="B90" s="10" t="s">
        <v>204</v>
      </c>
      <c r="C90" s="10" t="s">
        <v>141</v>
      </c>
      <c r="D90" s="10" t="s">
        <v>142</v>
      </c>
      <c r="E90" s="10" t="s">
        <v>143</v>
      </c>
      <c r="F90" s="10" t="s">
        <v>220</v>
      </c>
      <c r="G90" s="225" t="s">
        <v>221</v>
      </c>
      <c r="H90" s="10" t="s">
        <v>207</v>
      </c>
      <c r="I90" s="10" t="s">
        <v>40</v>
      </c>
      <c r="J90" s="10" t="s">
        <v>48</v>
      </c>
    </row>
    <row r="91" spans="1:10" ht="29.25" customHeight="1" thickBot="1">
      <c r="A91" s="10" t="s">
        <v>21</v>
      </c>
      <c r="B91" s="10" t="s">
        <v>140</v>
      </c>
      <c r="C91" s="10" t="s">
        <v>141</v>
      </c>
      <c r="D91" s="10" t="s">
        <v>142</v>
      </c>
      <c r="E91" s="10" t="s">
        <v>143</v>
      </c>
      <c r="F91" s="10" t="s">
        <v>222</v>
      </c>
      <c r="G91" s="225" t="s">
        <v>223</v>
      </c>
      <c r="H91" s="10" t="s">
        <v>224</v>
      </c>
      <c r="I91" s="10" t="s">
        <v>30</v>
      </c>
      <c r="J91" s="10" t="s">
        <v>48</v>
      </c>
    </row>
    <row r="92" spans="1:10" ht="29.25" customHeight="1" thickBot="1">
      <c r="A92" s="10" t="s">
        <v>21</v>
      </c>
      <c r="B92" s="10" t="s">
        <v>140</v>
      </c>
      <c r="C92" s="10" t="s">
        <v>141</v>
      </c>
      <c r="D92" s="10" t="s">
        <v>142</v>
      </c>
      <c r="E92" s="10" t="s">
        <v>143</v>
      </c>
      <c r="F92" s="10" t="s">
        <v>225</v>
      </c>
      <c r="G92" s="10" t="s">
        <v>226</v>
      </c>
      <c r="H92" s="10" t="s">
        <v>224</v>
      </c>
      <c r="I92" s="10" t="s">
        <v>30</v>
      </c>
      <c r="J92" s="10" t="s">
        <v>31</v>
      </c>
    </row>
    <row r="93" spans="1:10" ht="16" thickBot="1">
      <c r="A93" s="10" t="s">
        <v>21</v>
      </c>
      <c r="B93" s="10" t="s">
        <v>140</v>
      </c>
      <c r="C93" s="10" t="s">
        <v>141</v>
      </c>
      <c r="D93" s="10" t="s">
        <v>142</v>
      </c>
      <c r="E93" s="10" t="s">
        <v>143</v>
      </c>
      <c r="F93" s="10" t="s">
        <v>224</v>
      </c>
      <c r="G93" s="10" t="s">
        <v>227</v>
      </c>
      <c r="H93" s="10" t="s">
        <v>224</v>
      </c>
      <c r="I93" s="10" t="s">
        <v>30</v>
      </c>
      <c r="J93" s="10" t="s">
        <v>33</v>
      </c>
    </row>
    <row r="94" spans="1:10" ht="16" thickBot="1">
      <c r="A94" s="10" t="s">
        <v>21</v>
      </c>
      <c r="B94" s="10" t="s">
        <v>140</v>
      </c>
      <c r="C94" s="10" t="s">
        <v>141</v>
      </c>
      <c r="D94" s="10" t="s">
        <v>142</v>
      </c>
      <c r="E94" s="10" t="s">
        <v>143</v>
      </c>
      <c r="F94" s="10" t="s">
        <v>228</v>
      </c>
      <c r="G94" s="10" t="s">
        <v>229</v>
      </c>
      <c r="H94" s="10" t="s">
        <v>224</v>
      </c>
      <c r="I94" s="10" t="s">
        <v>30</v>
      </c>
      <c r="J94" s="10" t="s">
        <v>36</v>
      </c>
    </row>
    <row r="95" spans="1:10" ht="29.25" customHeight="1" thickBot="1">
      <c r="A95" s="10" t="s">
        <v>21</v>
      </c>
      <c r="B95" s="10" t="s">
        <v>230</v>
      </c>
      <c r="C95" s="10" t="s">
        <v>141</v>
      </c>
      <c r="D95" s="10" t="s">
        <v>142</v>
      </c>
      <c r="E95" s="10" t="s">
        <v>143</v>
      </c>
      <c r="F95" s="10" t="s">
        <v>231</v>
      </c>
      <c r="G95" s="10" t="s">
        <v>232</v>
      </c>
      <c r="H95" s="10" t="s">
        <v>233</v>
      </c>
      <c r="I95" s="10" t="s">
        <v>40</v>
      </c>
      <c r="J95" s="10" t="s">
        <v>31</v>
      </c>
    </row>
    <row r="96" spans="1:10" ht="16" thickBot="1">
      <c r="A96" s="10" t="s">
        <v>21</v>
      </c>
      <c r="B96" s="10" t="s">
        <v>230</v>
      </c>
      <c r="C96" s="10" t="s">
        <v>141</v>
      </c>
      <c r="D96" s="10" t="s">
        <v>142</v>
      </c>
      <c r="E96" s="10" t="s">
        <v>143</v>
      </c>
      <c r="F96" s="10" t="s">
        <v>233</v>
      </c>
      <c r="G96" s="10" t="s">
        <v>236</v>
      </c>
      <c r="H96" s="10" t="s">
        <v>233</v>
      </c>
      <c r="I96" s="10" t="s">
        <v>40</v>
      </c>
      <c r="J96" s="10" t="s">
        <v>33</v>
      </c>
    </row>
    <row r="97" spans="1:10" ht="16" thickBot="1">
      <c r="A97" s="10" t="s">
        <v>21</v>
      </c>
      <c r="B97" s="10" t="s">
        <v>140</v>
      </c>
      <c r="C97" s="10" t="s">
        <v>141</v>
      </c>
      <c r="D97" s="10" t="s">
        <v>142</v>
      </c>
      <c r="E97" s="10" t="s">
        <v>143</v>
      </c>
      <c r="F97" s="10" t="s">
        <v>237</v>
      </c>
      <c r="G97" s="10" t="s">
        <v>238</v>
      </c>
      <c r="H97" s="10" t="s">
        <v>233</v>
      </c>
      <c r="I97" s="10" t="s">
        <v>40</v>
      </c>
      <c r="J97" s="10" t="s">
        <v>36</v>
      </c>
    </row>
    <row r="98" spans="1:10" ht="29.25" customHeight="1" thickBot="1">
      <c r="A98" s="10" t="s">
        <v>21</v>
      </c>
      <c r="B98" s="10" t="s">
        <v>230</v>
      </c>
      <c r="C98" s="10" t="s">
        <v>141</v>
      </c>
      <c r="D98" s="10" t="s">
        <v>142</v>
      </c>
      <c r="E98" s="10" t="s">
        <v>143</v>
      </c>
      <c r="F98" s="10" t="s">
        <v>239</v>
      </c>
      <c r="G98" s="225" t="s">
        <v>240</v>
      </c>
      <c r="H98" s="10" t="s">
        <v>241</v>
      </c>
      <c r="I98" s="10" t="s">
        <v>40</v>
      </c>
      <c r="J98" s="10" t="s">
        <v>31</v>
      </c>
    </row>
    <row r="99" spans="1:10" ht="29.25" customHeight="1" thickBot="1">
      <c r="A99" s="10" t="s">
        <v>21</v>
      </c>
      <c r="B99" s="10" t="s">
        <v>230</v>
      </c>
      <c r="C99" s="10" t="s">
        <v>141</v>
      </c>
      <c r="D99" s="10" t="s">
        <v>142</v>
      </c>
      <c r="E99" s="10" t="s">
        <v>143</v>
      </c>
      <c r="F99" s="10" t="s">
        <v>241</v>
      </c>
      <c r="G99" s="225" t="s">
        <v>242</v>
      </c>
      <c r="H99" s="10" t="s">
        <v>241</v>
      </c>
      <c r="I99" s="10" t="s">
        <v>40</v>
      </c>
      <c r="J99" s="10" t="s">
        <v>33</v>
      </c>
    </row>
    <row r="100" spans="1:10" ht="27" thickBot="1">
      <c r="A100" s="10" t="s">
        <v>21</v>
      </c>
      <c r="B100" s="10" t="s">
        <v>230</v>
      </c>
      <c r="C100" s="10" t="s">
        <v>141</v>
      </c>
      <c r="D100" s="10" t="s">
        <v>142</v>
      </c>
      <c r="E100" s="10" t="s">
        <v>143</v>
      </c>
      <c r="F100" s="10" t="s">
        <v>243</v>
      </c>
      <c r="G100" s="225" t="s">
        <v>244</v>
      </c>
      <c r="H100" s="10" t="s">
        <v>241</v>
      </c>
      <c r="I100" s="10" t="s">
        <v>40</v>
      </c>
      <c r="J100" s="10" t="s">
        <v>36</v>
      </c>
    </row>
    <row r="101" spans="1:10" ht="27" thickBot="1">
      <c r="A101" s="10" t="s">
        <v>21</v>
      </c>
      <c r="B101" s="10" t="s">
        <v>230</v>
      </c>
      <c r="C101" s="10" t="s">
        <v>141</v>
      </c>
      <c r="D101" s="10" t="s">
        <v>142</v>
      </c>
      <c r="E101" s="10" t="s">
        <v>143</v>
      </c>
      <c r="F101" s="10" t="s">
        <v>245</v>
      </c>
      <c r="G101" s="225" t="s">
        <v>246</v>
      </c>
      <c r="H101" s="10" t="s">
        <v>241</v>
      </c>
      <c r="I101" s="10" t="s">
        <v>40</v>
      </c>
      <c r="J101" s="10" t="s">
        <v>48</v>
      </c>
    </row>
    <row r="102" spans="1:10" ht="29.25" customHeight="1" thickBot="1">
      <c r="A102" s="10" t="s">
        <v>21</v>
      </c>
      <c r="B102" s="10" t="s">
        <v>230</v>
      </c>
      <c r="C102" s="10" t="s">
        <v>141</v>
      </c>
      <c r="D102" s="10" t="s">
        <v>142</v>
      </c>
      <c r="E102" s="10" t="s">
        <v>143</v>
      </c>
      <c r="F102" s="10" t="s">
        <v>247</v>
      </c>
      <c r="G102" s="225" t="s">
        <v>248</v>
      </c>
      <c r="H102" s="10" t="s">
        <v>233</v>
      </c>
      <c r="I102" s="10" t="s">
        <v>40</v>
      </c>
      <c r="J102" s="10" t="s">
        <v>48</v>
      </c>
    </row>
    <row r="103" spans="1:10" ht="16" thickBot="1">
      <c r="A103" s="10" t="s">
        <v>21</v>
      </c>
      <c r="B103" s="10" t="s">
        <v>204</v>
      </c>
      <c r="C103" s="10" t="s">
        <v>141</v>
      </c>
      <c r="D103" s="10" t="s">
        <v>142</v>
      </c>
      <c r="E103" s="10" t="s">
        <v>143</v>
      </c>
      <c r="F103" s="10" t="s">
        <v>249</v>
      </c>
      <c r="G103" s="10" t="s">
        <v>250</v>
      </c>
      <c r="H103" s="10" t="s">
        <v>251</v>
      </c>
      <c r="I103" s="10" t="s">
        <v>30</v>
      </c>
      <c r="J103" s="10" t="s">
        <v>31</v>
      </c>
    </row>
    <row r="104" spans="1:10" ht="16" thickBot="1">
      <c r="A104" s="10" t="s">
        <v>21</v>
      </c>
      <c r="B104" s="10" t="s">
        <v>204</v>
      </c>
      <c r="C104" s="10" t="s">
        <v>141</v>
      </c>
      <c r="D104" s="10" t="s">
        <v>142</v>
      </c>
      <c r="E104" s="10" t="s">
        <v>143</v>
      </c>
      <c r="F104" s="10" t="s">
        <v>251</v>
      </c>
      <c r="G104" s="10" t="s">
        <v>252</v>
      </c>
      <c r="H104" s="10" t="s">
        <v>251</v>
      </c>
      <c r="I104" s="10" t="s">
        <v>30</v>
      </c>
      <c r="J104" s="10" t="s">
        <v>33</v>
      </c>
    </row>
    <row r="105" spans="1:10" ht="29.25" customHeight="1" thickBot="1">
      <c r="A105" s="10" t="s">
        <v>21</v>
      </c>
      <c r="B105" s="10" t="s">
        <v>204</v>
      </c>
      <c r="C105" s="10" t="s">
        <v>141</v>
      </c>
      <c r="D105" s="10" t="s">
        <v>142</v>
      </c>
      <c r="E105" s="10" t="s">
        <v>143</v>
      </c>
      <c r="F105" s="10" t="s">
        <v>253</v>
      </c>
      <c r="G105" s="10" t="s">
        <v>254</v>
      </c>
      <c r="H105" s="10" t="s">
        <v>251</v>
      </c>
      <c r="I105" s="10" t="s">
        <v>30</v>
      </c>
      <c r="J105" s="10" t="s">
        <v>36</v>
      </c>
    </row>
    <row r="106" spans="1:10" ht="29.25" customHeight="1" thickBot="1">
      <c r="A106" s="10" t="s">
        <v>21</v>
      </c>
      <c r="B106" s="10" t="s">
        <v>204</v>
      </c>
      <c r="C106" s="10" t="s">
        <v>141</v>
      </c>
      <c r="D106" s="10" t="s">
        <v>142</v>
      </c>
      <c r="E106" s="10" t="s">
        <v>143</v>
      </c>
      <c r="F106" s="10" t="s">
        <v>255</v>
      </c>
      <c r="G106" s="10" t="s">
        <v>256</v>
      </c>
      <c r="H106" s="10" t="s">
        <v>257</v>
      </c>
      <c r="I106" s="10" t="s">
        <v>30</v>
      </c>
      <c r="J106" s="10" t="s">
        <v>31</v>
      </c>
    </row>
    <row r="107" spans="1:10" ht="27" thickBot="1">
      <c r="A107" s="10" t="s">
        <v>21</v>
      </c>
      <c r="B107" s="10" t="s">
        <v>204</v>
      </c>
      <c r="C107" s="10" t="s">
        <v>141</v>
      </c>
      <c r="D107" s="10" t="s">
        <v>142</v>
      </c>
      <c r="E107" s="10" t="s">
        <v>143</v>
      </c>
      <c r="F107" s="10" t="s">
        <v>257</v>
      </c>
      <c r="G107" s="225" t="s">
        <v>258</v>
      </c>
      <c r="H107" s="10" t="s">
        <v>257</v>
      </c>
      <c r="I107" s="10" t="s">
        <v>30</v>
      </c>
      <c r="J107" s="10" t="s">
        <v>33</v>
      </c>
    </row>
    <row r="108" spans="1:10" ht="29.25" customHeight="1" thickBot="1">
      <c r="A108" s="10" t="s">
        <v>21</v>
      </c>
      <c r="B108" s="10" t="s">
        <v>204</v>
      </c>
      <c r="C108" s="10" t="s">
        <v>141</v>
      </c>
      <c r="D108" s="10" t="s">
        <v>142</v>
      </c>
      <c r="E108" s="10" t="s">
        <v>143</v>
      </c>
      <c r="F108" s="10" t="s">
        <v>259</v>
      </c>
      <c r="G108" s="225" t="s">
        <v>260</v>
      </c>
      <c r="H108" s="10" t="s">
        <v>257</v>
      </c>
      <c r="I108" s="10" t="s">
        <v>30</v>
      </c>
      <c r="J108" s="10" t="s">
        <v>36</v>
      </c>
    </row>
    <row r="109" spans="1:10" ht="27" thickBot="1">
      <c r="A109" s="10" t="s">
        <v>21</v>
      </c>
      <c r="B109" s="10" t="s">
        <v>140</v>
      </c>
      <c r="C109" s="10" t="s">
        <v>141</v>
      </c>
      <c r="D109" s="10" t="s">
        <v>142</v>
      </c>
      <c r="E109" s="10" t="s">
        <v>143</v>
      </c>
      <c r="F109" s="10" t="s">
        <v>261</v>
      </c>
      <c r="G109" s="225" t="s">
        <v>262</v>
      </c>
      <c r="H109" s="10" t="s">
        <v>263</v>
      </c>
      <c r="I109" s="10" t="s">
        <v>30</v>
      </c>
      <c r="J109" s="10" t="s">
        <v>48</v>
      </c>
    </row>
    <row r="110" spans="1:10" ht="29.25" customHeight="1" thickBot="1">
      <c r="A110" s="10" t="s">
        <v>21</v>
      </c>
      <c r="B110" s="10" t="s">
        <v>140</v>
      </c>
      <c r="C110" s="10" t="s">
        <v>141</v>
      </c>
      <c r="D110" s="10" t="s">
        <v>142</v>
      </c>
      <c r="E110" s="10" t="s">
        <v>143</v>
      </c>
      <c r="F110" s="10" t="s">
        <v>264</v>
      </c>
      <c r="G110" s="10" t="s">
        <v>265</v>
      </c>
      <c r="H110" s="10" t="s">
        <v>263</v>
      </c>
      <c r="I110" s="10" t="s">
        <v>30</v>
      </c>
      <c r="J110" s="10" t="s">
        <v>31</v>
      </c>
    </row>
    <row r="111" spans="1:10" ht="29.25" customHeight="1" thickBot="1">
      <c r="A111" s="10" t="s">
        <v>21</v>
      </c>
      <c r="B111" s="10" t="s">
        <v>140</v>
      </c>
      <c r="C111" s="10" t="s">
        <v>141</v>
      </c>
      <c r="D111" s="10" t="s">
        <v>142</v>
      </c>
      <c r="E111" s="10" t="s">
        <v>143</v>
      </c>
      <c r="F111" s="10" t="s">
        <v>263</v>
      </c>
      <c r="G111" s="10" t="s">
        <v>266</v>
      </c>
      <c r="H111" s="10" t="s">
        <v>263</v>
      </c>
      <c r="I111" s="10" t="s">
        <v>30</v>
      </c>
      <c r="J111" s="10" t="s">
        <v>33</v>
      </c>
    </row>
    <row r="112" spans="1:10" ht="29.25" customHeight="1" thickBot="1">
      <c r="A112" s="10" t="s">
        <v>21</v>
      </c>
      <c r="B112" s="10" t="s">
        <v>140</v>
      </c>
      <c r="C112" s="10" t="s">
        <v>141</v>
      </c>
      <c r="D112" s="10" t="s">
        <v>142</v>
      </c>
      <c r="E112" s="10" t="s">
        <v>143</v>
      </c>
      <c r="F112" s="10" t="s">
        <v>267</v>
      </c>
      <c r="G112" s="10" t="s">
        <v>268</v>
      </c>
      <c r="H112" s="10" t="s">
        <v>263</v>
      </c>
      <c r="I112" s="10" t="s">
        <v>30</v>
      </c>
      <c r="J112" s="10" t="s">
        <v>36</v>
      </c>
    </row>
    <row r="113" spans="1:10" ht="27" thickBot="1">
      <c r="A113" s="10" t="s">
        <v>21</v>
      </c>
      <c r="B113" s="10" t="s">
        <v>140</v>
      </c>
      <c r="C113" s="10" t="s">
        <v>141</v>
      </c>
      <c r="D113" s="10" t="s">
        <v>142</v>
      </c>
      <c r="E113" s="10" t="s">
        <v>143</v>
      </c>
      <c r="F113" s="10" t="s">
        <v>269</v>
      </c>
      <c r="G113" s="225" t="s">
        <v>270</v>
      </c>
      <c r="H113" s="10" t="s">
        <v>271</v>
      </c>
      <c r="I113" s="10" t="s">
        <v>30</v>
      </c>
      <c r="J113" s="10" t="s">
        <v>48</v>
      </c>
    </row>
    <row r="114" spans="1:10" ht="29.25" customHeight="1" thickBot="1">
      <c r="A114" s="10" t="s">
        <v>21</v>
      </c>
      <c r="B114" s="10" t="s">
        <v>140</v>
      </c>
      <c r="C114" s="10" t="s">
        <v>141</v>
      </c>
      <c r="D114" s="10" t="s">
        <v>142</v>
      </c>
      <c r="E114" s="10" t="s">
        <v>143</v>
      </c>
      <c r="F114" s="10" t="s">
        <v>272</v>
      </c>
      <c r="G114" s="10" t="s">
        <v>273</v>
      </c>
      <c r="H114" s="10" t="s">
        <v>271</v>
      </c>
      <c r="I114" s="10" t="s">
        <v>30</v>
      </c>
      <c r="J114" s="10" t="s">
        <v>31</v>
      </c>
    </row>
    <row r="115" spans="1:10" ht="16" thickBot="1">
      <c r="A115" s="10" t="s">
        <v>21</v>
      </c>
      <c r="B115" s="10" t="s">
        <v>140</v>
      </c>
      <c r="C115" s="10" t="s">
        <v>141</v>
      </c>
      <c r="D115" s="10" t="s">
        <v>142</v>
      </c>
      <c r="E115" s="10" t="s">
        <v>143</v>
      </c>
      <c r="F115" s="10" t="s">
        <v>271</v>
      </c>
      <c r="G115" s="10" t="s">
        <v>274</v>
      </c>
      <c r="H115" s="10" t="s">
        <v>271</v>
      </c>
      <c r="I115" s="10" t="s">
        <v>30</v>
      </c>
      <c r="J115" s="10" t="s">
        <v>33</v>
      </c>
    </row>
    <row r="116" spans="1:10" ht="29.25" customHeight="1" thickBot="1">
      <c r="A116" s="10" t="s">
        <v>21</v>
      </c>
      <c r="B116" s="10" t="s">
        <v>140</v>
      </c>
      <c r="C116" s="10" t="s">
        <v>141</v>
      </c>
      <c r="D116" s="10" t="s">
        <v>142</v>
      </c>
      <c r="E116" s="10" t="s">
        <v>143</v>
      </c>
      <c r="F116" s="10" t="s">
        <v>275</v>
      </c>
      <c r="G116" s="10" t="s">
        <v>276</v>
      </c>
      <c r="H116" s="10" t="s">
        <v>271</v>
      </c>
      <c r="I116" s="10" t="s">
        <v>30</v>
      </c>
      <c r="J116" s="10" t="s">
        <v>36</v>
      </c>
    </row>
    <row r="117" spans="1:10" ht="16" thickBot="1">
      <c r="A117" s="10" t="s">
        <v>21</v>
      </c>
      <c r="B117" s="10" t="s">
        <v>230</v>
      </c>
      <c r="C117" s="10" t="s">
        <v>141</v>
      </c>
      <c r="D117" s="10" t="s">
        <v>142</v>
      </c>
      <c r="E117" s="10" t="s">
        <v>143</v>
      </c>
      <c r="F117" s="10" t="s">
        <v>277</v>
      </c>
      <c r="G117" s="10" t="s">
        <v>278</v>
      </c>
      <c r="H117" s="10" t="s">
        <v>279</v>
      </c>
      <c r="I117" s="10" t="s">
        <v>30</v>
      </c>
      <c r="J117" s="10" t="s">
        <v>31</v>
      </c>
    </row>
    <row r="118" spans="1:10" ht="16" thickBot="1">
      <c r="A118" s="10" t="s">
        <v>21</v>
      </c>
      <c r="B118" s="10" t="s">
        <v>230</v>
      </c>
      <c r="C118" s="10" t="s">
        <v>141</v>
      </c>
      <c r="D118" s="10" t="s">
        <v>142</v>
      </c>
      <c r="E118" s="10" t="s">
        <v>143</v>
      </c>
      <c r="F118" s="10" t="s">
        <v>279</v>
      </c>
      <c r="G118" s="10" t="s">
        <v>280</v>
      </c>
      <c r="H118" s="10" t="s">
        <v>279</v>
      </c>
      <c r="I118" s="10" t="s">
        <v>30</v>
      </c>
      <c r="J118" s="10" t="s">
        <v>33</v>
      </c>
    </row>
    <row r="119" spans="1:10" ht="29.25" customHeight="1" thickBot="1">
      <c r="A119" s="10" t="s">
        <v>21</v>
      </c>
      <c r="B119" s="10" t="s">
        <v>230</v>
      </c>
      <c r="C119" s="10" t="s">
        <v>141</v>
      </c>
      <c r="D119" s="10" t="s">
        <v>142</v>
      </c>
      <c r="E119" s="10" t="s">
        <v>143</v>
      </c>
      <c r="F119" s="10" t="s">
        <v>281</v>
      </c>
      <c r="G119" s="10" t="s">
        <v>282</v>
      </c>
      <c r="H119" s="10" t="s">
        <v>279</v>
      </c>
      <c r="I119" s="10" t="s">
        <v>30</v>
      </c>
      <c r="J119" s="10" t="s">
        <v>36</v>
      </c>
    </row>
    <row r="120" spans="1:10" ht="29.25" customHeight="1" thickBot="1">
      <c r="A120" s="10" t="s">
        <v>21</v>
      </c>
      <c r="B120" s="10" t="s">
        <v>230</v>
      </c>
      <c r="C120" s="10" t="s">
        <v>141</v>
      </c>
      <c r="D120" s="10" t="s">
        <v>142</v>
      </c>
      <c r="E120" s="10" t="s">
        <v>143</v>
      </c>
      <c r="F120" s="10" t="s">
        <v>283</v>
      </c>
      <c r="G120" s="10" t="s">
        <v>284</v>
      </c>
      <c r="H120" s="10" t="s">
        <v>285</v>
      </c>
      <c r="I120" s="10" t="s">
        <v>30</v>
      </c>
      <c r="J120" s="10" t="s">
        <v>31</v>
      </c>
    </row>
    <row r="121" spans="1:10" ht="27" thickBot="1">
      <c r="A121" s="10" t="s">
        <v>21</v>
      </c>
      <c r="B121" s="10" t="s">
        <v>230</v>
      </c>
      <c r="C121" s="10" t="s">
        <v>141</v>
      </c>
      <c r="D121" s="10" t="s">
        <v>142</v>
      </c>
      <c r="E121" s="10" t="s">
        <v>143</v>
      </c>
      <c r="F121" s="10" t="s">
        <v>285</v>
      </c>
      <c r="G121" s="225" t="s">
        <v>286</v>
      </c>
      <c r="H121" s="10" t="s">
        <v>285</v>
      </c>
      <c r="I121" s="10" t="s">
        <v>30</v>
      </c>
      <c r="J121" s="10" t="s">
        <v>33</v>
      </c>
    </row>
    <row r="122" spans="1:10" ht="27" thickBot="1">
      <c r="A122" s="10" t="s">
        <v>21</v>
      </c>
      <c r="B122" s="10" t="s">
        <v>230</v>
      </c>
      <c r="C122" s="10" t="s">
        <v>141</v>
      </c>
      <c r="D122" s="10" t="s">
        <v>142</v>
      </c>
      <c r="E122" s="10" t="s">
        <v>143</v>
      </c>
      <c r="F122" s="10" t="s">
        <v>287</v>
      </c>
      <c r="G122" s="225" t="s">
        <v>288</v>
      </c>
      <c r="H122" s="10" t="s">
        <v>285</v>
      </c>
      <c r="I122" s="10" t="s">
        <v>30</v>
      </c>
      <c r="J122" s="10" t="s">
        <v>36</v>
      </c>
    </row>
    <row r="123" spans="1:10" ht="29.25" customHeight="1" thickBot="1">
      <c r="A123" s="10" t="s">
        <v>21</v>
      </c>
      <c r="B123" s="10" t="s">
        <v>230</v>
      </c>
      <c r="C123" s="10" t="s">
        <v>141</v>
      </c>
      <c r="D123" s="10" t="s">
        <v>142</v>
      </c>
      <c r="E123" s="10" t="s">
        <v>143</v>
      </c>
      <c r="F123" s="10" t="s">
        <v>289</v>
      </c>
      <c r="G123" s="10" t="s">
        <v>290</v>
      </c>
      <c r="H123" s="10" t="s">
        <v>291</v>
      </c>
      <c r="I123" s="10" t="s">
        <v>30</v>
      </c>
      <c r="J123" s="10" t="s">
        <v>31</v>
      </c>
    </row>
    <row r="124" spans="1:10" ht="16" thickBot="1">
      <c r="A124" s="10" t="s">
        <v>21</v>
      </c>
      <c r="B124" s="10" t="s">
        <v>230</v>
      </c>
      <c r="C124" s="10" t="s">
        <v>141</v>
      </c>
      <c r="D124" s="10" t="s">
        <v>142</v>
      </c>
      <c r="E124" s="10" t="s">
        <v>143</v>
      </c>
      <c r="F124" s="10" t="s">
        <v>291</v>
      </c>
      <c r="G124" s="10" t="s">
        <v>292</v>
      </c>
      <c r="H124" s="10" t="s">
        <v>291</v>
      </c>
      <c r="I124" s="10" t="s">
        <v>30</v>
      </c>
      <c r="J124" s="10" t="s">
        <v>33</v>
      </c>
    </row>
    <row r="125" spans="1:10" ht="16" thickBot="1">
      <c r="A125" s="10" t="s">
        <v>21</v>
      </c>
      <c r="B125" s="10" t="s">
        <v>230</v>
      </c>
      <c r="C125" s="10" t="s">
        <v>141</v>
      </c>
      <c r="D125" s="10" t="s">
        <v>142</v>
      </c>
      <c r="E125" s="10" t="s">
        <v>143</v>
      </c>
      <c r="F125" s="10" t="s">
        <v>293</v>
      </c>
      <c r="G125" s="225" t="s">
        <v>294</v>
      </c>
      <c r="H125" s="10" t="s">
        <v>291</v>
      </c>
      <c r="I125" s="10" t="s">
        <v>30</v>
      </c>
      <c r="J125" s="10" t="s">
        <v>36</v>
      </c>
    </row>
    <row r="126" spans="1:10" ht="29.25" customHeight="1" thickBot="1">
      <c r="A126" s="10" t="s">
        <v>21</v>
      </c>
      <c r="B126" s="10" t="s">
        <v>230</v>
      </c>
      <c r="C126" s="10" t="s">
        <v>141</v>
      </c>
      <c r="D126" s="10" t="s">
        <v>142</v>
      </c>
      <c r="E126" s="10" t="s">
        <v>143</v>
      </c>
      <c r="F126" s="10" t="s">
        <v>295</v>
      </c>
      <c r="G126" s="225" t="s">
        <v>296</v>
      </c>
      <c r="H126" s="10" t="s">
        <v>297</v>
      </c>
      <c r="I126" s="10" t="s">
        <v>30</v>
      </c>
      <c r="J126" s="10" t="s">
        <v>31</v>
      </c>
    </row>
    <row r="127" spans="1:10" ht="27" thickBot="1">
      <c r="A127" s="10" t="s">
        <v>21</v>
      </c>
      <c r="B127" s="10" t="s">
        <v>230</v>
      </c>
      <c r="C127" s="10" t="s">
        <v>141</v>
      </c>
      <c r="D127" s="10" t="s">
        <v>142</v>
      </c>
      <c r="E127" s="10" t="s">
        <v>143</v>
      </c>
      <c r="F127" s="10" t="s">
        <v>297</v>
      </c>
      <c r="G127" s="225" t="s">
        <v>298</v>
      </c>
      <c r="H127" s="10" t="s">
        <v>297</v>
      </c>
      <c r="I127" s="10" t="s">
        <v>30</v>
      </c>
      <c r="J127" s="10" t="s">
        <v>33</v>
      </c>
    </row>
    <row r="128" spans="1:10" ht="27" thickBot="1">
      <c r="A128" s="10" t="s">
        <v>21</v>
      </c>
      <c r="B128" s="10" t="s">
        <v>230</v>
      </c>
      <c r="C128" s="10" t="s">
        <v>141</v>
      </c>
      <c r="D128" s="10" t="s">
        <v>142</v>
      </c>
      <c r="E128" s="10" t="s">
        <v>143</v>
      </c>
      <c r="F128" s="10" t="s">
        <v>299</v>
      </c>
      <c r="G128" s="225" t="s">
        <v>300</v>
      </c>
      <c r="H128" s="10" t="s">
        <v>297</v>
      </c>
      <c r="I128" s="10" t="s">
        <v>30</v>
      </c>
      <c r="J128" s="10" t="s">
        <v>36</v>
      </c>
    </row>
    <row r="129" spans="1:10" ht="27" thickBot="1">
      <c r="A129" s="10" t="s">
        <v>21</v>
      </c>
      <c r="B129" s="10" t="s">
        <v>301</v>
      </c>
      <c r="C129" s="10" t="s">
        <v>141</v>
      </c>
      <c r="D129" s="10" t="s">
        <v>142</v>
      </c>
      <c r="E129" s="10" t="s">
        <v>143</v>
      </c>
      <c r="F129" s="10" t="s">
        <v>302</v>
      </c>
      <c r="G129" s="225" t="s">
        <v>303</v>
      </c>
      <c r="H129" s="10" t="s">
        <v>304</v>
      </c>
      <c r="I129" s="10" t="s">
        <v>30</v>
      </c>
      <c r="J129" s="10" t="s">
        <v>48</v>
      </c>
    </row>
    <row r="130" spans="1:10" ht="29.25" customHeight="1" thickBot="1">
      <c r="A130" s="10" t="s">
        <v>21</v>
      </c>
      <c r="B130" s="10" t="s">
        <v>301</v>
      </c>
      <c r="C130" s="10" t="s">
        <v>141</v>
      </c>
      <c r="D130" s="10" t="s">
        <v>142</v>
      </c>
      <c r="E130" s="10" t="s">
        <v>143</v>
      </c>
      <c r="F130" s="10" t="s">
        <v>305</v>
      </c>
      <c r="G130" s="225" t="s">
        <v>306</v>
      </c>
      <c r="H130" s="10" t="s">
        <v>304</v>
      </c>
      <c r="I130" s="10" t="s">
        <v>30</v>
      </c>
      <c r="J130" s="10" t="s">
        <v>48</v>
      </c>
    </row>
    <row r="131" spans="1:10" ht="16" thickBot="1">
      <c r="A131" s="10" t="s">
        <v>21</v>
      </c>
      <c r="B131" s="10" t="s">
        <v>301</v>
      </c>
      <c r="C131" s="10" t="s">
        <v>141</v>
      </c>
      <c r="D131" s="10" t="s">
        <v>142</v>
      </c>
      <c r="E131" s="10" t="s">
        <v>143</v>
      </c>
      <c r="F131" s="10" t="s">
        <v>307</v>
      </c>
      <c r="G131" s="10" t="s">
        <v>308</v>
      </c>
      <c r="H131" s="10" t="s">
        <v>304</v>
      </c>
      <c r="I131" s="10" t="s">
        <v>30</v>
      </c>
      <c r="J131" s="10" t="s">
        <v>31</v>
      </c>
    </row>
    <row r="132" spans="1:10" ht="16" thickBot="1">
      <c r="A132" s="10" t="s">
        <v>21</v>
      </c>
      <c r="B132" s="10" t="s">
        <v>301</v>
      </c>
      <c r="C132" s="10" t="s">
        <v>141</v>
      </c>
      <c r="D132" s="10" t="s">
        <v>142</v>
      </c>
      <c r="E132" s="10" t="s">
        <v>143</v>
      </c>
      <c r="F132" s="10" t="s">
        <v>304</v>
      </c>
      <c r="G132" s="10" t="s">
        <v>309</v>
      </c>
      <c r="H132" s="10" t="s">
        <v>304</v>
      </c>
      <c r="I132" s="10" t="s">
        <v>30</v>
      </c>
      <c r="J132" s="10" t="s">
        <v>33</v>
      </c>
    </row>
    <row r="133" spans="1:10" ht="29.25" customHeight="1" thickBot="1">
      <c r="A133" s="10" t="s">
        <v>21</v>
      </c>
      <c r="B133" s="10" t="s">
        <v>301</v>
      </c>
      <c r="C133" s="10" t="s">
        <v>141</v>
      </c>
      <c r="D133" s="10" t="s">
        <v>142</v>
      </c>
      <c r="E133" s="10" t="s">
        <v>143</v>
      </c>
      <c r="F133" s="10" t="s">
        <v>310</v>
      </c>
      <c r="G133" s="10" t="s">
        <v>311</v>
      </c>
      <c r="H133" s="10" t="s">
        <v>304</v>
      </c>
      <c r="I133" s="10" t="s">
        <v>30</v>
      </c>
      <c r="J133" s="10" t="s">
        <v>36</v>
      </c>
    </row>
    <row r="134" spans="1:10" ht="16" thickBot="1">
      <c r="A134" s="10" t="s">
        <v>21</v>
      </c>
      <c r="B134" s="10" t="s">
        <v>301</v>
      </c>
      <c r="C134" s="10" t="s">
        <v>141</v>
      </c>
      <c r="D134" s="10" t="s">
        <v>142</v>
      </c>
      <c r="E134" s="10" t="s">
        <v>143</v>
      </c>
      <c r="F134" s="10" t="s">
        <v>312</v>
      </c>
      <c r="G134" s="10" t="s">
        <v>313</v>
      </c>
      <c r="H134" s="10" t="s">
        <v>314</v>
      </c>
      <c r="I134" s="10" t="s">
        <v>40</v>
      </c>
      <c r="J134" s="10" t="s">
        <v>31</v>
      </c>
    </row>
    <row r="135" spans="1:10" ht="29.25" customHeight="1" thickBot="1">
      <c r="A135" s="10" t="s">
        <v>21</v>
      </c>
      <c r="B135" s="10" t="s">
        <v>301</v>
      </c>
      <c r="C135" s="10" t="s">
        <v>141</v>
      </c>
      <c r="D135" s="10" t="s">
        <v>142</v>
      </c>
      <c r="E135" s="10" t="s">
        <v>143</v>
      </c>
      <c r="F135" s="10" t="s">
        <v>314</v>
      </c>
      <c r="G135" s="10" t="s">
        <v>315</v>
      </c>
      <c r="H135" s="10" t="s">
        <v>314</v>
      </c>
      <c r="I135" s="10" t="s">
        <v>40</v>
      </c>
      <c r="J135" s="10" t="s">
        <v>33</v>
      </c>
    </row>
    <row r="136" spans="1:10" ht="16" thickBot="1">
      <c r="A136" s="10" t="s">
        <v>21</v>
      </c>
      <c r="B136" s="10" t="s">
        <v>301</v>
      </c>
      <c r="C136" s="10" t="s">
        <v>141</v>
      </c>
      <c r="D136" s="10" t="s">
        <v>142</v>
      </c>
      <c r="E136" s="10" t="s">
        <v>143</v>
      </c>
      <c r="F136" s="10" t="s">
        <v>316</v>
      </c>
      <c r="G136" s="10" t="s">
        <v>317</v>
      </c>
      <c r="H136" s="10" t="s">
        <v>314</v>
      </c>
      <c r="I136" s="10" t="s">
        <v>40</v>
      </c>
      <c r="J136" s="10" t="s">
        <v>36</v>
      </c>
    </row>
    <row r="137" spans="1:10" ht="29.25" customHeight="1" thickBot="1">
      <c r="A137" s="10" t="s">
        <v>21</v>
      </c>
      <c r="B137" s="10" t="s">
        <v>301</v>
      </c>
      <c r="C137" s="10" t="s">
        <v>141</v>
      </c>
      <c r="D137" s="10" t="s">
        <v>142</v>
      </c>
      <c r="E137" s="10" t="s">
        <v>143</v>
      </c>
      <c r="F137" s="10" t="s">
        <v>318</v>
      </c>
      <c r="G137" s="225" t="s">
        <v>319</v>
      </c>
      <c r="H137" s="10" t="s">
        <v>314</v>
      </c>
      <c r="I137" s="10" t="s">
        <v>40</v>
      </c>
      <c r="J137" s="10" t="s">
        <v>48</v>
      </c>
    </row>
    <row r="138" spans="1:10" ht="16" thickBot="1">
      <c r="A138" s="10" t="s">
        <v>21</v>
      </c>
      <c r="B138" s="10" t="s">
        <v>301</v>
      </c>
      <c r="C138" s="10" t="s">
        <v>141</v>
      </c>
      <c r="D138" s="10" t="s">
        <v>142</v>
      </c>
      <c r="E138" s="10" t="s">
        <v>143</v>
      </c>
      <c r="F138" s="10" t="s">
        <v>320</v>
      </c>
      <c r="G138" s="10" t="s">
        <v>321</v>
      </c>
      <c r="H138" s="10" t="s">
        <v>322</v>
      </c>
      <c r="I138" s="10" t="s">
        <v>40</v>
      </c>
      <c r="J138" s="10" t="s">
        <v>31</v>
      </c>
    </row>
    <row r="139" spans="1:10" ht="16" thickBot="1">
      <c r="A139" s="10" t="s">
        <v>21</v>
      </c>
      <c r="B139" s="10" t="s">
        <v>301</v>
      </c>
      <c r="C139" s="10" t="s">
        <v>141</v>
      </c>
      <c r="D139" s="10" t="s">
        <v>142</v>
      </c>
      <c r="E139" s="10" t="s">
        <v>143</v>
      </c>
      <c r="F139" s="10" t="s">
        <v>322</v>
      </c>
      <c r="G139" s="10" t="s">
        <v>323</v>
      </c>
      <c r="H139" s="10" t="s">
        <v>322</v>
      </c>
      <c r="I139" s="10" t="s">
        <v>40</v>
      </c>
      <c r="J139" s="10" t="s">
        <v>33</v>
      </c>
    </row>
    <row r="140" spans="1:10" ht="29.25" customHeight="1" thickTop="1" thickBot="1">
      <c r="A140" s="13" t="s">
        <v>21</v>
      </c>
      <c r="B140" s="13" t="s">
        <v>301</v>
      </c>
      <c r="C140" s="13" t="s">
        <v>141</v>
      </c>
      <c r="D140" s="13" t="s">
        <v>142</v>
      </c>
      <c r="E140" s="13" t="s">
        <v>143</v>
      </c>
      <c r="F140" s="13" t="s">
        <v>324</v>
      </c>
      <c r="G140" s="13" t="s">
        <v>325</v>
      </c>
      <c r="H140" s="10" t="s">
        <v>322</v>
      </c>
      <c r="I140" s="13" t="s">
        <v>40</v>
      </c>
      <c r="J140" s="13" t="s">
        <v>36</v>
      </c>
    </row>
    <row r="141" spans="1:10" ht="27" thickBot="1">
      <c r="A141" s="10" t="s">
        <v>21</v>
      </c>
      <c r="B141" s="10" t="s">
        <v>301</v>
      </c>
      <c r="C141" s="10" t="s">
        <v>141</v>
      </c>
      <c r="D141" s="10" t="s">
        <v>142</v>
      </c>
      <c r="E141" s="10" t="s">
        <v>143</v>
      </c>
      <c r="F141" s="10" t="s">
        <v>326</v>
      </c>
      <c r="G141" s="225" t="s">
        <v>327</v>
      </c>
      <c r="H141" s="10" t="s">
        <v>314</v>
      </c>
      <c r="I141" s="10" t="s">
        <v>40</v>
      </c>
      <c r="J141" s="10" t="s">
        <v>48</v>
      </c>
    </row>
    <row r="142" spans="1:10" ht="29.25" customHeight="1" thickBot="1">
      <c r="A142" s="10" t="s">
        <v>21</v>
      </c>
      <c r="B142" s="10" t="s">
        <v>301</v>
      </c>
      <c r="C142" s="10" t="s">
        <v>141</v>
      </c>
      <c r="D142" s="10" t="s">
        <v>142</v>
      </c>
      <c r="E142" s="10" t="s">
        <v>143</v>
      </c>
      <c r="F142" s="10" t="s">
        <v>328</v>
      </c>
      <c r="G142" s="225" t="s">
        <v>329</v>
      </c>
      <c r="H142" s="10" t="s">
        <v>330</v>
      </c>
      <c r="I142" s="10" t="s">
        <v>30</v>
      </c>
      <c r="J142" s="10" t="s">
        <v>48</v>
      </c>
    </row>
    <row r="143" spans="1:10" ht="27" thickBot="1">
      <c r="A143" s="10" t="s">
        <v>21</v>
      </c>
      <c r="B143" s="10" t="s">
        <v>301</v>
      </c>
      <c r="C143" s="10" t="s">
        <v>141</v>
      </c>
      <c r="D143" s="10" t="s">
        <v>142</v>
      </c>
      <c r="E143" s="10" t="s">
        <v>143</v>
      </c>
      <c r="F143" s="10" t="s">
        <v>331</v>
      </c>
      <c r="G143" s="225" t="s">
        <v>332</v>
      </c>
      <c r="H143" s="10" t="s">
        <v>330</v>
      </c>
      <c r="I143" s="10" t="s">
        <v>30</v>
      </c>
      <c r="J143" s="10" t="s">
        <v>48</v>
      </c>
    </row>
    <row r="144" spans="1:10" ht="16" thickBot="1">
      <c r="A144" s="10" t="s">
        <v>21</v>
      </c>
      <c r="B144" s="10" t="s">
        <v>301</v>
      </c>
      <c r="C144" s="10" t="s">
        <v>141</v>
      </c>
      <c r="D144" s="10" t="s">
        <v>142</v>
      </c>
      <c r="E144" s="10" t="s">
        <v>143</v>
      </c>
      <c r="F144" s="10" t="s">
        <v>333</v>
      </c>
      <c r="G144" s="10" t="s">
        <v>334</v>
      </c>
      <c r="H144" s="10" t="s">
        <v>330</v>
      </c>
      <c r="I144" s="10" t="s">
        <v>30</v>
      </c>
      <c r="J144" s="10" t="s">
        <v>31</v>
      </c>
    </row>
    <row r="145" spans="1:10" ht="16" thickBot="1">
      <c r="A145" s="10" t="s">
        <v>21</v>
      </c>
      <c r="B145" s="10" t="s">
        <v>301</v>
      </c>
      <c r="C145" s="10" t="s">
        <v>141</v>
      </c>
      <c r="D145" s="10" t="s">
        <v>142</v>
      </c>
      <c r="E145" s="10" t="s">
        <v>143</v>
      </c>
      <c r="F145" s="10" t="s">
        <v>330</v>
      </c>
      <c r="G145" s="10" t="s">
        <v>335</v>
      </c>
      <c r="H145" s="10" t="s">
        <v>330</v>
      </c>
      <c r="I145" s="10" t="s">
        <v>30</v>
      </c>
      <c r="J145" s="10" t="s">
        <v>33</v>
      </c>
    </row>
    <row r="146" spans="1:10" ht="16" thickBot="1">
      <c r="A146" s="10" t="s">
        <v>21</v>
      </c>
      <c r="B146" s="10" t="s">
        <v>301</v>
      </c>
      <c r="C146" s="10" t="s">
        <v>141</v>
      </c>
      <c r="D146" s="10" t="s">
        <v>142</v>
      </c>
      <c r="E146" s="10" t="s">
        <v>143</v>
      </c>
      <c r="F146" s="10" t="s">
        <v>336</v>
      </c>
      <c r="G146" s="10" t="s">
        <v>337</v>
      </c>
      <c r="H146" s="10" t="s">
        <v>330</v>
      </c>
      <c r="I146" s="10" t="s">
        <v>30</v>
      </c>
      <c r="J146" s="10" t="s">
        <v>36</v>
      </c>
    </row>
    <row r="147" spans="1:10" ht="16" thickBot="1">
      <c r="A147" s="10" t="s">
        <v>21</v>
      </c>
      <c r="B147" s="10" t="s">
        <v>338</v>
      </c>
      <c r="C147" s="10" t="s">
        <v>141</v>
      </c>
      <c r="D147" s="10" t="s">
        <v>142</v>
      </c>
      <c r="E147" s="10" t="s">
        <v>339</v>
      </c>
      <c r="F147" s="10" t="s">
        <v>340</v>
      </c>
      <c r="G147" s="10" t="s">
        <v>341</v>
      </c>
      <c r="H147" s="10" t="s">
        <v>342</v>
      </c>
      <c r="I147" s="10" t="s">
        <v>30</v>
      </c>
      <c r="J147" s="10" t="s">
        <v>31</v>
      </c>
    </row>
    <row r="148" spans="1:10" ht="16" thickBot="1">
      <c r="A148" s="10" t="s">
        <v>21</v>
      </c>
      <c r="B148" s="10" t="s">
        <v>338</v>
      </c>
      <c r="C148" s="10" t="s">
        <v>141</v>
      </c>
      <c r="D148" s="10" t="s">
        <v>142</v>
      </c>
      <c r="E148" s="10" t="s">
        <v>339</v>
      </c>
      <c r="F148" s="10" t="s">
        <v>342</v>
      </c>
      <c r="G148" s="10" t="s">
        <v>343</v>
      </c>
      <c r="H148" s="10" t="s">
        <v>342</v>
      </c>
      <c r="I148" s="10" t="s">
        <v>30</v>
      </c>
      <c r="J148" s="10" t="s">
        <v>33</v>
      </c>
    </row>
    <row r="149" spans="1:10" ht="29.25" customHeight="1" thickBot="1">
      <c r="A149" s="10" t="s">
        <v>21</v>
      </c>
      <c r="B149" s="10" t="s">
        <v>338</v>
      </c>
      <c r="C149" s="10" t="s">
        <v>141</v>
      </c>
      <c r="D149" s="10" t="s">
        <v>142</v>
      </c>
      <c r="E149" s="10" t="s">
        <v>339</v>
      </c>
      <c r="F149" s="10" t="s">
        <v>344</v>
      </c>
      <c r="G149" s="10" t="s">
        <v>345</v>
      </c>
      <c r="H149" s="10" t="s">
        <v>342</v>
      </c>
      <c r="I149" s="10" t="s">
        <v>30</v>
      </c>
      <c r="J149" s="10" t="s">
        <v>36</v>
      </c>
    </row>
    <row r="150" spans="1:10" ht="16" thickBot="1">
      <c r="A150" s="10" t="s">
        <v>21</v>
      </c>
      <c r="B150" s="10" t="s">
        <v>338</v>
      </c>
      <c r="C150" s="10" t="s">
        <v>141</v>
      </c>
      <c r="D150" s="10" t="s">
        <v>142</v>
      </c>
      <c r="E150" s="10" t="s">
        <v>339</v>
      </c>
      <c r="F150" s="10" t="s">
        <v>346</v>
      </c>
      <c r="G150" s="10" t="s">
        <v>347</v>
      </c>
      <c r="H150" s="10" t="s">
        <v>348</v>
      </c>
      <c r="I150" s="10" t="s">
        <v>30</v>
      </c>
      <c r="J150" s="10" t="s">
        <v>31</v>
      </c>
    </row>
    <row r="151" spans="1:10" ht="16" thickBot="1">
      <c r="A151" s="10" t="s">
        <v>21</v>
      </c>
      <c r="B151" s="10" t="s">
        <v>338</v>
      </c>
      <c r="C151" s="10" t="s">
        <v>141</v>
      </c>
      <c r="D151" s="10" t="s">
        <v>142</v>
      </c>
      <c r="E151" s="10" t="s">
        <v>339</v>
      </c>
      <c r="F151" s="10" t="s">
        <v>348</v>
      </c>
      <c r="G151" s="10" t="s">
        <v>349</v>
      </c>
      <c r="H151" s="10" t="s">
        <v>348</v>
      </c>
      <c r="I151" s="10" t="s">
        <v>30</v>
      </c>
      <c r="J151" s="10" t="s">
        <v>33</v>
      </c>
    </row>
    <row r="152" spans="1:10" ht="29.25" customHeight="1" thickBot="1">
      <c r="A152" s="10" t="s">
        <v>21</v>
      </c>
      <c r="B152" s="10" t="s">
        <v>338</v>
      </c>
      <c r="C152" s="10" t="s">
        <v>141</v>
      </c>
      <c r="D152" s="10" t="s">
        <v>142</v>
      </c>
      <c r="E152" s="10" t="s">
        <v>339</v>
      </c>
      <c r="F152" s="10" t="s">
        <v>350</v>
      </c>
      <c r="G152" s="10" t="s">
        <v>351</v>
      </c>
      <c r="H152" s="10" t="s">
        <v>348</v>
      </c>
      <c r="I152" s="10" t="s">
        <v>30</v>
      </c>
      <c r="J152" s="10" t="s">
        <v>36</v>
      </c>
    </row>
    <row r="153" spans="1:10" ht="27" thickBot="1">
      <c r="A153" s="10" t="s">
        <v>21</v>
      </c>
      <c r="B153" s="10" t="s">
        <v>338</v>
      </c>
      <c r="C153" s="10" t="s">
        <v>141</v>
      </c>
      <c r="D153" s="10" t="s">
        <v>142</v>
      </c>
      <c r="E153" s="10" t="s">
        <v>339</v>
      </c>
      <c r="F153" s="10" t="s">
        <v>352</v>
      </c>
      <c r="G153" s="225" t="s">
        <v>353</v>
      </c>
      <c r="H153" s="10" t="s">
        <v>348</v>
      </c>
      <c r="I153" s="10" t="s">
        <v>30</v>
      </c>
      <c r="J153" s="10" t="s">
        <v>48</v>
      </c>
    </row>
    <row r="154" spans="1:10" ht="27" thickBot="1">
      <c r="A154" s="10" t="s">
        <v>21</v>
      </c>
      <c r="B154" s="10" t="s">
        <v>338</v>
      </c>
      <c r="C154" s="10" t="s">
        <v>141</v>
      </c>
      <c r="D154" s="10" t="s">
        <v>142</v>
      </c>
      <c r="E154" s="10" t="s">
        <v>339</v>
      </c>
      <c r="F154" s="10" t="s">
        <v>354</v>
      </c>
      <c r="G154" s="225" t="s">
        <v>355</v>
      </c>
      <c r="H154" s="10" t="s">
        <v>342</v>
      </c>
      <c r="I154" s="10" t="s">
        <v>30</v>
      </c>
      <c r="J154" s="10" t="s">
        <v>48</v>
      </c>
    </row>
    <row r="155" spans="1:10" ht="29.25" customHeight="1" thickBot="1">
      <c r="A155" s="10" t="s">
        <v>21</v>
      </c>
      <c r="B155" s="10" t="s">
        <v>338</v>
      </c>
      <c r="C155" s="10" t="s">
        <v>141</v>
      </c>
      <c r="D155" s="10" t="s">
        <v>142</v>
      </c>
      <c r="E155" s="10" t="s">
        <v>339</v>
      </c>
      <c r="F155" s="10" t="s">
        <v>356</v>
      </c>
      <c r="G155" s="10" t="s">
        <v>357</v>
      </c>
      <c r="H155" s="10" t="s">
        <v>358</v>
      </c>
      <c r="I155" s="10" t="s">
        <v>40</v>
      </c>
      <c r="J155" s="10" t="s">
        <v>31</v>
      </c>
    </row>
    <row r="156" spans="1:10" ht="29.25" customHeight="1" thickBot="1">
      <c r="A156" s="10" t="s">
        <v>21</v>
      </c>
      <c r="B156" s="10" t="s">
        <v>338</v>
      </c>
      <c r="C156" s="10" t="s">
        <v>141</v>
      </c>
      <c r="D156" s="10" t="s">
        <v>142</v>
      </c>
      <c r="E156" s="10" t="s">
        <v>339</v>
      </c>
      <c r="F156" s="10" t="s">
        <v>358</v>
      </c>
      <c r="G156" s="10" t="s">
        <v>359</v>
      </c>
      <c r="H156" s="10" t="s">
        <v>358</v>
      </c>
      <c r="I156" s="10" t="s">
        <v>40</v>
      </c>
      <c r="J156" s="10" t="s">
        <v>33</v>
      </c>
    </row>
    <row r="157" spans="1:10" ht="16" thickBot="1">
      <c r="A157" s="10" t="s">
        <v>21</v>
      </c>
      <c r="B157" s="10" t="s">
        <v>338</v>
      </c>
      <c r="C157" s="10" t="s">
        <v>141</v>
      </c>
      <c r="D157" s="10" t="s">
        <v>142</v>
      </c>
      <c r="E157" s="10" t="s">
        <v>339</v>
      </c>
      <c r="F157" s="10" t="s">
        <v>360</v>
      </c>
      <c r="G157" s="10" t="s">
        <v>361</v>
      </c>
      <c r="H157" s="10" t="s">
        <v>358</v>
      </c>
      <c r="I157" s="10" t="s">
        <v>40</v>
      </c>
      <c r="J157" s="10" t="s">
        <v>36</v>
      </c>
    </row>
    <row r="158" spans="1:10" ht="29.25" customHeight="1" thickBot="1">
      <c r="A158" s="10" t="s">
        <v>21</v>
      </c>
      <c r="B158" s="10" t="s">
        <v>338</v>
      </c>
      <c r="C158" s="10" t="s">
        <v>141</v>
      </c>
      <c r="D158" s="10" t="s">
        <v>142</v>
      </c>
      <c r="E158" s="10" t="s">
        <v>339</v>
      </c>
      <c r="F158" s="10" t="s">
        <v>362</v>
      </c>
      <c r="G158" s="10" t="s">
        <v>363</v>
      </c>
      <c r="H158" s="10" t="s">
        <v>364</v>
      </c>
      <c r="I158" s="10" t="s">
        <v>40</v>
      </c>
      <c r="J158" s="10" t="s">
        <v>31</v>
      </c>
    </row>
    <row r="159" spans="1:10" ht="16" thickBot="1">
      <c r="A159" s="10" t="s">
        <v>21</v>
      </c>
      <c r="B159" s="10" t="s">
        <v>338</v>
      </c>
      <c r="C159" s="10" t="s">
        <v>141</v>
      </c>
      <c r="D159" s="10" t="s">
        <v>142</v>
      </c>
      <c r="E159" s="10" t="s">
        <v>339</v>
      </c>
      <c r="F159" s="10" t="s">
        <v>364</v>
      </c>
      <c r="G159" s="10" t="s">
        <v>365</v>
      </c>
      <c r="H159" s="10" t="s">
        <v>364</v>
      </c>
      <c r="I159" s="10" t="s">
        <v>40</v>
      </c>
      <c r="J159" s="10" t="s">
        <v>33</v>
      </c>
    </row>
    <row r="160" spans="1:10" ht="29.25" customHeight="1" thickBot="1">
      <c r="A160" s="10" t="s">
        <v>21</v>
      </c>
      <c r="B160" s="10" t="s">
        <v>338</v>
      </c>
      <c r="C160" s="10" t="s">
        <v>141</v>
      </c>
      <c r="D160" s="10" t="s">
        <v>142</v>
      </c>
      <c r="E160" s="10" t="s">
        <v>339</v>
      </c>
      <c r="F160" s="10" t="s">
        <v>366</v>
      </c>
      <c r="G160" s="10" t="s">
        <v>367</v>
      </c>
      <c r="H160" s="10" t="s">
        <v>364</v>
      </c>
      <c r="I160" s="10" t="s">
        <v>40</v>
      </c>
      <c r="J160" s="10" t="s">
        <v>36</v>
      </c>
    </row>
    <row r="161" spans="1:10" ht="27" thickBot="1">
      <c r="A161" s="10" t="s">
        <v>21</v>
      </c>
      <c r="B161" s="10" t="s">
        <v>338</v>
      </c>
      <c r="C161" s="10" t="s">
        <v>141</v>
      </c>
      <c r="D161" s="10" t="s">
        <v>142</v>
      </c>
      <c r="E161" s="10" t="s">
        <v>339</v>
      </c>
      <c r="F161" s="10" t="s">
        <v>368</v>
      </c>
      <c r="G161" s="225" t="s">
        <v>369</v>
      </c>
      <c r="H161" s="10" t="s">
        <v>364</v>
      </c>
      <c r="I161" s="10" t="s">
        <v>40</v>
      </c>
      <c r="J161" s="10" t="s">
        <v>48</v>
      </c>
    </row>
    <row r="162" spans="1:10" ht="29.25" customHeight="1" thickBot="1">
      <c r="A162" s="10" t="s">
        <v>21</v>
      </c>
      <c r="B162" s="10" t="s">
        <v>338</v>
      </c>
      <c r="C162" s="10" t="s">
        <v>141</v>
      </c>
      <c r="D162" s="10" t="s">
        <v>142</v>
      </c>
      <c r="E162" s="10" t="s">
        <v>339</v>
      </c>
      <c r="F162" s="10" t="s">
        <v>370</v>
      </c>
      <c r="G162" s="225" t="s">
        <v>371</v>
      </c>
      <c r="H162" s="10" t="s">
        <v>358</v>
      </c>
      <c r="I162" s="10" t="s">
        <v>40</v>
      </c>
      <c r="J162" s="10" t="s">
        <v>48</v>
      </c>
    </row>
    <row r="163" spans="1:10" ht="29.25" customHeight="1" thickBot="1">
      <c r="A163" s="10" t="s">
        <v>21</v>
      </c>
      <c r="B163" s="10" t="s">
        <v>301</v>
      </c>
      <c r="C163" s="10" t="s">
        <v>141</v>
      </c>
      <c r="D163" s="10" t="s">
        <v>142</v>
      </c>
      <c r="E163" s="10" t="s">
        <v>339</v>
      </c>
      <c r="F163" s="10" t="s">
        <v>372</v>
      </c>
      <c r="G163" s="10" t="s">
        <v>373</v>
      </c>
      <c r="H163" s="10" t="s">
        <v>374</v>
      </c>
      <c r="I163" s="10" t="s">
        <v>375</v>
      </c>
      <c r="J163" s="10" t="s">
        <v>31</v>
      </c>
    </row>
    <row r="164" spans="1:10" ht="29.25" customHeight="1" thickBot="1">
      <c r="A164" s="10" t="s">
        <v>21</v>
      </c>
      <c r="B164" s="10" t="s">
        <v>301</v>
      </c>
      <c r="C164" s="10" t="s">
        <v>141</v>
      </c>
      <c r="D164" s="10" t="s">
        <v>142</v>
      </c>
      <c r="E164" s="10" t="s">
        <v>339</v>
      </c>
      <c r="F164" s="10" t="s">
        <v>374</v>
      </c>
      <c r="G164" s="10" t="s">
        <v>376</v>
      </c>
      <c r="H164" s="10" t="s">
        <v>374</v>
      </c>
      <c r="I164" s="10" t="s">
        <v>375</v>
      </c>
      <c r="J164" s="10" t="s">
        <v>33</v>
      </c>
    </row>
    <row r="165" spans="1:10" ht="16" thickBot="1">
      <c r="A165" s="10" t="s">
        <v>21</v>
      </c>
      <c r="B165" s="10" t="s">
        <v>301</v>
      </c>
      <c r="C165" s="10" t="s">
        <v>141</v>
      </c>
      <c r="D165" s="10" t="s">
        <v>142</v>
      </c>
      <c r="E165" s="10" t="s">
        <v>339</v>
      </c>
      <c r="F165" s="10" t="s">
        <v>377</v>
      </c>
      <c r="G165" s="10" t="s">
        <v>378</v>
      </c>
      <c r="H165" s="10" t="s">
        <v>374</v>
      </c>
      <c r="I165" s="10" t="s">
        <v>375</v>
      </c>
      <c r="J165" s="10" t="s">
        <v>36</v>
      </c>
    </row>
    <row r="166" spans="1:10" ht="29.25" customHeight="1" thickBot="1">
      <c r="A166" s="10" t="s">
        <v>21</v>
      </c>
      <c r="B166" s="10" t="s">
        <v>301</v>
      </c>
      <c r="C166" s="10" t="s">
        <v>141</v>
      </c>
      <c r="D166" s="10" t="s">
        <v>142</v>
      </c>
      <c r="E166" s="10" t="s">
        <v>339</v>
      </c>
      <c r="F166" s="10" t="s">
        <v>379</v>
      </c>
      <c r="G166" s="10" t="s">
        <v>380</v>
      </c>
      <c r="H166" s="10" t="s">
        <v>381</v>
      </c>
      <c r="I166" s="10" t="s">
        <v>375</v>
      </c>
      <c r="J166" s="10" t="s">
        <v>31</v>
      </c>
    </row>
    <row r="167" spans="1:10" ht="16" thickBot="1">
      <c r="A167" s="10" t="s">
        <v>21</v>
      </c>
      <c r="B167" s="10" t="s">
        <v>301</v>
      </c>
      <c r="C167" s="10" t="s">
        <v>141</v>
      </c>
      <c r="D167" s="10" t="s">
        <v>142</v>
      </c>
      <c r="E167" s="10" t="s">
        <v>339</v>
      </c>
      <c r="F167" s="10" t="s">
        <v>381</v>
      </c>
      <c r="G167" s="225" t="s">
        <v>382</v>
      </c>
      <c r="H167" s="10" t="s">
        <v>381</v>
      </c>
      <c r="I167" s="10" t="s">
        <v>375</v>
      </c>
      <c r="J167" s="10" t="s">
        <v>33</v>
      </c>
    </row>
    <row r="168" spans="1:10" ht="16" thickBot="1">
      <c r="A168" s="10" t="s">
        <v>21</v>
      </c>
      <c r="B168" s="10" t="s">
        <v>301</v>
      </c>
      <c r="C168" s="10" t="s">
        <v>141</v>
      </c>
      <c r="D168" s="10" t="s">
        <v>142</v>
      </c>
      <c r="E168" s="10" t="s">
        <v>339</v>
      </c>
      <c r="F168" s="10" t="s">
        <v>383</v>
      </c>
      <c r="G168" s="225" t="s">
        <v>384</v>
      </c>
      <c r="H168" s="10" t="s">
        <v>381</v>
      </c>
      <c r="I168" s="10" t="s">
        <v>375</v>
      </c>
      <c r="J168" s="10" t="s">
        <v>36</v>
      </c>
    </row>
    <row r="169" spans="1:10" ht="29.25" customHeight="1" thickBot="1">
      <c r="A169" s="10" t="s">
        <v>21</v>
      </c>
      <c r="B169" s="10" t="s">
        <v>385</v>
      </c>
      <c r="C169" s="10" t="s">
        <v>386</v>
      </c>
      <c r="D169" s="10" t="s">
        <v>387</v>
      </c>
      <c r="E169" s="10" t="s">
        <v>388</v>
      </c>
      <c r="F169" s="10" t="s">
        <v>389</v>
      </c>
      <c r="G169" s="10" t="s">
        <v>390</v>
      </c>
      <c r="H169" s="10" t="s">
        <v>391</v>
      </c>
      <c r="I169" s="10" t="s">
        <v>30</v>
      </c>
      <c r="J169" s="10" t="s">
        <v>31</v>
      </c>
    </row>
    <row r="170" spans="1:10" ht="16" thickBot="1">
      <c r="A170" s="10" t="s">
        <v>21</v>
      </c>
      <c r="B170" s="10" t="s">
        <v>385</v>
      </c>
      <c r="C170" s="10" t="s">
        <v>386</v>
      </c>
      <c r="D170" s="10" t="s">
        <v>387</v>
      </c>
      <c r="E170" s="10" t="s">
        <v>388</v>
      </c>
      <c r="F170" s="10" t="s">
        <v>391</v>
      </c>
      <c r="G170" s="10" t="s">
        <v>392</v>
      </c>
      <c r="H170" s="10" t="s">
        <v>391</v>
      </c>
      <c r="I170" s="10" t="s">
        <v>30</v>
      </c>
      <c r="J170" s="10" t="s">
        <v>33</v>
      </c>
    </row>
    <row r="171" spans="1:10" ht="16" thickBot="1">
      <c r="A171" s="10" t="s">
        <v>21</v>
      </c>
      <c r="B171" s="10" t="s">
        <v>385</v>
      </c>
      <c r="C171" s="10" t="s">
        <v>386</v>
      </c>
      <c r="D171" s="10" t="s">
        <v>387</v>
      </c>
      <c r="E171" s="10" t="s">
        <v>388</v>
      </c>
      <c r="F171" s="10" t="s">
        <v>393</v>
      </c>
      <c r="G171" s="10" t="s">
        <v>394</v>
      </c>
      <c r="H171" s="10" t="s">
        <v>391</v>
      </c>
      <c r="I171" s="10" t="s">
        <v>30</v>
      </c>
      <c r="J171" s="10" t="s">
        <v>36</v>
      </c>
    </row>
    <row r="172" spans="1:10" ht="29.25" customHeight="1" thickBot="1">
      <c r="A172" s="10" t="s">
        <v>21</v>
      </c>
      <c r="B172" s="10" t="s">
        <v>385</v>
      </c>
      <c r="C172" s="10" t="s">
        <v>386</v>
      </c>
      <c r="D172" s="10" t="s">
        <v>387</v>
      </c>
      <c r="E172" s="10" t="s">
        <v>388</v>
      </c>
      <c r="F172" s="10" t="s">
        <v>395</v>
      </c>
      <c r="G172" s="10" t="s">
        <v>396</v>
      </c>
      <c r="H172" s="10" t="s">
        <v>397</v>
      </c>
      <c r="I172" s="10" t="s">
        <v>40</v>
      </c>
      <c r="J172" s="10" t="s">
        <v>31</v>
      </c>
    </row>
    <row r="173" spans="1:10" ht="29.25" customHeight="1" thickBot="1">
      <c r="A173" s="10" t="s">
        <v>21</v>
      </c>
      <c r="B173" s="10" t="s">
        <v>385</v>
      </c>
      <c r="C173" s="10" t="s">
        <v>386</v>
      </c>
      <c r="D173" s="10" t="s">
        <v>387</v>
      </c>
      <c r="E173" s="10" t="s">
        <v>388</v>
      </c>
      <c r="F173" s="10" t="s">
        <v>397</v>
      </c>
      <c r="G173" s="10" t="s">
        <v>398</v>
      </c>
      <c r="H173" s="10" t="s">
        <v>397</v>
      </c>
      <c r="I173" s="10" t="s">
        <v>40</v>
      </c>
      <c r="J173" s="10" t="s">
        <v>33</v>
      </c>
    </row>
    <row r="174" spans="1:10" ht="16" thickBot="1">
      <c r="A174" s="10" t="s">
        <v>21</v>
      </c>
      <c r="B174" s="10" t="s">
        <v>385</v>
      </c>
      <c r="C174" s="10" t="s">
        <v>386</v>
      </c>
      <c r="D174" s="10" t="s">
        <v>387</v>
      </c>
      <c r="E174" s="10" t="s">
        <v>388</v>
      </c>
      <c r="F174" s="10" t="s">
        <v>399</v>
      </c>
      <c r="G174" s="10" t="s">
        <v>400</v>
      </c>
      <c r="H174" s="10" t="s">
        <v>397</v>
      </c>
      <c r="I174" s="10" t="s">
        <v>40</v>
      </c>
      <c r="J174" s="10" t="s">
        <v>36</v>
      </c>
    </row>
    <row r="175" spans="1:10" ht="16" thickBot="1">
      <c r="A175" s="10" t="s">
        <v>21</v>
      </c>
      <c r="B175" s="10" t="s">
        <v>385</v>
      </c>
      <c r="C175" s="10" t="s">
        <v>386</v>
      </c>
      <c r="D175" s="10" t="s">
        <v>387</v>
      </c>
      <c r="E175" s="10" t="s">
        <v>388</v>
      </c>
      <c r="F175" s="10" t="s">
        <v>401</v>
      </c>
      <c r="G175" s="10" t="s">
        <v>402</v>
      </c>
      <c r="H175" s="10" t="s">
        <v>403</v>
      </c>
      <c r="I175" s="10" t="s">
        <v>40</v>
      </c>
      <c r="J175" s="10" t="s">
        <v>31</v>
      </c>
    </row>
    <row r="176" spans="1:10" ht="16" thickBot="1">
      <c r="A176" s="10" t="s">
        <v>21</v>
      </c>
      <c r="B176" s="10" t="s">
        <v>385</v>
      </c>
      <c r="C176" s="10" t="s">
        <v>386</v>
      </c>
      <c r="D176" s="10" t="s">
        <v>387</v>
      </c>
      <c r="E176" s="10" t="s">
        <v>388</v>
      </c>
      <c r="F176" s="10" t="s">
        <v>403</v>
      </c>
      <c r="G176" s="10" t="s">
        <v>404</v>
      </c>
      <c r="H176" s="10" t="s">
        <v>403</v>
      </c>
      <c r="I176" s="10" t="s">
        <v>40</v>
      </c>
      <c r="J176" s="10" t="s">
        <v>33</v>
      </c>
    </row>
    <row r="177" spans="1:10" ht="29.25" customHeight="1" thickBot="1">
      <c r="A177" s="10" t="s">
        <v>21</v>
      </c>
      <c r="B177" s="10" t="s">
        <v>385</v>
      </c>
      <c r="C177" s="10" t="s">
        <v>386</v>
      </c>
      <c r="D177" s="10" t="s">
        <v>387</v>
      </c>
      <c r="E177" s="10" t="s">
        <v>388</v>
      </c>
      <c r="F177" s="10" t="s">
        <v>405</v>
      </c>
      <c r="G177" s="10" t="s">
        <v>406</v>
      </c>
      <c r="H177" s="10" t="s">
        <v>403</v>
      </c>
      <c r="I177" s="10" t="s">
        <v>40</v>
      </c>
      <c r="J177" s="10" t="s">
        <v>36</v>
      </c>
    </row>
    <row r="178" spans="1:10" ht="29.25" customHeight="1" thickBot="1">
      <c r="A178" s="10" t="s">
        <v>21</v>
      </c>
      <c r="B178" s="10" t="s">
        <v>385</v>
      </c>
      <c r="C178" s="10" t="s">
        <v>386</v>
      </c>
      <c r="D178" s="10" t="s">
        <v>387</v>
      </c>
      <c r="E178" s="10" t="s">
        <v>388</v>
      </c>
      <c r="F178" s="10" t="s">
        <v>407</v>
      </c>
      <c r="G178" s="225" t="s">
        <v>408</v>
      </c>
      <c r="H178" s="10" t="s">
        <v>403</v>
      </c>
      <c r="I178" s="10" t="s">
        <v>40</v>
      </c>
      <c r="J178" s="10" t="s">
        <v>48</v>
      </c>
    </row>
    <row r="179" spans="1:10" ht="16" thickBot="1">
      <c r="A179" s="10" t="s">
        <v>21</v>
      </c>
      <c r="B179" s="10" t="s">
        <v>385</v>
      </c>
      <c r="C179" s="10" t="s">
        <v>386</v>
      </c>
      <c r="D179" s="10" t="s">
        <v>387</v>
      </c>
      <c r="E179" s="10" t="s">
        <v>388</v>
      </c>
      <c r="F179" s="10" t="s">
        <v>409</v>
      </c>
      <c r="G179" s="10" t="s">
        <v>410</v>
      </c>
      <c r="H179" s="10" t="s">
        <v>397</v>
      </c>
      <c r="I179" s="10" t="s">
        <v>40</v>
      </c>
      <c r="J179" s="10" t="s">
        <v>48</v>
      </c>
    </row>
    <row r="180" spans="1:10" ht="16" thickBot="1">
      <c r="A180" s="10" t="s">
        <v>21</v>
      </c>
      <c r="B180" s="10" t="s">
        <v>385</v>
      </c>
      <c r="C180" s="10" t="s">
        <v>386</v>
      </c>
      <c r="D180" s="10" t="s">
        <v>387</v>
      </c>
      <c r="E180" s="10" t="s">
        <v>388</v>
      </c>
      <c r="F180" s="10" t="s">
        <v>411</v>
      </c>
      <c r="G180" s="10" t="s">
        <v>412</v>
      </c>
      <c r="H180" s="10" t="s">
        <v>413</v>
      </c>
      <c r="I180" s="10" t="s">
        <v>30</v>
      </c>
      <c r="J180" s="10" t="s">
        <v>31</v>
      </c>
    </row>
    <row r="181" spans="1:10" ht="16" thickBot="1">
      <c r="A181" s="10" t="s">
        <v>21</v>
      </c>
      <c r="B181" s="10" t="s">
        <v>385</v>
      </c>
      <c r="C181" s="10" t="s">
        <v>386</v>
      </c>
      <c r="D181" s="10" t="s">
        <v>387</v>
      </c>
      <c r="E181" s="10" t="s">
        <v>388</v>
      </c>
      <c r="F181" s="10" t="s">
        <v>413</v>
      </c>
      <c r="G181" s="10" t="s">
        <v>414</v>
      </c>
      <c r="H181" s="10" t="s">
        <v>413</v>
      </c>
      <c r="I181" s="10" t="s">
        <v>30</v>
      </c>
      <c r="J181" s="10" t="s">
        <v>33</v>
      </c>
    </row>
    <row r="182" spans="1:10" ht="29.25" customHeight="1" thickBot="1">
      <c r="A182" s="10" t="s">
        <v>21</v>
      </c>
      <c r="B182" s="10" t="s">
        <v>385</v>
      </c>
      <c r="C182" s="10" t="s">
        <v>386</v>
      </c>
      <c r="D182" s="10" t="s">
        <v>387</v>
      </c>
      <c r="E182" s="10" t="s">
        <v>388</v>
      </c>
      <c r="F182" s="10" t="s">
        <v>415</v>
      </c>
      <c r="G182" s="10" t="s">
        <v>416</v>
      </c>
      <c r="H182" s="10" t="s">
        <v>413</v>
      </c>
      <c r="I182" s="10" t="s">
        <v>30</v>
      </c>
      <c r="J182" s="10" t="s">
        <v>36</v>
      </c>
    </row>
    <row r="183" spans="1:10" ht="16" thickBot="1">
      <c r="A183" s="10" t="s">
        <v>21</v>
      </c>
      <c r="B183" s="10" t="s">
        <v>417</v>
      </c>
      <c r="C183" s="10" t="s">
        <v>418</v>
      </c>
      <c r="D183" s="10" t="s">
        <v>419</v>
      </c>
      <c r="E183" s="10" t="s">
        <v>420</v>
      </c>
      <c r="F183" s="10" t="s">
        <v>421</v>
      </c>
      <c r="G183" s="10" t="s">
        <v>422</v>
      </c>
      <c r="H183" s="10" t="s">
        <v>423</v>
      </c>
      <c r="I183" s="10" t="s">
        <v>424</v>
      </c>
      <c r="J183" s="10" t="s">
        <v>31</v>
      </c>
    </row>
    <row r="184" spans="1:10" ht="29.25" customHeight="1" thickBot="1">
      <c r="A184" s="10" t="s">
        <v>21</v>
      </c>
      <c r="B184" s="10" t="s">
        <v>417</v>
      </c>
      <c r="C184" s="10" t="s">
        <v>418</v>
      </c>
      <c r="D184" s="10" t="s">
        <v>419</v>
      </c>
      <c r="E184" s="10" t="s">
        <v>420</v>
      </c>
      <c r="F184" s="10" t="s">
        <v>423</v>
      </c>
      <c r="G184" s="10" t="s">
        <v>425</v>
      </c>
      <c r="H184" s="10" t="s">
        <v>423</v>
      </c>
      <c r="I184" s="10" t="s">
        <v>424</v>
      </c>
      <c r="J184" s="10" t="s">
        <v>33</v>
      </c>
    </row>
    <row r="185" spans="1:10" ht="16" thickBot="1">
      <c r="A185" s="10" t="s">
        <v>21</v>
      </c>
      <c r="B185" s="10" t="s">
        <v>417</v>
      </c>
      <c r="C185" s="10" t="s">
        <v>418</v>
      </c>
      <c r="D185" s="10" t="s">
        <v>419</v>
      </c>
      <c r="E185" s="10" t="s">
        <v>420</v>
      </c>
      <c r="F185" s="10" t="s">
        <v>426</v>
      </c>
      <c r="G185" s="225" t="s">
        <v>427</v>
      </c>
      <c r="H185" s="10" t="s">
        <v>423</v>
      </c>
      <c r="I185" s="10" t="s">
        <v>424</v>
      </c>
      <c r="J185" s="10" t="s">
        <v>36</v>
      </c>
    </row>
    <row r="186" spans="1:10" ht="16" thickBot="1">
      <c r="A186" s="10" t="s">
        <v>21</v>
      </c>
      <c r="B186" s="10" t="s">
        <v>428</v>
      </c>
      <c r="C186" s="10" t="s">
        <v>418</v>
      </c>
      <c r="D186" s="10" t="s">
        <v>419</v>
      </c>
      <c r="E186" s="10" t="s">
        <v>420</v>
      </c>
      <c r="F186" s="10" t="s">
        <v>429</v>
      </c>
      <c r="G186" s="10" t="s">
        <v>430</v>
      </c>
      <c r="H186" s="10" t="s">
        <v>431</v>
      </c>
      <c r="I186" s="10" t="s">
        <v>424</v>
      </c>
      <c r="J186" s="10" t="s">
        <v>31</v>
      </c>
    </row>
    <row r="187" spans="1:10" ht="29.25" customHeight="1" thickBot="1">
      <c r="A187" s="10" t="s">
        <v>21</v>
      </c>
      <c r="B187" s="10" t="s">
        <v>428</v>
      </c>
      <c r="C187" s="10" t="s">
        <v>418</v>
      </c>
      <c r="D187" s="10" t="s">
        <v>419</v>
      </c>
      <c r="E187" s="10" t="s">
        <v>420</v>
      </c>
      <c r="F187" s="10" t="s">
        <v>431</v>
      </c>
      <c r="G187" s="10" t="s">
        <v>432</v>
      </c>
      <c r="H187" s="10" t="s">
        <v>431</v>
      </c>
      <c r="I187" s="10" t="s">
        <v>424</v>
      </c>
      <c r="J187" s="10" t="s">
        <v>33</v>
      </c>
    </row>
    <row r="188" spans="1:10" ht="29.25" customHeight="1" thickBot="1">
      <c r="A188" s="10" t="s">
        <v>21</v>
      </c>
      <c r="B188" s="10" t="s">
        <v>428</v>
      </c>
      <c r="C188" s="10" t="s">
        <v>418</v>
      </c>
      <c r="D188" s="10" t="s">
        <v>419</v>
      </c>
      <c r="E188" s="10" t="s">
        <v>420</v>
      </c>
      <c r="F188" s="10" t="s">
        <v>433</v>
      </c>
      <c r="G188" s="10" t="s">
        <v>434</v>
      </c>
      <c r="H188" s="10" t="s">
        <v>431</v>
      </c>
      <c r="I188" s="10" t="s">
        <v>424</v>
      </c>
      <c r="J188" s="10" t="s">
        <v>36</v>
      </c>
    </row>
    <row r="189" spans="1:10" ht="29.25" customHeight="1" thickBot="1">
      <c r="A189" s="10" t="s">
        <v>21</v>
      </c>
      <c r="B189" s="10" t="s">
        <v>435</v>
      </c>
      <c r="C189" s="10" t="s">
        <v>418</v>
      </c>
      <c r="D189" s="10" t="s">
        <v>419</v>
      </c>
      <c r="E189" s="10" t="s">
        <v>420</v>
      </c>
      <c r="F189" s="10" t="s">
        <v>436</v>
      </c>
      <c r="G189" s="10" t="s">
        <v>437</v>
      </c>
      <c r="H189" s="10" t="s">
        <v>438</v>
      </c>
      <c r="I189" s="10" t="s">
        <v>424</v>
      </c>
      <c r="J189" s="10" t="s">
        <v>31</v>
      </c>
    </row>
    <row r="190" spans="1:10" ht="16" thickBot="1">
      <c r="A190" s="10" t="s">
        <v>21</v>
      </c>
      <c r="B190" s="10" t="s">
        <v>435</v>
      </c>
      <c r="C190" s="10" t="s">
        <v>418</v>
      </c>
      <c r="D190" s="10" t="s">
        <v>419</v>
      </c>
      <c r="E190" s="10" t="s">
        <v>420</v>
      </c>
      <c r="F190" s="10" t="s">
        <v>438</v>
      </c>
      <c r="G190" s="10" t="s">
        <v>439</v>
      </c>
      <c r="H190" s="10" t="s">
        <v>438</v>
      </c>
      <c r="I190" s="10" t="s">
        <v>424</v>
      </c>
      <c r="J190" s="10" t="s">
        <v>33</v>
      </c>
    </row>
    <row r="191" spans="1:10" ht="16" thickBot="1">
      <c r="A191" s="10" t="s">
        <v>21</v>
      </c>
      <c r="B191" s="10" t="s">
        <v>435</v>
      </c>
      <c r="C191" s="10" t="s">
        <v>418</v>
      </c>
      <c r="D191" s="10" t="s">
        <v>419</v>
      </c>
      <c r="E191" s="10" t="s">
        <v>420</v>
      </c>
      <c r="F191" s="10" t="s">
        <v>440</v>
      </c>
      <c r="G191" s="10" t="s">
        <v>441</v>
      </c>
      <c r="H191" s="10" t="s">
        <v>438</v>
      </c>
      <c r="I191" s="10" t="s">
        <v>424</v>
      </c>
      <c r="J191" s="10" t="s">
        <v>36</v>
      </c>
    </row>
    <row r="192" spans="1:10" ht="29.25" customHeight="1" thickBot="1">
      <c r="A192" s="10" t="s">
        <v>21</v>
      </c>
      <c r="B192" s="10" t="s">
        <v>435</v>
      </c>
      <c r="C192" s="10" t="s">
        <v>418</v>
      </c>
      <c r="D192" s="10" t="s">
        <v>419</v>
      </c>
      <c r="E192" s="10" t="s">
        <v>420</v>
      </c>
      <c r="F192" s="10" t="s">
        <v>442</v>
      </c>
      <c r="G192" s="10" t="s">
        <v>443</v>
      </c>
      <c r="H192" s="10" t="s">
        <v>444</v>
      </c>
      <c r="I192" s="10" t="s">
        <v>424</v>
      </c>
      <c r="J192" s="10" t="s">
        <v>31</v>
      </c>
    </row>
    <row r="193" spans="1:10" ht="16" thickBot="1">
      <c r="A193" s="10" t="s">
        <v>21</v>
      </c>
      <c r="B193" s="10" t="s">
        <v>435</v>
      </c>
      <c r="C193" s="10" t="s">
        <v>418</v>
      </c>
      <c r="D193" s="10" t="s">
        <v>419</v>
      </c>
      <c r="E193" s="10" t="s">
        <v>420</v>
      </c>
      <c r="F193" s="10" t="s">
        <v>444</v>
      </c>
      <c r="G193" s="10" t="s">
        <v>445</v>
      </c>
      <c r="H193" s="10" t="s">
        <v>444</v>
      </c>
      <c r="I193" s="10" t="s">
        <v>424</v>
      </c>
      <c r="J193" s="10" t="s">
        <v>33</v>
      </c>
    </row>
    <row r="194" spans="1:10" ht="16" thickBot="1">
      <c r="A194" s="10" t="s">
        <v>21</v>
      </c>
      <c r="B194" s="10" t="s">
        <v>435</v>
      </c>
      <c r="C194" s="10" t="s">
        <v>418</v>
      </c>
      <c r="D194" s="10" t="s">
        <v>419</v>
      </c>
      <c r="E194" s="10" t="s">
        <v>420</v>
      </c>
      <c r="F194" s="10" t="s">
        <v>446</v>
      </c>
      <c r="G194" s="10" t="s">
        <v>447</v>
      </c>
      <c r="H194" s="10" t="s">
        <v>444</v>
      </c>
      <c r="I194" s="10" t="s">
        <v>424</v>
      </c>
      <c r="J194" s="10" t="s">
        <v>36</v>
      </c>
    </row>
    <row r="195" spans="1:10" ht="29.25" customHeight="1" thickBot="1">
      <c r="A195" s="10" t="s">
        <v>21</v>
      </c>
      <c r="B195" s="10" t="s">
        <v>448</v>
      </c>
      <c r="C195" s="10" t="s">
        <v>449</v>
      </c>
      <c r="D195" s="10" t="s">
        <v>450</v>
      </c>
      <c r="E195" s="10" t="s">
        <v>451</v>
      </c>
      <c r="F195" s="10" t="s">
        <v>452</v>
      </c>
      <c r="G195" s="10" t="s">
        <v>453</v>
      </c>
      <c r="H195" s="10" t="s">
        <v>454</v>
      </c>
      <c r="I195" s="10" t="s">
        <v>30</v>
      </c>
      <c r="J195" s="10" t="s">
        <v>31</v>
      </c>
    </row>
    <row r="196" spans="1:10" ht="29.25" customHeight="1" thickBot="1">
      <c r="A196" s="10" t="s">
        <v>21</v>
      </c>
      <c r="B196" s="10" t="s">
        <v>448</v>
      </c>
      <c r="C196" s="10" t="s">
        <v>449</v>
      </c>
      <c r="D196" s="10" t="s">
        <v>450</v>
      </c>
      <c r="E196" s="10" t="s">
        <v>451</v>
      </c>
      <c r="F196" s="10" t="s">
        <v>454</v>
      </c>
      <c r="G196" s="10" t="s">
        <v>455</v>
      </c>
      <c r="H196" s="10" t="s">
        <v>454</v>
      </c>
      <c r="I196" s="10" t="s">
        <v>30</v>
      </c>
      <c r="J196" s="10" t="s">
        <v>33</v>
      </c>
    </row>
    <row r="197" spans="1:10" ht="16" thickBot="1">
      <c r="A197" s="10" t="s">
        <v>21</v>
      </c>
      <c r="B197" s="10" t="s">
        <v>448</v>
      </c>
      <c r="C197" s="10" t="s">
        <v>449</v>
      </c>
      <c r="D197" s="10" t="s">
        <v>450</v>
      </c>
      <c r="E197" s="10" t="s">
        <v>451</v>
      </c>
      <c r="F197" s="10" t="s">
        <v>456</v>
      </c>
      <c r="G197" s="10" t="s">
        <v>457</v>
      </c>
      <c r="H197" s="10" t="s">
        <v>454</v>
      </c>
      <c r="I197" s="10" t="s">
        <v>30</v>
      </c>
      <c r="J197" s="10" t="s">
        <v>36</v>
      </c>
    </row>
    <row r="198" spans="1:10" ht="16" thickBot="1">
      <c r="A198" s="10" t="s">
        <v>21</v>
      </c>
      <c r="B198" s="10" t="s">
        <v>448</v>
      </c>
      <c r="C198" s="10" t="s">
        <v>449</v>
      </c>
      <c r="D198" s="10" t="s">
        <v>450</v>
      </c>
      <c r="E198" s="10" t="s">
        <v>451</v>
      </c>
      <c r="F198" s="10" t="s">
        <v>458</v>
      </c>
      <c r="G198" s="10" t="s">
        <v>459</v>
      </c>
      <c r="H198" s="10" t="s">
        <v>460</v>
      </c>
      <c r="I198" s="10" t="s">
        <v>40</v>
      </c>
      <c r="J198" s="10" t="s">
        <v>31</v>
      </c>
    </row>
    <row r="199" spans="1:10" ht="16" thickBot="1">
      <c r="A199" s="10" t="s">
        <v>21</v>
      </c>
      <c r="B199" s="10" t="s">
        <v>448</v>
      </c>
      <c r="C199" s="10" t="s">
        <v>449</v>
      </c>
      <c r="D199" s="10" t="s">
        <v>450</v>
      </c>
      <c r="E199" s="10" t="s">
        <v>451</v>
      </c>
      <c r="F199" s="10" t="s">
        <v>460</v>
      </c>
      <c r="G199" s="10" t="s">
        <v>461</v>
      </c>
      <c r="H199" s="10" t="s">
        <v>460</v>
      </c>
      <c r="I199" s="10" t="s">
        <v>40</v>
      </c>
      <c r="J199" s="10" t="s">
        <v>33</v>
      </c>
    </row>
    <row r="200" spans="1:10" ht="16" thickBot="1">
      <c r="A200" s="10" t="s">
        <v>21</v>
      </c>
      <c r="B200" s="10" t="s">
        <v>448</v>
      </c>
      <c r="C200" s="10" t="s">
        <v>449</v>
      </c>
      <c r="D200" s="10" t="s">
        <v>450</v>
      </c>
      <c r="E200" s="10" t="s">
        <v>451</v>
      </c>
      <c r="F200" s="10" t="s">
        <v>462</v>
      </c>
      <c r="G200" s="10" t="s">
        <v>463</v>
      </c>
      <c r="H200" s="10" t="s">
        <v>460</v>
      </c>
      <c r="I200" s="10" t="s">
        <v>40</v>
      </c>
      <c r="J200" s="10" t="s">
        <v>36</v>
      </c>
    </row>
    <row r="201" spans="1:10" ht="16" thickBot="1">
      <c r="A201" s="10" t="s">
        <v>21</v>
      </c>
      <c r="B201" s="10" t="s">
        <v>448</v>
      </c>
      <c r="C201" s="10" t="s">
        <v>449</v>
      </c>
      <c r="D201" s="10" t="s">
        <v>450</v>
      </c>
      <c r="E201" s="10" t="s">
        <v>451</v>
      </c>
      <c r="F201" s="10" t="s">
        <v>464</v>
      </c>
      <c r="G201" s="10" t="s">
        <v>465</v>
      </c>
      <c r="H201" s="10" t="s">
        <v>466</v>
      </c>
      <c r="I201" s="10" t="s">
        <v>30</v>
      </c>
      <c r="J201" s="10" t="s">
        <v>31</v>
      </c>
    </row>
    <row r="202" spans="1:10" ht="16" thickBot="1">
      <c r="A202" s="10" t="s">
        <v>21</v>
      </c>
      <c r="B202" s="10" t="s">
        <v>448</v>
      </c>
      <c r="C202" s="10" t="s">
        <v>449</v>
      </c>
      <c r="D202" s="10" t="s">
        <v>450</v>
      </c>
      <c r="E202" s="10" t="s">
        <v>451</v>
      </c>
      <c r="F202" s="10" t="s">
        <v>466</v>
      </c>
      <c r="G202" s="10" t="s">
        <v>467</v>
      </c>
      <c r="H202" s="10" t="s">
        <v>466</v>
      </c>
      <c r="I202" s="10" t="s">
        <v>30</v>
      </c>
      <c r="J202" s="10" t="s">
        <v>33</v>
      </c>
    </row>
    <row r="203" spans="1:10" ht="16" thickBot="1">
      <c r="A203" s="10" t="s">
        <v>21</v>
      </c>
      <c r="B203" s="10" t="s">
        <v>448</v>
      </c>
      <c r="C203" s="10" t="s">
        <v>449</v>
      </c>
      <c r="D203" s="10" t="s">
        <v>450</v>
      </c>
      <c r="E203" s="10" t="s">
        <v>451</v>
      </c>
      <c r="F203" s="10" t="s">
        <v>468</v>
      </c>
      <c r="G203" s="10" t="s">
        <v>469</v>
      </c>
      <c r="H203" s="10" t="s">
        <v>466</v>
      </c>
      <c r="I203" s="10" t="s">
        <v>30</v>
      </c>
      <c r="J203" s="10" t="s">
        <v>36</v>
      </c>
    </row>
    <row r="204" spans="1:10" ht="16" thickBot="1">
      <c r="A204" s="10" t="s">
        <v>21</v>
      </c>
      <c r="B204" s="10" t="s">
        <v>448</v>
      </c>
      <c r="C204" s="10" t="s">
        <v>449</v>
      </c>
      <c r="D204" s="10" t="s">
        <v>450</v>
      </c>
      <c r="E204" s="10" t="s">
        <v>451</v>
      </c>
      <c r="F204" s="10" t="s">
        <v>470</v>
      </c>
      <c r="G204" s="10" t="s">
        <v>471</v>
      </c>
      <c r="H204" s="10" t="s">
        <v>472</v>
      </c>
      <c r="I204" s="10" t="s">
        <v>40</v>
      </c>
      <c r="J204" s="10" t="s">
        <v>31</v>
      </c>
    </row>
    <row r="205" spans="1:10" ht="16" thickBot="1">
      <c r="A205" s="10" t="s">
        <v>21</v>
      </c>
      <c r="B205" s="10" t="s">
        <v>448</v>
      </c>
      <c r="C205" s="10" t="s">
        <v>449</v>
      </c>
      <c r="D205" s="10" t="s">
        <v>450</v>
      </c>
      <c r="E205" s="10" t="s">
        <v>451</v>
      </c>
      <c r="F205" s="10" t="s">
        <v>472</v>
      </c>
      <c r="G205" s="10" t="s">
        <v>473</v>
      </c>
      <c r="H205" s="10" t="s">
        <v>472</v>
      </c>
      <c r="I205" s="10" t="s">
        <v>40</v>
      </c>
      <c r="J205" s="10" t="s">
        <v>33</v>
      </c>
    </row>
    <row r="206" spans="1:10" ht="29.25" customHeight="1" thickBot="1">
      <c r="A206" s="10" t="s">
        <v>21</v>
      </c>
      <c r="B206" s="10" t="s">
        <v>448</v>
      </c>
      <c r="C206" s="10" t="s">
        <v>449</v>
      </c>
      <c r="D206" s="10" t="s">
        <v>450</v>
      </c>
      <c r="E206" s="10" t="s">
        <v>451</v>
      </c>
      <c r="F206" s="10" t="s">
        <v>474</v>
      </c>
      <c r="G206" s="10" t="s">
        <v>475</v>
      </c>
      <c r="H206" s="10" t="s">
        <v>472</v>
      </c>
      <c r="I206" s="10" t="s">
        <v>40</v>
      </c>
      <c r="J206" s="10" t="s">
        <v>36</v>
      </c>
    </row>
    <row r="207" spans="1:10" ht="16" thickBot="1">
      <c r="A207" s="10" t="s">
        <v>21</v>
      </c>
      <c r="B207" s="10" t="s">
        <v>448</v>
      </c>
      <c r="C207" s="10" t="s">
        <v>449</v>
      </c>
      <c r="D207" s="10" t="s">
        <v>450</v>
      </c>
      <c r="E207" s="10" t="s">
        <v>451</v>
      </c>
      <c r="F207" s="10" t="s">
        <v>476</v>
      </c>
      <c r="G207" s="10" t="s">
        <v>477</v>
      </c>
      <c r="H207" s="10" t="s">
        <v>478</v>
      </c>
      <c r="I207" s="10" t="s">
        <v>30</v>
      </c>
      <c r="J207" s="10" t="s">
        <v>31</v>
      </c>
    </row>
    <row r="208" spans="1:10" ht="29.25" customHeight="1" thickBot="1">
      <c r="A208" s="10" t="s">
        <v>21</v>
      </c>
      <c r="B208" s="10" t="s">
        <v>448</v>
      </c>
      <c r="C208" s="10" t="s">
        <v>449</v>
      </c>
      <c r="D208" s="10" t="s">
        <v>450</v>
      </c>
      <c r="E208" s="10" t="s">
        <v>451</v>
      </c>
      <c r="F208" s="10" t="s">
        <v>478</v>
      </c>
      <c r="G208" s="10" t="s">
        <v>479</v>
      </c>
      <c r="H208" s="10" t="s">
        <v>478</v>
      </c>
      <c r="I208" s="10" t="s">
        <v>30</v>
      </c>
      <c r="J208" s="10" t="s">
        <v>33</v>
      </c>
    </row>
    <row r="209" spans="1:10" ht="16" thickBot="1">
      <c r="A209" s="10" t="s">
        <v>21</v>
      </c>
      <c r="B209" s="10" t="s">
        <v>448</v>
      </c>
      <c r="C209" s="10" t="s">
        <v>449</v>
      </c>
      <c r="D209" s="10" t="s">
        <v>450</v>
      </c>
      <c r="E209" s="10" t="s">
        <v>451</v>
      </c>
      <c r="F209" s="10" t="s">
        <v>480</v>
      </c>
      <c r="G209" s="10" t="s">
        <v>481</v>
      </c>
      <c r="H209" s="10" t="s">
        <v>478</v>
      </c>
      <c r="I209" s="10" t="s">
        <v>30</v>
      </c>
      <c r="J209" s="10" t="s">
        <v>36</v>
      </c>
    </row>
    <row r="210" spans="1:10" ht="29.25" customHeight="1" thickBot="1">
      <c r="A210" s="10" t="s">
        <v>21</v>
      </c>
      <c r="B210" s="10" t="s">
        <v>448</v>
      </c>
      <c r="C210" s="10" t="s">
        <v>449</v>
      </c>
      <c r="D210" s="10" t="s">
        <v>450</v>
      </c>
      <c r="E210" s="10" t="s">
        <v>451</v>
      </c>
      <c r="F210" s="10" t="s">
        <v>482</v>
      </c>
      <c r="G210" s="10" t="s">
        <v>483</v>
      </c>
      <c r="H210" s="10" t="s">
        <v>484</v>
      </c>
      <c r="I210" s="10" t="s">
        <v>40</v>
      </c>
      <c r="J210" s="10" t="s">
        <v>31</v>
      </c>
    </row>
    <row r="211" spans="1:10" ht="16" thickBot="1">
      <c r="A211" s="10" t="s">
        <v>21</v>
      </c>
      <c r="B211" s="10" t="s">
        <v>448</v>
      </c>
      <c r="C211" s="10" t="s">
        <v>449</v>
      </c>
      <c r="D211" s="10" t="s">
        <v>450</v>
      </c>
      <c r="E211" s="10" t="s">
        <v>451</v>
      </c>
      <c r="F211" s="10" t="s">
        <v>484</v>
      </c>
      <c r="G211" s="10" t="s">
        <v>485</v>
      </c>
      <c r="H211" s="10" t="s">
        <v>484</v>
      </c>
      <c r="I211" s="10" t="s">
        <v>40</v>
      </c>
      <c r="J211" s="10" t="s">
        <v>33</v>
      </c>
    </row>
    <row r="212" spans="1:10" ht="29.25" customHeight="1" thickBot="1">
      <c r="A212" s="10" t="s">
        <v>21</v>
      </c>
      <c r="B212" s="10" t="s">
        <v>448</v>
      </c>
      <c r="C212" s="10" t="s">
        <v>449</v>
      </c>
      <c r="D212" s="10" t="s">
        <v>450</v>
      </c>
      <c r="E212" s="10" t="s">
        <v>451</v>
      </c>
      <c r="F212" s="10" t="s">
        <v>486</v>
      </c>
      <c r="G212" s="10" t="s">
        <v>487</v>
      </c>
      <c r="H212" s="10" t="s">
        <v>484</v>
      </c>
      <c r="I212" s="10" t="s">
        <v>40</v>
      </c>
      <c r="J212" s="10" t="s">
        <v>36</v>
      </c>
    </row>
    <row r="213" spans="1:10" ht="16" thickBot="1">
      <c r="A213" s="10" t="s">
        <v>21</v>
      </c>
      <c r="B213" s="10" t="s">
        <v>448</v>
      </c>
      <c r="C213" s="10" t="s">
        <v>449</v>
      </c>
      <c r="D213" s="10" t="s">
        <v>450</v>
      </c>
      <c r="E213" s="10" t="s">
        <v>451</v>
      </c>
      <c r="F213" s="10" t="s">
        <v>488</v>
      </c>
      <c r="G213" s="10" t="s">
        <v>489</v>
      </c>
      <c r="H213" s="10" t="s">
        <v>490</v>
      </c>
      <c r="I213" s="10" t="s">
        <v>30</v>
      </c>
      <c r="J213" s="10" t="s">
        <v>31</v>
      </c>
    </row>
    <row r="214" spans="1:10" ht="16" thickBot="1">
      <c r="A214" s="10" t="s">
        <v>21</v>
      </c>
      <c r="B214" s="10" t="s">
        <v>448</v>
      </c>
      <c r="C214" s="10" t="s">
        <v>449</v>
      </c>
      <c r="D214" s="10" t="s">
        <v>450</v>
      </c>
      <c r="E214" s="10" t="s">
        <v>451</v>
      </c>
      <c r="F214" s="10" t="s">
        <v>490</v>
      </c>
      <c r="G214" s="10" t="s">
        <v>491</v>
      </c>
      <c r="H214" s="10" t="s">
        <v>490</v>
      </c>
      <c r="I214" s="10" t="s">
        <v>30</v>
      </c>
      <c r="J214" s="10" t="s">
        <v>33</v>
      </c>
    </row>
    <row r="215" spans="1:10" ht="29.25" customHeight="1" thickBot="1">
      <c r="A215" s="10" t="s">
        <v>21</v>
      </c>
      <c r="B215" s="10" t="s">
        <v>448</v>
      </c>
      <c r="C215" s="10" t="s">
        <v>449</v>
      </c>
      <c r="D215" s="10" t="s">
        <v>450</v>
      </c>
      <c r="E215" s="10" t="s">
        <v>451</v>
      </c>
      <c r="F215" s="10" t="s">
        <v>492</v>
      </c>
      <c r="G215" s="10" t="s">
        <v>493</v>
      </c>
      <c r="H215" s="10" t="s">
        <v>490</v>
      </c>
      <c r="I215" s="10" t="s">
        <v>30</v>
      </c>
      <c r="J215" s="10" t="s">
        <v>36</v>
      </c>
    </row>
    <row r="216" spans="1:10" ht="16" thickBot="1">
      <c r="A216" s="10" t="s">
        <v>21</v>
      </c>
      <c r="B216" s="10" t="s">
        <v>448</v>
      </c>
      <c r="C216" s="10" t="s">
        <v>449</v>
      </c>
      <c r="D216" s="10" t="s">
        <v>450</v>
      </c>
      <c r="E216" s="10" t="s">
        <v>451</v>
      </c>
      <c r="F216" s="10" t="s">
        <v>494</v>
      </c>
      <c r="G216" s="10" t="s">
        <v>495</v>
      </c>
      <c r="H216" s="10" t="s">
        <v>496</v>
      </c>
      <c r="I216" s="10" t="s">
        <v>40</v>
      </c>
      <c r="J216" s="10" t="s">
        <v>31</v>
      </c>
    </row>
    <row r="217" spans="1:10" ht="29.25" customHeight="1" thickBot="1">
      <c r="A217" s="10" t="s">
        <v>21</v>
      </c>
      <c r="B217" s="10" t="s">
        <v>448</v>
      </c>
      <c r="C217" s="10" t="s">
        <v>449</v>
      </c>
      <c r="D217" s="10" t="s">
        <v>450</v>
      </c>
      <c r="E217" s="10" t="s">
        <v>451</v>
      </c>
      <c r="F217" s="10" t="s">
        <v>496</v>
      </c>
      <c r="G217" s="10" t="s">
        <v>497</v>
      </c>
      <c r="H217" s="10" t="s">
        <v>496</v>
      </c>
      <c r="I217" s="10" t="s">
        <v>40</v>
      </c>
      <c r="J217" s="10" t="s">
        <v>33</v>
      </c>
    </row>
    <row r="218" spans="1:10" ht="29.25" customHeight="1" thickBot="1">
      <c r="A218" s="10" t="s">
        <v>21</v>
      </c>
      <c r="B218" s="10" t="s">
        <v>448</v>
      </c>
      <c r="C218" s="10" t="s">
        <v>449</v>
      </c>
      <c r="D218" s="10" t="s">
        <v>450</v>
      </c>
      <c r="E218" s="10" t="s">
        <v>451</v>
      </c>
      <c r="F218" s="10" t="s">
        <v>498</v>
      </c>
      <c r="G218" s="10" t="s">
        <v>499</v>
      </c>
      <c r="H218" s="10" t="s">
        <v>496</v>
      </c>
      <c r="I218" s="10" t="s">
        <v>40</v>
      </c>
      <c r="J218" s="10" t="s">
        <v>36</v>
      </c>
    </row>
    <row r="219" spans="1:10" ht="29.25" customHeight="1" thickBot="1">
      <c r="A219" s="10" t="s">
        <v>21</v>
      </c>
      <c r="B219" s="10" t="s">
        <v>500</v>
      </c>
      <c r="C219" s="10" t="s">
        <v>501</v>
      </c>
      <c r="D219" s="10" t="s">
        <v>502</v>
      </c>
      <c r="E219" s="10" t="s">
        <v>503</v>
      </c>
      <c r="F219" s="10" t="s">
        <v>504</v>
      </c>
      <c r="G219" s="10" t="s">
        <v>505</v>
      </c>
      <c r="H219" s="10" t="s">
        <v>506</v>
      </c>
      <c r="I219" s="10" t="s">
        <v>30</v>
      </c>
      <c r="J219" s="10" t="s">
        <v>31</v>
      </c>
    </row>
    <row r="220" spans="1:10" ht="29.25" customHeight="1" thickBot="1">
      <c r="A220" s="10" t="s">
        <v>21</v>
      </c>
      <c r="B220" s="10" t="s">
        <v>500</v>
      </c>
      <c r="C220" s="10" t="s">
        <v>501</v>
      </c>
      <c r="D220" s="10" t="s">
        <v>502</v>
      </c>
      <c r="E220" s="10" t="s">
        <v>503</v>
      </c>
      <c r="F220" s="10" t="s">
        <v>506</v>
      </c>
      <c r="G220" s="10" t="s">
        <v>508</v>
      </c>
      <c r="H220" s="10" t="s">
        <v>506</v>
      </c>
      <c r="I220" s="10" t="s">
        <v>30</v>
      </c>
      <c r="J220" s="10" t="s">
        <v>33</v>
      </c>
    </row>
    <row r="221" spans="1:10" ht="16" thickBot="1">
      <c r="A221" s="10" t="s">
        <v>21</v>
      </c>
      <c r="B221" s="10" t="s">
        <v>500</v>
      </c>
      <c r="C221" s="10" t="s">
        <v>501</v>
      </c>
      <c r="D221" s="10" t="s">
        <v>502</v>
      </c>
      <c r="E221" s="10" t="s">
        <v>503</v>
      </c>
      <c r="F221" s="10" t="s">
        <v>509</v>
      </c>
      <c r="G221" s="10" t="s">
        <v>510</v>
      </c>
      <c r="H221" s="10" t="s">
        <v>506</v>
      </c>
      <c r="I221" s="10" t="s">
        <v>30</v>
      </c>
      <c r="J221" s="10" t="s">
        <v>36</v>
      </c>
    </row>
    <row r="222" spans="1:10" ht="16" thickBot="1">
      <c r="A222" s="10" t="s">
        <v>21</v>
      </c>
      <c r="B222" s="10" t="s">
        <v>500</v>
      </c>
      <c r="C222" s="10" t="s">
        <v>501</v>
      </c>
      <c r="D222" s="10" t="s">
        <v>502</v>
      </c>
      <c r="E222" s="10" t="s">
        <v>503</v>
      </c>
      <c r="F222" s="10" t="s">
        <v>511</v>
      </c>
      <c r="G222" s="10" t="s">
        <v>512</v>
      </c>
      <c r="H222" s="10" t="s">
        <v>513</v>
      </c>
      <c r="I222" s="10" t="s">
        <v>40</v>
      </c>
      <c r="J222" s="10" t="s">
        <v>31</v>
      </c>
    </row>
    <row r="223" spans="1:10" ht="16" thickBot="1">
      <c r="A223" s="10" t="s">
        <v>21</v>
      </c>
      <c r="B223" s="10" t="s">
        <v>500</v>
      </c>
      <c r="C223" s="10" t="s">
        <v>501</v>
      </c>
      <c r="D223" s="10" t="s">
        <v>502</v>
      </c>
      <c r="E223" s="10" t="s">
        <v>503</v>
      </c>
      <c r="F223" s="10" t="s">
        <v>513</v>
      </c>
      <c r="G223" s="10" t="s">
        <v>514</v>
      </c>
      <c r="H223" s="10" t="s">
        <v>513</v>
      </c>
      <c r="I223" s="10" t="s">
        <v>40</v>
      </c>
      <c r="J223" s="10" t="s">
        <v>33</v>
      </c>
    </row>
    <row r="224" spans="1:10" ht="29.25" customHeight="1" thickBot="1">
      <c r="A224" s="10" t="s">
        <v>21</v>
      </c>
      <c r="B224" s="10" t="s">
        <v>500</v>
      </c>
      <c r="C224" s="10" t="s">
        <v>501</v>
      </c>
      <c r="D224" s="10" t="s">
        <v>502</v>
      </c>
      <c r="E224" s="10" t="s">
        <v>503</v>
      </c>
      <c r="F224" s="10" t="s">
        <v>515</v>
      </c>
      <c r="G224" s="10" t="s">
        <v>516</v>
      </c>
      <c r="H224" s="10" t="s">
        <v>513</v>
      </c>
      <c r="I224" s="10" t="s">
        <v>40</v>
      </c>
      <c r="J224" s="10" t="s">
        <v>36</v>
      </c>
    </row>
    <row r="225" spans="1:10" ht="16" thickBot="1">
      <c r="A225" s="10" t="s">
        <v>21</v>
      </c>
      <c r="B225" s="10" t="s">
        <v>500</v>
      </c>
      <c r="C225" s="10" t="s">
        <v>501</v>
      </c>
      <c r="D225" s="10" t="s">
        <v>502</v>
      </c>
      <c r="E225" s="10" t="s">
        <v>503</v>
      </c>
      <c r="F225" s="10" t="s">
        <v>517</v>
      </c>
      <c r="G225" s="10" t="s">
        <v>518</v>
      </c>
      <c r="H225" s="10" t="s">
        <v>519</v>
      </c>
      <c r="I225" s="10" t="s">
        <v>40</v>
      </c>
      <c r="J225" s="10" t="s">
        <v>31</v>
      </c>
    </row>
    <row r="226" spans="1:10" ht="29.25" customHeight="1" thickBot="1">
      <c r="A226" s="10" t="s">
        <v>21</v>
      </c>
      <c r="B226" s="10" t="s">
        <v>500</v>
      </c>
      <c r="C226" s="10" t="s">
        <v>501</v>
      </c>
      <c r="D226" s="10" t="s">
        <v>502</v>
      </c>
      <c r="E226" s="10" t="s">
        <v>503</v>
      </c>
      <c r="F226" s="10" t="s">
        <v>519</v>
      </c>
      <c r="G226" s="10" t="s">
        <v>520</v>
      </c>
      <c r="H226" s="10" t="s">
        <v>519</v>
      </c>
      <c r="I226" s="10" t="s">
        <v>40</v>
      </c>
      <c r="J226" s="10" t="s">
        <v>33</v>
      </c>
    </row>
    <row r="227" spans="1:10" ht="16" thickBot="1">
      <c r="A227" s="10" t="s">
        <v>21</v>
      </c>
      <c r="B227" s="10" t="s">
        <v>500</v>
      </c>
      <c r="C227" s="10" t="s">
        <v>501</v>
      </c>
      <c r="D227" s="10" t="s">
        <v>502</v>
      </c>
      <c r="E227" s="10" t="s">
        <v>503</v>
      </c>
      <c r="F227" s="10" t="s">
        <v>521</v>
      </c>
      <c r="G227" s="10" t="s">
        <v>522</v>
      </c>
      <c r="H227" s="10" t="s">
        <v>519</v>
      </c>
      <c r="I227" s="10" t="s">
        <v>40</v>
      </c>
      <c r="J227" s="10" t="s">
        <v>36</v>
      </c>
    </row>
    <row r="228" spans="1:10" ht="27" thickBot="1">
      <c r="A228" s="10" t="s">
        <v>21</v>
      </c>
      <c r="B228" s="10" t="s">
        <v>500</v>
      </c>
      <c r="C228" s="10" t="s">
        <v>501</v>
      </c>
      <c r="D228" s="10" t="s">
        <v>502</v>
      </c>
      <c r="E228" s="10" t="s">
        <v>503</v>
      </c>
      <c r="F228" s="10" t="s">
        <v>523</v>
      </c>
      <c r="G228" s="225" t="s">
        <v>524</v>
      </c>
      <c r="H228" s="10" t="s">
        <v>519</v>
      </c>
      <c r="I228" s="10" t="s">
        <v>40</v>
      </c>
      <c r="J228" s="10" t="s">
        <v>48</v>
      </c>
    </row>
    <row r="229" spans="1:10" ht="29.25" customHeight="1" thickBot="1">
      <c r="A229" s="10" t="s">
        <v>21</v>
      </c>
      <c r="B229" s="10" t="s">
        <v>500</v>
      </c>
      <c r="C229" s="10" t="s">
        <v>501</v>
      </c>
      <c r="D229" s="10" t="s">
        <v>502</v>
      </c>
      <c r="E229" s="10" t="s">
        <v>503</v>
      </c>
      <c r="F229" s="10" t="s">
        <v>525</v>
      </c>
      <c r="G229" s="225" t="s">
        <v>526</v>
      </c>
      <c r="H229" s="10" t="s">
        <v>513</v>
      </c>
      <c r="I229" s="10" t="s">
        <v>40</v>
      </c>
      <c r="J229" s="10" t="s">
        <v>48</v>
      </c>
    </row>
    <row r="230" spans="1:10" ht="29.25" customHeight="1" thickBot="1">
      <c r="A230" s="10" t="s">
        <v>21</v>
      </c>
      <c r="B230" s="10" t="s">
        <v>500</v>
      </c>
      <c r="C230" s="10" t="s">
        <v>501</v>
      </c>
      <c r="D230" s="10" t="s">
        <v>502</v>
      </c>
      <c r="E230" s="10" t="s">
        <v>503</v>
      </c>
      <c r="F230" s="10" t="s">
        <v>527</v>
      </c>
      <c r="G230" s="225" t="s">
        <v>528</v>
      </c>
      <c r="H230" s="10" t="s">
        <v>529</v>
      </c>
      <c r="I230" s="10" t="s">
        <v>30</v>
      </c>
      <c r="J230" s="10" t="s">
        <v>48</v>
      </c>
    </row>
    <row r="231" spans="1:10" ht="27" thickBot="1">
      <c r="A231" s="10" t="s">
        <v>21</v>
      </c>
      <c r="B231" s="10" t="s">
        <v>500</v>
      </c>
      <c r="C231" s="10" t="s">
        <v>501</v>
      </c>
      <c r="D231" s="10" t="s">
        <v>502</v>
      </c>
      <c r="E231" s="10" t="s">
        <v>503</v>
      </c>
      <c r="F231" s="10" t="s">
        <v>530</v>
      </c>
      <c r="G231" s="225" t="s">
        <v>531</v>
      </c>
      <c r="H231" s="10" t="s">
        <v>529</v>
      </c>
      <c r="I231" s="10" t="s">
        <v>30</v>
      </c>
      <c r="J231" s="10" t="s">
        <v>48</v>
      </c>
    </row>
    <row r="232" spans="1:10" ht="27" thickBot="1">
      <c r="A232" s="10" t="s">
        <v>21</v>
      </c>
      <c r="B232" s="10" t="s">
        <v>500</v>
      </c>
      <c r="C232" s="10" t="s">
        <v>501</v>
      </c>
      <c r="D232" s="10" t="s">
        <v>502</v>
      </c>
      <c r="E232" s="10" t="s">
        <v>503</v>
      </c>
      <c r="F232" s="10" t="s">
        <v>532</v>
      </c>
      <c r="G232" s="225" t="s">
        <v>533</v>
      </c>
      <c r="H232" s="10" t="s">
        <v>529</v>
      </c>
      <c r="I232" s="10" t="s">
        <v>30</v>
      </c>
      <c r="J232" s="10" t="s">
        <v>48</v>
      </c>
    </row>
    <row r="233" spans="1:10" ht="29.25" customHeight="1" thickBot="1">
      <c r="A233" s="10" t="s">
        <v>21</v>
      </c>
      <c r="B233" s="10" t="s">
        <v>500</v>
      </c>
      <c r="C233" s="10" t="s">
        <v>501</v>
      </c>
      <c r="D233" s="10" t="s">
        <v>502</v>
      </c>
      <c r="E233" s="10" t="s">
        <v>503</v>
      </c>
      <c r="F233" s="10" t="s">
        <v>534</v>
      </c>
      <c r="G233" s="10" t="s">
        <v>535</v>
      </c>
      <c r="H233" s="10" t="s">
        <v>529</v>
      </c>
      <c r="I233" s="10" t="s">
        <v>30</v>
      </c>
      <c r="J233" s="10" t="s">
        <v>31</v>
      </c>
    </row>
    <row r="234" spans="1:10" ht="29.25" customHeight="1" thickBot="1">
      <c r="A234" s="10" t="s">
        <v>21</v>
      </c>
      <c r="B234" s="10" t="s">
        <v>500</v>
      </c>
      <c r="C234" s="10" t="s">
        <v>501</v>
      </c>
      <c r="D234" s="10" t="s">
        <v>502</v>
      </c>
      <c r="E234" s="10" t="s">
        <v>503</v>
      </c>
      <c r="F234" s="10" t="s">
        <v>529</v>
      </c>
      <c r="G234" s="10" t="s">
        <v>536</v>
      </c>
      <c r="H234" s="10" t="s">
        <v>529</v>
      </c>
      <c r="I234" s="10" t="s">
        <v>30</v>
      </c>
      <c r="J234" s="10" t="s">
        <v>33</v>
      </c>
    </row>
    <row r="235" spans="1:10" ht="16" thickBot="1">
      <c r="A235" s="10" t="s">
        <v>21</v>
      </c>
      <c r="B235" s="10" t="s">
        <v>500</v>
      </c>
      <c r="C235" s="10" t="s">
        <v>501</v>
      </c>
      <c r="D235" s="10" t="s">
        <v>502</v>
      </c>
      <c r="E235" s="10" t="s">
        <v>503</v>
      </c>
      <c r="F235" s="10" t="s">
        <v>537</v>
      </c>
      <c r="G235" s="10" t="s">
        <v>538</v>
      </c>
      <c r="H235" s="10" t="s">
        <v>529</v>
      </c>
      <c r="I235" s="10" t="s">
        <v>30</v>
      </c>
      <c r="J235" s="10" t="s">
        <v>36</v>
      </c>
    </row>
    <row r="236" spans="1:10" ht="16" thickBot="1">
      <c r="A236" s="10" t="s">
        <v>21</v>
      </c>
      <c r="B236" s="10" t="s">
        <v>500</v>
      </c>
      <c r="C236" s="10" t="s">
        <v>501</v>
      </c>
      <c r="D236" s="10" t="s">
        <v>502</v>
      </c>
      <c r="E236" s="10" t="s">
        <v>503</v>
      </c>
      <c r="F236" s="10" t="s">
        <v>539</v>
      </c>
      <c r="G236" s="10" t="s">
        <v>540</v>
      </c>
      <c r="H236" s="10" t="s">
        <v>541</v>
      </c>
      <c r="I236" s="10" t="s">
        <v>40</v>
      </c>
      <c r="J236" s="10" t="s">
        <v>31</v>
      </c>
    </row>
    <row r="237" spans="1:10" ht="29.25" customHeight="1" thickBot="1">
      <c r="A237" s="10" t="s">
        <v>21</v>
      </c>
      <c r="B237" s="10" t="s">
        <v>500</v>
      </c>
      <c r="C237" s="10" t="s">
        <v>501</v>
      </c>
      <c r="D237" s="10" t="s">
        <v>502</v>
      </c>
      <c r="E237" s="10" t="s">
        <v>503</v>
      </c>
      <c r="F237" s="10" t="s">
        <v>541</v>
      </c>
      <c r="G237" s="10" t="s">
        <v>542</v>
      </c>
      <c r="H237" s="10" t="s">
        <v>541</v>
      </c>
      <c r="I237" s="10" t="s">
        <v>40</v>
      </c>
      <c r="J237" s="10" t="s">
        <v>33</v>
      </c>
    </row>
    <row r="238" spans="1:10" ht="16" thickBot="1">
      <c r="A238" s="10" t="s">
        <v>21</v>
      </c>
      <c r="B238" s="10" t="s">
        <v>500</v>
      </c>
      <c r="C238" s="10" t="s">
        <v>501</v>
      </c>
      <c r="D238" s="10" t="s">
        <v>502</v>
      </c>
      <c r="E238" s="10" t="s">
        <v>503</v>
      </c>
      <c r="F238" s="10" t="s">
        <v>543</v>
      </c>
      <c r="G238" s="10" t="s">
        <v>544</v>
      </c>
      <c r="H238" s="10" t="s">
        <v>541</v>
      </c>
      <c r="I238" s="10" t="s">
        <v>40</v>
      </c>
      <c r="J238" s="10" t="s">
        <v>36</v>
      </c>
    </row>
    <row r="239" spans="1:10" ht="16" thickBot="1">
      <c r="A239" s="10" t="s">
        <v>21</v>
      </c>
      <c r="B239" s="10" t="s">
        <v>500</v>
      </c>
      <c r="C239" s="10" t="s">
        <v>501</v>
      </c>
      <c r="D239" s="10" t="s">
        <v>502</v>
      </c>
      <c r="E239" s="10" t="s">
        <v>503</v>
      </c>
      <c r="F239" s="10" t="s">
        <v>545</v>
      </c>
      <c r="G239" s="10" t="s">
        <v>546</v>
      </c>
      <c r="H239" s="10" t="s">
        <v>547</v>
      </c>
      <c r="I239" s="10" t="s">
        <v>40</v>
      </c>
      <c r="J239" s="10" t="s">
        <v>31</v>
      </c>
    </row>
    <row r="240" spans="1:10" ht="29.25" customHeight="1" thickBot="1">
      <c r="A240" s="10" t="s">
        <v>21</v>
      </c>
      <c r="B240" s="10" t="s">
        <v>500</v>
      </c>
      <c r="C240" s="10" t="s">
        <v>501</v>
      </c>
      <c r="D240" s="10" t="s">
        <v>502</v>
      </c>
      <c r="E240" s="10" t="s">
        <v>503</v>
      </c>
      <c r="F240" s="10" t="s">
        <v>547</v>
      </c>
      <c r="G240" s="10" t="s">
        <v>548</v>
      </c>
      <c r="H240" s="10" t="s">
        <v>547</v>
      </c>
      <c r="I240" s="10" t="s">
        <v>40</v>
      </c>
      <c r="J240" s="10" t="s">
        <v>33</v>
      </c>
    </row>
    <row r="241" spans="1:10" ht="16" thickBot="1">
      <c r="A241" s="10" t="s">
        <v>21</v>
      </c>
      <c r="B241" s="10" t="s">
        <v>500</v>
      </c>
      <c r="C241" s="10" t="s">
        <v>501</v>
      </c>
      <c r="D241" s="10" t="s">
        <v>502</v>
      </c>
      <c r="E241" s="10" t="s">
        <v>503</v>
      </c>
      <c r="F241" s="10" t="s">
        <v>549</v>
      </c>
      <c r="G241" s="10" t="s">
        <v>550</v>
      </c>
      <c r="H241" s="10" t="s">
        <v>547</v>
      </c>
      <c r="I241" s="10" t="s">
        <v>40</v>
      </c>
      <c r="J241" s="10" t="s">
        <v>36</v>
      </c>
    </row>
    <row r="242" spans="1:10" ht="29.25" customHeight="1" thickBot="1">
      <c r="A242" s="10" t="s">
        <v>21</v>
      </c>
      <c r="B242" s="10" t="s">
        <v>500</v>
      </c>
      <c r="C242" s="10" t="s">
        <v>501</v>
      </c>
      <c r="D242" s="10" t="s">
        <v>502</v>
      </c>
      <c r="E242" s="10" t="s">
        <v>503</v>
      </c>
      <c r="F242" s="10" t="s">
        <v>551</v>
      </c>
      <c r="G242" s="225" t="s">
        <v>552</v>
      </c>
      <c r="H242" s="10" t="s">
        <v>547</v>
      </c>
      <c r="I242" s="10" t="s">
        <v>40</v>
      </c>
      <c r="J242" s="10" t="s">
        <v>48</v>
      </c>
    </row>
    <row r="243" spans="1:10" ht="27" thickBot="1">
      <c r="A243" s="10" t="s">
        <v>21</v>
      </c>
      <c r="B243" s="10" t="s">
        <v>500</v>
      </c>
      <c r="C243" s="10" t="s">
        <v>501</v>
      </c>
      <c r="D243" s="10" t="s">
        <v>502</v>
      </c>
      <c r="E243" s="10" t="s">
        <v>503</v>
      </c>
      <c r="F243" s="10" t="s">
        <v>553</v>
      </c>
      <c r="G243" s="225" t="s">
        <v>554</v>
      </c>
      <c r="H243" s="10" t="s">
        <v>547</v>
      </c>
      <c r="I243" s="10" t="s">
        <v>40</v>
      </c>
      <c r="J243" s="10" t="s">
        <v>48</v>
      </c>
    </row>
    <row r="244" spans="1:10" ht="16" thickBot="1">
      <c r="A244" s="10" t="s">
        <v>21</v>
      </c>
      <c r="B244" s="10" t="s">
        <v>500</v>
      </c>
      <c r="C244" s="10" t="s">
        <v>501</v>
      </c>
      <c r="D244" s="10" t="s">
        <v>502</v>
      </c>
      <c r="E244" s="10" t="s">
        <v>503</v>
      </c>
      <c r="F244" s="10" t="s">
        <v>555</v>
      </c>
      <c r="G244" s="225" t="s">
        <v>556</v>
      </c>
      <c r="H244" s="10" t="s">
        <v>541</v>
      </c>
      <c r="I244" s="10" t="s">
        <v>40</v>
      </c>
      <c r="J244" s="10" t="s">
        <v>48</v>
      </c>
    </row>
    <row r="245" spans="1:10" ht="27" thickBot="1">
      <c r="A245" s="10" t="s">
        <v>21</v>
      </c>
      <c r="B245" s="10" t="s">
        <v>500</v>
      </c>
      <c r="C245" s="10" t="s">
        <v>501</v>
      </c>
      <c r="D245" s="10" t="s">
        <v>502</v>
      </c>
      <c r="E245" s="10" t="s">
        <v>503</v>
      </c>
      <c r="F245" s="10" t="s">
        <v>557</v>
      </c>
      <c r="G245" s="225" t="s">
        <v>558</v>
      </c>
      <c r="H245" s="10" t="s">
        <v>541</v>
      </c>
      <c r="I245" s="10" t="s">
        <v>40</v>
      </c>
      <c r="J245" s="10" t="s">
        <v>48</v>
      </c>
    </row>
    <row r="246" spans="1:10" ht="16" thickBot="1">
      <c r="A246" s="10" t="s">
        <v>21</v>
      </c>
      <c r="B246" s="10" t="s">
        <v>500</v>
      </c>
      <c r="C246" s="10" t="s">
        <v>501</v>
      </c>
      <c r="D246" s="10" t="s">
        <v>502</v>
      </c>
      <c r="E246" s="10" t="s">
        <v>503</v>
      </c>
      <c r="F246" s="10" t="s">
        <v>559</v>
      </c>
      <c r="G246" s="10" t="s">
        <v>560</v>
      </c>
      <c r="H246" s="10" t="s">
        <v>561</v>
      </c>
      <c r="I246" s="10" t="s">
        <v>30</v>
      </c>
      <c r="J246" s="10" t="s">
        <v>31</v>
      </c>
    </row>
    <row r="247" spans="1:10" ht="16" thickBot="1">
      <c r="A247" s="10" t="s">
        <v>21</v>
      </c>
      <c r="B247" s="10" t="s">
        <v>500</v>
      </c>
      <c r="C247" s="10" t="s">
        <v>501</v>
      </c>
      <c r="D247" s="10" t="s">
        <v>502</v>
      </c>
      <c r="E247" s="10" t="s">
        <v>503</v>
      </c>
      <c r="F247" s="10" t="s">
        <v>561</v>
      </c>
      <c r="G247" s="10" t="s">
        <v>562</v>
      </c>
      <c r="H247" s="10" t="s">
        <v>561</v>
      </c>
      <c r="I247" s="10" t="s">
        <v>30</v>
      </c>
      <c r="J247" s="10" t="s">
        <v>33</v>
      </c>
    </row>
    <row r="248" spans="1:10" ht="16" thickBot="1">
      <c r="A248" s="10" t="s">
        <v>21</v>
      </c>
      <c r="B248" s="10" t="s">
        <v>500</v>
      </c>
      <c r="C248" s="10" t="s">
        <v>501</v>
      </c>
      <c r="D248" s="10" t="s">
        <v>502</v>
      </c>
      <c r="E248" s="10" t="s">
        <v>503</v>
      </c>
      <c r="F248" s="10" t="s">
        <v>563</v>
      </c>
      <c r="G248" s="10" t="s">
        <v>564</v>
      </c>
      <c r="H248" s="10" t="s">
        <v>561</v>
      </c>
      <c r="I248" s="10" t="s">
        <v>30</v>
      </c>
      <c r="J248" s="10" t="s">
        <v>36</v>
      </c>
    </row>
    <row r="249" spans="1:10" ht="27" thickBot="1">
      <c r="A249" s="10" t="s">
        <v>21</v>
      </c>
      <c r="B249" s="10" t="s">
        <v>500</v>
      </c>
      <c r="C249" s="10" t="s">
        <v>501</v>
      </c>
      <c r="D249" s="10" t="s">
        <v>502</v>
      </c>
      <c r="E249" s="10" t="s">
        <v>503</v>
      </c>
      <c r="F249" s="10" t="s">
        <v>565</v>
      </c>
      <c r="G249" s="225" t="s">
        <v>566</v>
      </c>
      <c r="H249" s="10" t="s">
        <v>561</v>
      </c>
      <c r="I249" s="10" t="s">
        <v>30</v>
      </c>
      <c r="J249" s="10" t="s">
        <v>48</v>
      </c>
    </row>
    <row r="250" spans="1:10" ht="27" thickBot="1">
      <c r="A250" s="10" t="s">
        <v>21</v>
      </c>
      <c r="B250" s="10" t="s">
        <v>500</v>
      </c>
      <c r="C250" s="10" t="s">
        <v>501</v>
      </c>
      <c r="D250" s="10" t="s">
        <v>502</v>
      </c>
      <c r="E250" s="10" t="s">
        <v>503</v>
      </c>
      <c r="F250" s="10" t="s">
        <v>567</v>
      </c>
      <c r="G250" s="225" t="s">
        <v>568</v>
      </c>
      <c r="H250" s="10" t="s">
        <v>561</v>
      </c>
      <c r="I250" s="10" t="s">
        <v>30</v>
      </c>
      <c r="J250" s="10" t="s">
        <v>48</v>
      </c>
    </row>
    <row r="251" spans="1:10" ht="29.25" customHeight="1" thickBot="1">
      <c r="A251" s="10" t="s">
        <v>21</v>
      </c>
      <c r="B251" s="10" t="s">
        <v>500</v>
      </c>
      <c r="C251" s="10" t="s">
        <v>501</v>
      </c>
      <c r="D251" s="10" t="s">
        <v>502</v>
      </c>
      <c r="E251" s="10" t="s">
        <v>503</v>
      </c>
      <c r="F251" s="10" t="s">
        <v>569</v>
      </c>
      <c r="G251" s="225" t="s">
        <v>570</v>
      </c>
      <c r="H251" s="10" t="s">
        <v>561</v>
      </c>
      <c r="I251" s="10" t="s">
        <v>30</v>
      </c>
      <c r="J251" s="10" t="s">
        <v>48</v>
      </c>
    </row>
    <row r="252" spans="1:10" ht="29.25" customHeight="1" thickBot="1">
      <c r="A252" s="10" t="s">
        <v>21</v>
      </c>
      <c r="B252" s="10" t="s">
        <v>500</v>
      </c>
      <c r="C252" s="10" t="s">
        <v>501</v>
      </c>
      <c r="D252" s="10" t="s">
        <v>502</v>
      </c>
      <c r="E252" s="10" t="s">
        <v>503</v>
      </c>
      <c r="F252" s="10" t="s">
        <v>571</v>
      </c>
      <c r="G252" s="10" t="s">
        <v>572</v>
      </c>
      <c r="H252" s="10" t="s">
        <v>573</v>
      </c>
      <c r="I252" s="10" t="s">
        <v>30</v>
      </c>
      <c r="J252" s="10" t="s">
        <v>31</v>
      </c>
    </row>
    <row r="253" spans="1:10" ht="29.25" customHeight="1" thickBot="1">
      <c r="A253" s="10" t="s">
        <v>21</v>
      </c>
      <c r="B253" s="10" t="s">
        <v>500</v>
      </c>
      <c r="C253" s="10" t="s">
        <v>501</v>
      </c>
      <c r="D253" s="10" t="s">
        <v>502</v>
      </c>
      <c r="E253" s="10" t="s">
        <v>503</v>
      </c>
      <c r="F253" s="10" t="s">
        <v>573</v>
      </c>
      <c r="G253" s="10" t="s">
        <v>574</v>
      </c>
      <c r="H253" s="10" t="s">
        <v>573</v>
      </c>
      <c r="I253" s="10" t="s">
        <v>30</v>
      </c>
      <c r="J253" s="10" t="s">
        <v>33</v>
      </c>
    </row>
    <row r="254" spans="1:10" ht="29.25" customHeight="1" thickBot="1">
      <c r="A254" s="10" t="s">
        <v>21</v>
      </c>
      <c r="B254" s="10" t="s">
        <v>500</v>
      </c>
      <c r="C254" s="10" t="s">
        <v>501</v>
      </c>
      <c r="D254" s="10" t="s">
        <v>502</v>
      </c>
      <c r="E254" s="10" t="s">
        <v>503</v>
      </c>
      <c r="F254" s="10" t="s">
        <v>575</v>
      </c>
      <c r="G254" s="10" t="s">
        <v>576</v>
      </c>
      <c r="H254" s="10" t="s">
        <v>573</v>
      </c>
      <c r="I254" s="10" t="s">
        <v>30</v>
      </c>
      <c r="J254" s="10" t="s">
        <v>36</v>
      </c>
    </row>
    <row r="255" spans="1:10" ht="27" thickBot="1">
      <c r="A255" s="10" t="s">
        <v>21</v>
      </c>
      <c r="B255" s="10" t="s">
        <v>500</v>
      </c>
      <c r="C255" s="10" t="s">
        <v>501</v>
      </c>
      <c r="D255" s="10" t="s">
        <v>502</v>
      </c>
      <c r="E255" s="10" t="s">
        <v>503</v>
      </c>
      <c r="F255" s="10" t="s">
        <v>577</v>
      </c>
      <c r="G255" s="225" t="s">
        <v>578</v>
      </c>
      <c r="H255" s="10" t="s">
        <v>579</v>
      </c>
      <c r="I255" s="10" t="s">
        <v>30</v>
      </c>
      <c r="J255" s="10" t="s">
        <v>48</v>
      </c>
    </row>
    <row r="256" spans="1:10" ht="16" thickBot="1">
      <c r="A256" s="10" t="s">
        <v>21</v>
      </c>
      <c r="B256" s="10" t="s">
        <v>500</v>
      </c>
      <c r="C256" s="10" t="s">
        <v>501</v>
      </c>
      <c r="D256" s="10" t="s">
        <v>502</v>
      </c>
      <c r="E256" s="10" t="s">
        <v>503</v>
      </c>
      <c r="F256" s="10" t="s">
        <v>580</v>
      </c>
      <c r="G256" s="10" t="s">
        <v>581</v>
      </c>
      <c r="H256" s="10" t="s">
        <v>579</v>
      </c>
      <c r="I256" s="10" t="s">
        <v>30</v>
      </c>
      <c r="J256" s="10" t="s">
        <v>31</v>
      </c>
    </row>
    <row r="257" spans="1:10" ht="16" thickBot="1">
      <c r="A257" s="10" t="s">
        <v>21</v>
      </c>
      <c r="B257" s="10" t="s">
        <v>500</v>
      </c>
      <c r="C257" s="10" t="s">
        <v>501</v>
      </c>
      <c r="D257" s="10" t="s">
        <v>502</v>
      </c>
      <c r="E257" s="10" t="s">
        <v>503</v>
      </c>
      <c r="F257" s="10" t="s">
        <v>579</v>
      </c>
      <c r="G257" s="10" t="s">
        <v>582</v>
      </c>
      <c r="H257" s="10" t="s">
        <v>579</v>
      </c>
      <c r="I257" s="10" t="s">
        <v>30</v>
      </c>
      <c r="J257" s="10" t="s">
        <v>33</v>
      </c>
    </row>
    <row r="258" spans="1:10" ht="29.25" customHeight="1" thickBot="1">
      <c r="A258" s="10" t="s">
        <v>21</v>
      </c>
      <c r="B258" s="10" t="s">
        <v>500</v>
      </c>
      <c r="C258" s="10" t="s">
        <v>501</v>
      </c>
      <c r="D258" s="10" t="s">
        <v>502</v>
      </c>
      <c r="E258" s="10" t="s">
        <v>503</v>
      </c>
      <c r="F258" s="10" t="s">
        <v>583</v>
      </c>
      <c r="G258" s="10" t="s">
        <v>584</v>
      </c>
      <c r="H258" s="10" t="s">
        <v>579</v>
      </c>
      <c r="I258" s="10" t="s">
        <v>30</v>
      </c>
      <c r="J258" s="10" t="s">
        <v>36</v>
      </c>
    </row>
    <row r="259" spans="1:10" ht="27" thickBot="1">
      <c r="A259" s="10" t="s">
        <v>21</v>
      </c>
      <c r="B259" s="10" t="s">
        <v>500</v>
      </c>
      <c r="C259" s="10" t="s">
        <v>501</v>
      </c>
      <c r="D259" s="10" t="s">
        <v>502</v>
      </c>
      <c r="E259" s="10" t="s">
        <v>503</v>
      </c>
      <c r="F259" s="10" t="s">
        <v>585</v>
      </c>
      <c r="G259" s="225" t="s">
        <v>586</v>
      </c>
      <c r="H259" s="10" t="s">
        <v>587</v>
      </c>
      <c r="I259" s="10" t="s">
        <v>30</v>
      </c>
      <c r="J259" s="10" t="s">
        <v>48</v>
      </c>
    </row>
    <row r="260" spans="1:10" ht="29.25" customHeight="1" thickBot="1">
      <c r="A260" s="10" t="s">
        <v>21</v>
      </c>
      <c r="B260" s="10" t="s">
        <v>500</v>
      </c>
      <c r="C260" s="10" t="s">
        <v>501</v>
      </c>
      <c r="D260" s="10" t="s">
        <v>502</v>
      </c>
      <c r="E260" s="10" t="s">
        <v>503</v>
      </c>
      <c r="F260" s="10" t="s">
        <v>588</v>
      </c>
      <c r="G260" s="10" t="s">
        <v>589</v>
      </c>
      <c r="H260" s="10" t="s">
        <v>587</v>
      </c>
      <c r="I260" s="10" t="s">
        <v>30</v>
      </c>
      <c r="J260" s="10" t="s">
        <v>31</v>
      </c>
    </row>
    <row r="261" spans="1:10" ht="16" thickBot="1">
      <c r="A261" s="10" t="s">
        <v>21</v>
      </c>
      <c r="B261" s="10" t="s">
        <v>500</v>
      </c>
      <c r="C261" s="10" t="s">
        <v>501</v>
      </c>
      <c r="D261" s="10" t="s">
        <v>502</v>
      </c>
      <c r="E261" s="10" t="s">
        <v>503</v>
      </c>
      <c r="F261" s="10" t="s">
        <v>587</v>
      </c>
      <c r="G261" s="10" t="s">
        <v>590</v>
      </c>
      <c r="H261" s="10" t="s">
        <v>587</v>
      </c>
      <c r="I261" s="10" t="s">
        <v>30</v>
      </c>
      <c r="J261" s="10" t="s">
        <v>33</v>
      </c>
    </row>
    <row r="262" spans="1:10" ht="16" thickBot="1">
      <c r="A262" s="10" t="s">
        <v>21</v>
      </c>
      <c r="B262" s="10" t="s">
        <v>500</v>
      </c>
      <c r="C262" s="10" t="s">
        <v>501</v>
      </c>
      <c r="D262" s="10" t="s">
        <v>502</v>
      </c>
      <c r="E262" s="10" t="s">
        <v>503</v>
      </c>
      <c r="F262" s="10" t="s">
        <v>591</v>
      </c>
      <c r="G262" s="10" t="s">
        <v>592</v>
      </c>
      <c r="H262" s="10" t="s">
        <v>587</v>
      </c>
      <c r="I262" s="10" t="s">
        <v>30</v>
      </c>
      <c r="J262" s="10" t="s">
        <v>36</v>
      </c>
    </row>
    <row r="263" spans="1:10" ht="16" thickBot="1">
      <c r="A263" s="10" t="s">
        <v>21</v>
      </c>
      <c r="B263" s="10" t="s">
        <v>593</v>
      </c>
      <c r="C263" s="10" t="s">
        <v>594</v>
      </c>
      <c r="D263" s="10" t="s">
        <v>595</v>
      </c>
      <c r="E263" s="10" t="s">
        <v>596</v>
      </c>
      <c r="F263" s="10" t="s">
        <v>597</v>
      </c>
      <c r="G263" s="10" t="s">
        <v>598</v>
      </c>
      <c r="H263" s="10" t="s">
        <v>599</v>
      </c>
      <c r="I263" s="10" t="s">
        <v>30</v>
      </c>
      <c r="J263" s="10" t="s">
        <v>31</v>
      </c>
    </row>
    <row r="264" spans="1:10" ht="16" thickBot="1">
      <c r="A264" s="10" t="s">
        <v>21</v>
      </c>
      <c r="B264" s="10" t="s">
        <v>593</v>
      </c>
      <c r="C264" s="10" t="s">
        <v>594</v>
      </c>
      <c r="D264" s="10" t="s">
        <v>595</v>
      </c>
      <c r="E264" s="10" t="s">
        <v>596</v>
      </c>
      <c r="F264" s="10" t="s">
        <v>599</v>
      </c>
      <c r="G264" s="10" t="s">
        <v>600</v>
      </c>
      <c r="H264" s="10" t="s">
        <v>599</v>
      </c>
      <c r="I264" s="10" t="s">
        <v>30</v>
      </c>
      <c r="J264" s="10" t="s">
        <v>33</v>
      </c>
    </row>
    <row r="265" spans="1:10" ht="29.25" customHeight="1" thickBot="1">
      <c r="A265" s="10" t="s">
        <v>21</v>
      </c>
      <c r="B265" s="10" t="s">
        <v>593</v>
      </c>
      <c r="C265" s="10" t="s">
        <v>594</v>
      </c>
      <c r="D265" s="10" t="s">
        <v>595</v>
      </c>
      <c r="E265" s="10" t="s">
        <v>596</v>
      </c>
      <c r="F265" s="10" t="s">
        <v>601</v>
      </c>
      <c r="G265" s="10" t="s">
        <v>602</v>
      </c>
      <c r="H265" s="10" t="s">
        <v>599</v>
      </c>
      <c r="I265" s="10" t="s">
        <v>30</v>
      </c>
      <c r="J265" s="10" t="s">
        <v>36</v>
      </c>
    </row>
    <row r="266" spans="1:10" ht="16" thickBot="1">
      <c r="A266" s="10" t="s">
        <v>21</v>
      </c>
      <c r="B266" s="10" t="s">
        <v>593</v>
      </c>
      <c r="C266" s="10" t="s">
        <v>594</v>
      </c>
      <c r="D266" s="10" t="s">
        <v>595</v>
      </c>
      <c r="E266" s="10" t="s">
        <v>596</v>
      </c>
      <c r="F266" s="10" t="s">
        <v>603</v>
      </c>
      <c r="G266" s="10" t="s">
        <v>604</v>
      </c>
      <c r="H266" s="10" t="s">
        <v>605</v>
      </c>
      <c r="I266" s="10" t="s">
        <v>40</v>
      </c>
      <c r="J266" s="10" t="s">
        <v>31</v>
      </c>
    </row>
    <row r="267" spans="1:10" ht="16" thickBot="1">
      <c r="A267" s="10" t="s">
        <v>21</v>
      </c>
      <c r="B267" s="10" t="s">
        <v>593</v>
      </c>
      <c r="C267" s="10" t="s">
        <v>594</v>
      </c>
      <c r="D267" s="10" t="s">
        <v>595</v>
      </c>
      <c r="E267" s="10" t="s">
        <v>596</v>
      </c>
      <c r="F267" s="10" t="s">
        <v>605</v>
      </c>
      <c r="G267" s="10" t="s">
        <v>606</v>
      </c>
      <c r="H267" s="10" t="s">
        <v>605</v>
      </c>
      <c r="I267" s="10" t="s">
        <v>40</v>
      </c>
      <c r="J267" s="10" t="s">
        <v>33</v>
      </c>
    </row>
    <row r="268" spans="1:10" ht="29.25" customHeight="1" thickBot="1">
      <c r="A268" s="10" t="s">
        <v>21</v>
      </c>
      <c r="B268" s="10" t="s">
        <v>593</v>
      </c>
      <c r="C268" s="10" t="s">
        <v>594</v>
      </c>
      <c r="D268" s="10" t="s">
        <v>595</v>
      </c>
      <c r="E268" s="10" t="s">
        <v>596</v>
      </c>
      <c r="F268" s="10" t="s">
        <v>607</v>
      </c>
      <c r="G268" s="10" t="s">
        <v>608</v>
      </c>
      <c r="H268" s="10" t="s">
        <v>605</v>
      </c>
      <c r="I268" s="10" t="s">
        <v>40</v>
      </c>
      <c r="J268" s="10" t="s">
        <v>36</v>
      </c>
    </row>
    <row r="269" spans="1:10" ht="27" thickBot="1">
      <c r="A269" s="10" t="s">
        <v>21</v>
      </c>
      <c r="B269" s="10" t="s">
        <v>593</v>
      </c>
      <c r="C269" s="10" t="s">
        <v>594</v>
      </c>
      <c r="D269" s="10" t="s">
        <v>595</v>
      </c>
      <c r="E269" s="10" t="s">
        <v>596</v>
      </c>
      <c r="F269" s="10" t="s">
        <v>609</v>
      </c>
      <c r="G269" s="225" t="s">
        <v>610</v>
      </c>
      <c r="H269" s="10" t="s">
        <v>611</v>
      </c>
      <c r="I269" s="10" t="s">
        <v>40</v>
      </c>
      <c r="J269" s="10" t="s">
        <v>48</v>
      </c>
    </row>
    <row r="270" spans="1:10" ht="27" thickBot="1">
      <c r="A270" s="10" t="s">
        <v>21</v>
      </c>
      <c r="B270" s="10" t="s">
        <v>593</v>
      </c>
      <c r="C270" s="10" t="s">
        <v>594</v>
      </c>
      <c r="D270" s="10" t="s">
        <v>595</v>
      </c>
      <c r="E270" s="10" t="s">
        <v>596</v>
      </c>
      <c r="F270" s="10" t="s">
        <v>612</v>
      </c>
      <c r="G270" s="225" t="s">
        <v>613</v>
      </c>
      <c r="H270" s="10" t="s">
        <v>605</v>
      </c>
      <c r="I270" s="10" t="s">
        <v>40</v>
      </c>
      <c r="J270" s="10" t="s">
        <v>48</v>
      </c>
    </row>
    <row r="271" spans="1:10" ht="29.25" customHeight="1" thickBot="1">
      <c r="A271" s="10" t="s">
        <v>21</v>
      </c>
      <c r="B271" s="10" t="s">
        <v>593</v>
      </c>
      <c r="C271" s="10" t="s">
        <v>594</v>
      </c>
      <c r="D271" s="10" t="s">
        <v>595</v>
      </c>
      <c r="E271" s="10" t="s">
        <v>596</v>
      </c>
      <c r="F271" s="10" t="s">
        <v>614</v>
      </c>
      <c r="G271" s="10" t="s">
        <v>615</v>
      </c>
      <c r="H271" s="10" t="s">
        <v>611</v>
      </c>
      <c r="I271" s="10" t="s">
        <v>40</v>
      </c>
      <c r="J271" s="10" t="s">
        <v>31</v>
      </c>
    </row>
    <row r="272" spans="1:10" ht="16" thickBot="1">
      <c r="A272" s="10" t="s">
        <v>21</v>
      </c>
      <c r="B272" s="10" t="s">
        <v>593</v>
      </c>
      <c r="C272" s="10" t="s">
        <v>594</v>
      </c>
      <c r="D272" s="10" t="s">
        <v>595</v>
      </c>
      <c r="E272" s="10" t="s">
        <v>596</v>
      </c>
      <c r="F272" s="10" t="s">
        <v>611</v>
      </c>
      <c r="G272" s="10" t="s">
        <v>616</v>
      </c>
      <c r="H272" s="10" t="s">
        <v>611</v>
      </c>
      <c r="I272" s="10" t="s">
        <v>40</v>
      </c>
      <c r="J272" s="10" t="s">
        <v>33</v>
      </c>
    </row>
    <row r="273" spans="1:10" ht="29.25" customHeight="1" thickBot="1">
      <c r="A273" s="10" t="s">
        <v>21</v>
      </c>
      <c r="B273" s="10" t="s">
        <v>593</v>
      </c>
      <c r="C273" s="10" t="s">
        <v>594</v>
      </c>
      <c r="D273" s="10" t="s">
        <v>595</v>
      </c>
      <c r="E273" s="10" t="s">
        <v>596</v>
      </c>
      <c r="F273" s="10" t="s">
        <v>617</v>
      </c>
      <c r="G273" s="10" t="s">
        <v>618</v>
      </c>
      <c r="H273" s="10" t="s">
        <v>611</v>
      </c>
      <c r="I273" s="10" t="s">
        <v>40</v>
      </c>
      <c r="J273" s="10" t="s">
        <v>36</v>
      </c>
    </row>
    <row r="274" spans="1:10" ht="27" thickBot="1">
      <c r="A274" s="10" t="s">
        <v>21</v>
      </c>
      <c r="B274" s="10" t="s">
        <v>593</v>
      </c>
      <c r="C274" s="10" t="s">
        <v>594</v>
      </c>
      <c r="D274" s="10" t="s">
        <v>595</v>
      </c>
      <c r="E274" s="10" t="s">
        <v>596</v>
      </c>
      <c r="F274" s="10" t="s">
        <v>619</v>
      </c>
      <c r="G274" s="225" t="s">
        <v>620</v>
      </c>
      <c r="H274" s="10" t="s">
        <v>621</v>
      </c>
      <c r="I274" s="10" t="s">
        <v>30</v>
      </c>
      <c r="J274" s="10" t="s">
        <v>48</v>
      </c>
    </row>
    <row r="275" spans="1:10" ht="27" thickBot="1">
      <c r="A275" s="10" t="s">
        <v>21</v>
      </c>
      <c r="B275" s="10" t="s">
        <v>593</v>
      </c>
      <c r="C275" s="10" t="s">
        <v>594</v>
      </c>
      <c r="D275" s="10" t="s">
        <v>595</v>
      </c>
      <c r="E275" s="10" t="s">
        <v>596</v>
      </c>
      <c r="F275" s="10" t="s">
        <v>622</v>
      </c>
      <c r="G275" s="225" t="s">
        <v>623</v>
      </c>
      <c r="H275" s="10" t="s">
        <v>621</v>
      </c>
      <c r="I275" s="10" t="s">
        <v>30</v>
      </c>
      <c r="J275" s="10" t="s">
        <v>48</v>
      </c>
    </row>
    <row r="276" spans="1:10" ht="27" thickBot="1">
      <c r="A276" s="10" t="s">
        <v>21</v>
      </c>
      <c r="B276" s="10" t="s">
        <v>593</v>
      </c>
      <c r="C276" s="10" t="s">
        <v>594</v>
      </c>
      <c r="D276" s="10" t="s">
        <v>595</v>
      </c>
      <c r="E276" s="10" t="s">
        <v>596</v>
      </c>
      <c r="F276" s="10" t="s">
        <v>624</v>
      </c>
      <c r="G276" s="225" t="s">
        <v>625</v>
      </c>
      <c r="H276" s="10" t="s">
        <v>621</v>
      </c>
      <c r="I276" s="10" t="s">
        <v>30</v>
      </c>
      <c r="J276" s="10" t="s">
        <v>48</v>
      </c>
    </row>
    <row r="277" spans="1:10" ht="16" thickBot="1">
      <c r="A277" s="10" t="s">
        <v>21</v>
      </c>
      <c r="B277" s="10" t="s">
        <v>593</v>
      </c>
      <c r="C277" s="10" t="s">
        <v>594</v>
      </c>
      <c r="D277" s="10" t="s">
        <v>595</v>
      </c>
      <c r="E277" s="10" t="s">
        <v>596</v>
      </c>
      <c r="F277" s="10" t="s">
        <v>626</v>
      </c>
      <c r="G277" s="10" t="s">
        <v>627</v>
      </c>
      <c r="H277" s="10" t="s">
        <v>621</v>
      </c>
      <c r="I277" s="10" t="s">
        <v>30</v>
      </c>
      <c r="J277" s="10" t="s">
        <v>31</v>
      </c>
    </row>
    <row r="278" spans="1:10" ht="16" thickBot="1">
      <c r="A278" s="10" t="s">
        <v>21</v>
      </c>
      <c r="B278" s="10" t="s">
        <v>593</v>
      </c>
      <c r="C278" s="10" t="s">
        <v>594</v>
      </c>
      <c r="D278" s="10" t="s">
        <v>595</v>
      </c>
      <c r="E278" s="10" t="s">
        <v>596</v>
      </c>
      <c r="F278" s="10" t="s">
        <v>621</v>
      </c>
      <c r="G278" s="10" t="s">
        <v>628</v>
      </c>
      <c r="H278" s="10" t="s">
        <v>621</v>
      </c>
      <c r="I278" s="10" t="s">
        <v>30</v>
      </c>
      <c r="J278" s="10" t="s">
        <v>33</v>
      </c>
    </row>
    <row r="279" spans="1:10" ht="16" thickBot="1">
      <c r="A279" s="10" t="s">
        <v>21</v>
      </c>
      <c r="B279" s="10" t="s">
        <v>593</v>
      </c>
      <c r="C279" s="10" t="s">
        <v>594</v>
      </c>
      <c r="D279" s="10" t="s">
        <v>595</v>
      </c>
      <c r="E279" s="10" t="s">
        <v>596</v>
      </c>
      <c r="F279" s="10" t="s">
        <v>629</v>
      </c>
      <c r="G279" s="10" t="s">
        <v>630</v>
      </c>
      <c r="H279" s="10" t="s">
        <v>621</v>
      </c>
      <c r="I279" s="10" t="s">
        <v>30</v>
      </c>
      <c r="J279" s="10" t="s">
        <v>36</v>
      </c>
    </row>
    <row r="280" spans="1:10" ht="16" thickBot="1">
      <c r="A280" s="10" t="s">
        <v>21</v>
      </c>
      <c r="B280" s="10" t="s">
        <v>593</v>
      </c>
      <c r="C280" s="10" t="s">
        <v>594</v>
      </c>
      <c r="D280" s="10" t="s">
        <v>595</v>
      </c>
      <c r="E280" s="10" t="s">
        <v>596</v>
      </c>
      <c r="F280" s="10" t="s">
        <v>631</v>
      </c>
      <c r="G280" s="10" t="s">
        <v>632</v>
      </c>
      <c r="H280" s="10" t="s">
        <v>633</v>
      </c>
      <c r="I280" s="10" t="s">
        <v>40</v>
      </c>
      <c r="J280" s="10" t="s">
        <v>31</v>
      </c>
    </row>
    <row r="281" spans="1:10" ht="16" thickBot="1">
      <c r="A281" s="10" t="s">
        <v>21</v>
      </c>
      <c r="B281" s="10" t="s">
        <v>593</v>
      </c>
      <c r="C281" s="10" t="s">
        <v>594</v>
      </c>
      <c r="D281" s="10" t="s">
        <v>595</v>
      </c>
      <c r="E281" s="10" t="s">
        <v>596</v>
      </c>
      <c r="F281" s="10" t="s">
        <v>633</v>
      </c>
      <c r="G281" s="10" t="s">
        <v>634</v>
      </c>
      <c r="H281" s="10" t="s">
        <v>633</v>
      </c>
      <c r="I281" s="10" t="s">
        <v>40</v>
      </c>
      <c r="J281" s="10" t="s">
        <v>33</v>
      </c>
    </row>
    <row r="282" spans="1:10" ht="29.25" customHeight="1" thickBot="1">
      <c r="A282" s="10" t="s">
        <v>21</v>
      </c>
      <c r="B282" s="10" t="s">
        <v>593</v>
      </c>
      <c r="C282" s="10" t="s">
        <v>594</v>
      </c>
      <c r="D282" s="10" t="s">
        <v>595</v>
      </c>
      <c r="E282" s="10" t="s">
        <v>596</v>
      </c>
      <c r="F282" s="10" t="s">
        <v>635</v>
      </c>
      <c r="G282" s="10" t="s">
        <v>636</v>
      </c>
      <c r="H282" s="10" t="s">
        <v>633</v>
      </c>
      <c r="I282" s="10" t="s">
        <v>40</v>
      </c>
      <c r="J282" s="10" t="s">
        <v>36</v>
      </c>
    </row>
    <row r="283" spans="1:10" ht="27" thickBot="1">
      <c r="A283" s="10" t="s">
        <v>21</v>
      </c>
      <c r="B283" s="10" t="s">
        <v>593</v>
      </c>
      <c r="C283" s="10" t="s">
        <v>594</v>
      </c>
      <c r="D283" s="10" t="s">
        <v>595</v>
      </c>
      <c r="E283" s="10" t="s">
        <v>596</v>
      </c>
      <c r="F283" s="10" t="s">
        <v>637</v>
      </c>
      <c r="G283" s="225" t="s">
        <v>638</v>
      </c>
      <c r="H283" s="10" t="s">
        <v>639</v>
      </c>
      <c r="I283" s="10" t="s">
        <v>40</v>
      </c>
      <c r="J283" s="10" t="s">
        <v>48</v>
      </c>
    </row>
    <row r="284" spans="1:10" ht="27" thickBot="1">
      <c r="A284" s="10" t="s">
        <v>21</v>
      </c>
      <c r="B284" s="10" t="s">
        <v>593</v>
      </c>
      <c r="C284" s="10" t="s">
        <v>594</v>
      </c>
      <c r="D284" s="10" t="s">
        <v>595</v>
      </c>
      <c r="E284" s="10" t="s">
        <v>596</v>
      </c>
      <c r="F284" s="10" t="s">
        <v>640</v>
      </c>
      <c r="G284" s="225" t="s">
        <v>641</v>
      </c>
      <c r="H284" s="10" t="s">
        <v>639</v>
      </c>
      <c r="I284" s="10" t="s">
        <v>40</v>
      </c>
      <c r="J284" s="10" t="s">
        <v>48</v>
      </c>
    </row>
    <row r="285" spans="1:10" ht="27" thickBot="1">
      <c r="A285" s="10" t="s">
        <v>21</v>
      </c>
      <c r="B285" s="10" t="s">
        <v>593</v>
      </c>
      <c r="C285" s="10" t="s">
        <v>594</v>
      </c>
      <c r="D285" s="10" t="s">
        <v>595</v>
      </c>
      <c r="E285" s="10" t="s">
        <v>596</v>
      </c>
      <c r="F285" s="10" t="s">
        <v>642</v>
      </c>
      <c r="G285" s="225" t="s">
        <v>643</v>
      </c>
      <c r="H285" s="10" t="s">
        <v>633</v>
      </c>
      <c r="I285" s="10" t="s">
        <v>40</v>
      </c>
      <c r="J285" s="10" t="s">
        <v>48</v>
      </c>
    </row>
    <row r="286" spans="1:10" ht="27" thickBot="1">
      <c r="A286" s="10" t="s">
        <v>21</v>
      </c>
      <c r="B286" s="10" t="s">
        <v>593</v>
      </c>
      <c r="C286" s="10" t="s">
        <v>594</v>
      </c>
      <c r="D286" s="10" t="s">
        <v>595</v>
      </c>
      <c r="E286" s="10" t="s">
        <v>596</v>
      </c>
      <c r="F286" s="10" t="s">
        <v>644</v>
      </c>
      <c r="G286" s="225" t="s">
        <v>645</v>
      </c>
      <c r="H286" s="10" t="s">
        <v>633</v>
      </c>
      <c r="I286" s="10" t="s">
        <v>40</v>
      </c>
      <c r="J286" s="10" t="s">
        <v>48</v>
      </c>
    </row>
    <row r="287" spans="1:10" ht="16" thickBot="1">
      <c r="A287" s="10" t="s">
        <v>21</v>
      </c>
      <c r="B287" s="10" t="s">
        <v>593</v>
      </c>
      <c r="C287" s="10" t="s">
        <v>594</v>
      </c>
      <c r="D287" s="10" t="s">
        <v>595</v>
      </c>
      <c r="E287" s="10" t="s">
        <v>596</v>
      </c>
      <c r="F287" s="10" t="s">
        <v>646</v>
      </c>
      <c r="G287" s="10" t="s">
        <v>647</v>
      </c>
      <c r="H287" s="10" t="s">
        <v>639</v>
      </c>
      <c r="I287" s="10" t="s">
        <v>40</v>
      </c>
      <c r="J287" s="10" t="s">
        <v>31</v>
      </c>
    </row>
    <row r="288" spans="1:10" ht="16" thickBot="1">
      <c r="A288" s="10" t="s">
        <v>21</v>
      </c>
      <c r="B288" s="10" t="s">
        <v>593</v>
      </c>
      <c r="C288" s="10" t="s">
        <v>594</v>
      </c>
      <c r="D288" s="10" t="s">
        <v>595</v>
      </c>
      <c r="E288" s="10" t="s">
        <v>596</v>
      </c>
      <c r="F288" s="10" t="s">
        <v>639</v>
      </c>
      <c r="G288" s="10" t="s">
        <v>648</v>
      </c>
      <c r="H288" s="10" t="s">
        <v>639</v>
      </c>
      <c r="I288" s="10" t="s">
        <v>40</v>
      </c>
      <c r="J288" s="10" t="s">
        <v>33</v>
      </c>
    </row>
    <row r="289" spans="1:10" ht="16" thickBot="1">
      <c r="A289" s="10" t="s">
        <v>21</v>
      </c>
      <c r="B289" s="10" t="s">
        <v>593</v>
      </c>
      <c r="C289" s="10" t="s">
        <v>594</v>
      </c>
      <c r="D289" s="10" t="s">
        <v>595</v>
      </c>
      <c r="E289" s="10" t="s">
        <v>596</v>
      </c>
      <c r="F289" s="10" t="s">
        <v>649</v>
      </c>
      <c r="G289" s="10" t="s">
        <v>650</v>
      </c>
      <c r="H289" s="10" t="s">
        <v>639</v>
      </c>
      <c r="I289" s="10" t="s">
        <v>40</v>
      </c>
      <c r="J289" s="10" t="s">
        <v>36</v>
      </c>
    </row>
    <row r="290" spans="1:10" ht="29.25" customHeight="1" thickBot="1">
      <c r="A290" s="10" t="s">
        <v>21</v>
      </c>
      <c r="B290" s="10" t="s">
        <v>593</v>
      </c>
      <c r="C290" s="10" t="s">
        <v>594</v>
      </c>
      <c r="D290" s="10" t="s">
        <v>595</v>
      </c>
      <c r="E290" s="10" t="s">
        <v>596</v>
      </c>
      <c r="F290" s="10" t="s">
        <v>651</v>
      </c>
      <c r="G290" s="10" t="s">
        <v>652</v>
      </c>
      <c r="H290" s="10" t="s">
        <v>653</v>
      </c>
      <c r="I290" s="10" t="s">
        <v>30</v>
      </c>
      <c r="J290" s="10" t="s">
        <v>31</v>
      </c>
    </row>
    <row r="291" spans="1:10" ht="29.25" customHeight="1" thickBot="1">
      <c r="A291" s="10" t="s">
        <v>21</v>
      </c>
      <c r="B291" s="10" t="s">
        <v>593</v>
      </c>
      <c r="C291" s="10" t="s">
        <v>594</v>
      </c>
      <c r="D291" s="10" t="s">
        <v>595</v>
      </c>
      <c r="E291" s="10" t="s">
        <v>596</v>
      </c>
      <c r="F291" s="10" t="s">
        <v>653</v>
      </c>
      <c r="G291" s="10" t="s">
        <v>654</v>
      </c>
      <c r="H291" s="10" t="s">
        <v>653</v>
      </c>
      <c r="I291" s="10" t="s">
        <v>30</v>
      </c>
      <c r="J291" s="10" t="s">
        <v>33</v>
      </c>
    </row>
    <row r="292" spans="1:10" ht="16" thickBot="1">
      <c r="A292" s="10" t="s">
        <v>21</v>
      </c>
      <c r="B292" s="10" t="s">
        <v>593</v>
      </c>
      <c r="C292" s="10" t="s">
        <v>594</v>
      </c>
      <c r="D292" s="10" t="s">
        <v>595</v>
      </c>
      <c r="E292" s="10" t="s">
        <v>596</v>
      </c>
      <c r="F292" s="10" t="s">
        <v>655</v>
      </c>
      <c r="G292" s="10" t="s">
        <v>656</v>
      </c>
      <c r="H292" s="10" t="s">
        <v>653</v>
      </c>
      <c r="I292" s="10" t="s">
        <v>30</v>
      </c>
      <c r="J292" s="10" t="s">
        <v>36</v>
      </c>
    </row>
    <row r="293" spans="1:10" ht="27" thickBot="1">
      <c r="A293" s="10" t="s">
        <v>21</v>
      </c>
      <c r="B293" s="10" t="s">
        <v>593</v>
      </c>
      <c r="C293" s="10" t="s">
        <v>594</v>
      </c>
      <c r="D293" s="10" t="s">
        <v>595</v>
      </c>
      <c r="E293" s="10" t="s">
        <v>596</v>
      </c>
      <c r="F293" s="10" t="s">
        <v>657</v>
      </c>
      <c r="G293" s="225" t="s">
        <v>658</v>
      </c>
      <c r="H293" s="10" t="s">
        <v>659</v>
      </c>
      <c r="I293" s="10" t="s">
        <v>30</v>
      </c>
      <c r="J293" s="10" t="s">
        <v>48</v>
      </c>
    </row>
    <row r="294" spans="1:10" ht="27" thickBot="1">
      <c r="A294" s="10" t="s">
        <v>21</v>
      </c>
      <c r="B294" s="10" t="s">
        <v>593</v>
      </c>
      <c r="C294" s="10" t="s">
        <v>594</v>
      </c>
      <c r="D294" s="10" t="s">
        <v>595</v>
      </c>
      <c r="E294" s="10" t="s">
        <v>596</v>
      </c>
      <c r="F294" s="10" t="s">
        <v>660</v>
      </c>
      <c r="G294" s="225" t="s">
        <v>661</v>
      </c>
      <c r="H294" s="10" t="s">
        <v>659</v>
      </c>
      <c r="I294" s="10" t="s">
        <v>30</v>
      </c>
      <c r="J294" s="10" t="s">
        <v>48</v>
      </c>
    </row>
    <row r="295" spans="1:10" ht="27" thickBot="1">
      <c r="A295" s="10" t="s">
        <v>21</v>
      </c>
      <c r="B295" s="10" t="s">
        <v>593</v>
      </c>
      <c r="C295" s="10" t="s">
        <v>594</v>
      </c>
      <c r="D295" s="10" t="s">
        <v>595</v>
      </c>
      <c r="E295" s="10" t="s">
        <v>596</v>
      </c>
      <c r="F295" s="10" t="s">
        <v>662</v>
      </c>
      <c r="G295" s="225" t="s">
        <v>663</v>
      </c>
      <c r="H295" s="10" t="s">
        <v>659</v>
      </c>
      <c r="I295" s="10" t="s">
        <v>30</v>
      </c>
      <c r="J295" s="10" t="s">
        <v>48</v>
      </c>
    </row>
    <row r="296" spans="1:10" ht="29.25" customHeight="1" thickBot="1">
      <c r="A296" s="10" t="s">
        <v>21</v>
      </c>
      <c r="B296" s="10" t="s">
        <v>593</v>
      </c>
      <c r="C296" s="10" t="s">
        <v>594</v>
      </c>
      <c r="D296" s="10" t="s">
        <v>595</v>
      </c>
      <c r="E296" s="10" t="s">
        <v>596</v>
      </c>
      <c r="F296" s="10" t="s">
        <v>664</v>
      </c>
      <c r="G296" s="10" t="s">
        <v>665</v>
      </c>
      <c r="H296" s="10" t="s">
        <v>659</v>
      </c>
      <c r="I296" s="10" t="s">
        <v>30</v>
      </c>
      <c r="J296" s="10" t="s">
        <v>31</v>
      </c>
    </row>
    <row r="297" spans="1:10" ht="16" thickBot="1">
      <c r="A297" s="10" t="s">
        <v>21</v>
      </c>
      <c r="B297" s="10" t="s">
        <v>593</v>
      </c>
      <c r="C297" s="10" t="s">
        <v>594</v>
      </c>
      <c r="D297" s="10" t="s">
        <v>595</v>
      </c>
      <c r="E297" s="10" t="s">
        <v>596</v>
      </c>
      <c r="F297" s="10" t="s">
        <v>659</v>
      </c>
      <c r="G297" s="10" t="s">
        <v>666</v>
      </c>
      <c r="H297" s="10" t="s">
        <v>659</v>
      </c>
      <c r="I297" s="10" t="s">
        <v>30</v>
      </c>
      <c r="J297" s="10" t="s">
        <v>33</v>
      </c>
    </row>
    <row r="298" spans="1:10" ht="16" thickBot="1">
      <c r="A298" s="10" t="s">
        <v>21</v>
      </c>
      <c r="B298" s="10" t="s">
        <v>593</v>
      </c>
      <c r="C298" s="10" t="s">
        <v>594</v>
      </c>
      <c r="D298" s="10" t="s">
        <v>595</v>
      </c>
      <c r="E298" s="10" t="s">
        <v>596</v>
      </c>
      <c r="F298" s="10" t="s">
        <v>667</v>
      </c>
      <c r="G298" s="10" t="s">
        <v>668</v>
      </c>
      <c r="H298" s="10" t="s">
        <v>659</v>
      </c>
      <c r="I298" s="10" t="s">
        <v>30</v>
      </c>
      <c r="J298" s="10" t="s">
        <v>36</v>
      </c>
    </row>
    <row r="299" spans="1:10" ht="27" thickBot="1">
      <c r="A299" s="10" t="s">
        <v>21</v>
      </c>
      <c r="B299" s="10" t="s">
        <v>593</v>
      </c>
      <c r="C299" s="10" t="s">
        <v>594</v>
      </c>
      <c r="D299" s="10" t="s">
        <v>595</v>
      </c>
      <c r="E299" s="10" t="s">
        <v>596</v>
      </c>
      <c r="F299" s="10" t="s">
        <v>669</v>
      </c>
      <c r="G299" s="225" t="s">
        <v>670</v>
      </c>
      <c r="H299" s="10" t="s">
        <v>671</v>
      </c>
      <c r="I299" s="10" t="s">
        <v>30</v>
      </c>
      <c r="J299" s="10" t="s">
        <v>48</v>
      </c>
    </row>
    <row r="300" spans="1:10" ht="29.25" customHeight="1" thickBot="1">
      <c r="A300" s="10" t="s">
        <v>21</v>
      </c>
      <c r="B300" s="10" t="s">
        <v>593</v>
      </c>
      <c r="C300" s="10" t="s">
        <v>594</v>
      </c>
      <c r="D300" s="10" t="s">
        <v>595</v>
      </c>
      <c r="E300" s="10" t="s">
        <v>596</v>
      </c>
      <c r="F300" s="10" t="s">
        <v>673</v>
      </c>
      <c r="G300" s="10" t="s">
        <v>674</v>
      </c>
      <c r="H300" s="10" t="s">
        <v>671</v>
      </c>
      <c r="I300" s="10" t="s">
        <v>30</v>
      </c>
      <c r="J300" s="10" t="s">
        <v>31</v>
      </c>
    </row>
    <row r="301" spans="1:10" ht="29.25" customHeight="1" thickBot="1">
      <c r="A301" s="10" t="s">
        <v>21</v>
      </c>
      <c r="B301" s="10" t="s">
        <v>593</v>
      </c>
      <c r="C301" s="10" t="s">
        <v>594</v>
      </c>
      <c r="D301" s="10" t="s">
        <v>595</v>
      </c>
      <c r="E301" s="10" t="s">
        <v>596</v>
      </c>
      <c r="F301" s="10" t="s">
        <v>671</v>
      </c>
      <c r="G301" s="10" t="s">
        <v>675</v>
      </c>
      <c r="H301" s="10" t="s">
        <v>671</v>
      </c>
      <c r="I301" s="10" t="s">
        <v>30</v>
      </c>
      <c r="J301" s="10" t="s">
        <v>33</v>
      </c>
    </row>
    <row r="302" spans="1:10" ht="16" thickBot="1">
      <c r="A302" s="10" t="s">
        <v>21</v>
      </c>
      <c r="B302" s="10" t="s">
        <v>593</v>
      </c>
      <c r="C302" s="10" t="s">
        <v>594</v>
      </c>
      <c r="D302" s="10" t="s">
        <v>595</v>
      </c>
      <c r="E302" s="10" t="s">
        <v>596</v>
      </c>
      <c r="F302" s="10" t="s">
        <v>676</v>
      </c>
      <c r="G302" s="10" t="s">
        <v>677</v>
      </c>
      <c r="H302" s="10" t="s">
        <v>671</v>
      </c>
      <c r="I302" s="10" t="s">
        <v>30</v>
      </c>
      <c r="J302" s="10" t="s">
        <v>36</v>
      </c>
    </row>
    <row r="303" spans="1:10" ht="29.25" customHeight="1" thickBot="1">
      <c r="A303" s="10" t="s">
        <v>21</v>
      </c>
      <c r="B303" s="10" t="s">
        <v>593</v>
      </c>
      <c r="C303" s="10" t="s">
        <v>594</v>
      </c>
      <c r="D303" s="10" t="s">
        <v>595</v>
      </c>
      <c r="E303" s="10" t="s">
        <v>596</v>
      </c>
      <c r="F303" s="10" t="s">
        <v>678</v>
      </c>
      <c r="G303" s="225" t="s">
        <v>679</v>
      </c>
      <c r="H303" s="10" t="s">
        <v>680</v>
      </c>
      <c r="I303" s="10" t="s">
        <v>30</v>
      </c>
      <c r="J303" s="10" t="s">
        <v>48</v>
      </c>
    </row>
    <row r="304" spans="1:10" ht="29.25" customHeight="1" thickBot="1">
      <c r="A304" s="10" t="s">
        <v>21</v>
      </c>
      <c r="B304" s="10" t="s">
        <v>593</v>
      </c>
      <c r="C304" s="10" t="s">
        <v>594</v>
      </c>
      <c r="D304" s="10" t="s">
        <v>595</v>
      </c>
      <c r="E304" s="10" t="s">
        <v>596</v>
      </c>
      <c r="F304" s="10" t="s">
        <v>681</v>
      </c>
      <c r="G304" s="10" t="s">
        <v>682</v>
      </c>
      <c r="H304" s="10" t="s">
        <v>680</v>
      </c>
      <c r="I304" s="10" t="s">
        <v>30</v>
      </c>
      <c r="J304" s="10" t="s">
        <v>31</v>
      </c>
    </row>
    <row r="305" spans="1:10" ht="29.25" customHeight="1" thickBot="1">
      <c r="A305" s="10" t="s">
        <v>21</v>
      </c>
      <c r="B305" s="10" t="s">
        <v>593</v>
      </c>
      <c r="C305" s="10" t="s">
        <v>594</v>
      </c>
      <c r="D305" s="10" t="s">
        <v>595</v>
      </c>
      <c r="E305" s="10" t="s">
        <v>596</v>
      </c>
      <c r="F305" s="10" t="s">
        <v>680</v>
      </c>
      <c r="G305" s="10" t="s">
        <v>683</v>
      </c>
      <c r="H305" s="10" t="s">
        <v>680</v>
      </c>
      <c r="I305" s="10" t="s">
        <v>30</v>
      </c>
      <c r="J305" s="10" t="s">
        <v>33</v>
      </c>
    </row>
    <row r="306" spans="1:10" ht="16" thickBot="1">
      <c r="A306" s="10" t="s">
        <v>21</v>
      </c>
      <c r="B306" s="10" t="s">
        <v>593</v>
      </c>
      <c r="C306" s="10" t="s">
        <v>594</v>
      </c>
      <c r="D306" s="10" t="s">
        <v>595</v>
      </c>
      <c r="E306" s="10" t="s">
        <v>596</v>
      </c>
      <c r="F306" s="10" t="s">
        <v>684</v>
      </c>
      <c r="G306" s="10" t="s">
        <v>685</v>
      </c>
      <c r="H306" s="10" t="s">
        <v>680</v>
      </c>
      <c r="I306" s="10" t="s">
        <v>30</v>
      </c>
      <c r="J306" s="10" t="s">
        <v>36</v>
      </c>
    </row>
    <row r="307" spans="1:10" ht="29.25" customHeight="1" thickBot="1">
      <c r="A307" s="10" t="s">
        <v>21</v>
      </c>
      <c r="B307" s="10" t="s">
        <v>686</v>
      </c>
      <c r="C307" s="10" t="s">
        <v>687</v>
      </c>
      <c r="D307" s="10" t="s">
        <v>688</v>
      </c>
      <c r="E307" s="10" t="s">
        <v>689</v>
      </c>
      <c r="F307" s="10" t="s">
        <v>690</v>
      </c>
      <c r="G307" s="10" t="s">
        <v>691</v>
      </c>
      <c r="H307" s="10" t="s">
        <v>692</v>
      </c>
      <c r="I307" s="10" t="s">
        <v>30</v>
      </c>
      <c r="J307" s="10" t="s">
        <v>31</v>
      </c>
    </row>
    <row r="308" spans="1:10" ht="29.25" customHeight="1" thickBot="1">
      <c r="A308" s="10" t="s">
        <v>21</v>
      </c>
      <c r="B308" s="10" t="s">
        <v>686</v>
      </c>
      <c r="C308" s="10" t="s">
        <v>687</v>
      </c>
      <c r="D308" s="10" t="s">
        <v>688</v>
      </c>
      <c r="E308" s="10" t="s">
        <v>689</v>
      </c>
      <c r="F308" s="10" t="s">
        <v>692</v>
      </c>
      <c r="G308" s="10" t="s">
        <v>693</v>
      </c>
      <c r="H308" s="10" t="s">
        <v>692</v>
      </c>
      <c r="I308" s="10" t="s">
        <v>30</v>
      </c>
      <c r="J308" s="10" t="s">
        <v>33</v>
      </c>
    </row>
    <row r="309" spans="1:10" ht="16" thickBot="1">
      <c r="A309" s="10" t="s">
        <v>21</v>
      </c>
      <c r="B309" s="10" t="s">
        <v>686</v>
      </c>
      <c r="C309" s="10" t="s">
        <v>687</v>
      </c>
      <c r="D309" s="10" t="s">
        <v>688</v>
      </c>
      <c r="E309" s="10" t="s">
        <v>689</v>
      </c>
      <c r="F309" s="10" t="s">
        <v>694</v>
      </c>
      <c r="G309" s="10" t="s">
        <v>695</v>
      </c>
      <c r="H309" s="10" t="s">
        <v>692</v>
      </c>
      <c r="I309" s="10" t="s">
        <v>30</v>
      </c>
      <c r="J309" s="10" t="s">
        <v>36</v>
      </c>
    </row>
    <row r="310" spans="1:10" ht="29.25" customHeight="1" thickBot="1">
      <c r="A310" s="10" t="s">
        <v>21</v>
      </c>
      <c r="B310" s="10" t="s">
        <v>686</v>
      </c>
      <c r="C310" s="10" t="s">
        <v>687</v>
      </c>
      <c r="D310" s="10" t="s">
        <v>688</v>
      </c>
      <c r="E310" s="10" t="s">
        <v>689</v>
      </c>
      <c r="F310" s="10" t="s">
        <v>696</v>
      </c>
      <c r="G310" s="10" t="s">
        <v>697</v>
      </c>
      <c r="H310" s="10" t="s">
        <v>698</v>
      </c>
      <c r="I310" s="10" t="s">
        <v>40</v>
      </c>
      <c r="J310" s="10" t="s">
        <v>31</v>
      </c>
    </row>
    <row r="311" spans="1:10" ht="16" thickBot="1">
      <c r="A311" s="10" t="s">
        <v>21</v>
      </c>
      <c r="B311" s="10" t="s">
        <v>686</v>
      </c>
      <c r="C311" s="10" t="s">
        <v>687</v>
      </c>
      <c r="D311" s="10" t="s">
        <v>688</v>
      </c>
      <c r="E311" s="10" t="s">
        <v>689</v>
      </c>
      <c r="F311" s="10" t="s">
        <v>698</v>
      </c>
      <c r="G311" s="10" t="s">
        <v>699</v>
      </c>
      <c r="H311" s="10" t="s">
        <v>698</v>
      </c>
      <c r="I311" s="10" t="s">
        <v>40</v>
      </c>
      <c r="J311" s="10" t="s">
        <v>33</v>
      </c>
    </row>
    <row r="312" spans="1:10" ht="16" thickBot="1">
      <c r="A312" s="10" t="s">
        <v>21</v>
      </c>
      <c r="B312" s="10" t="s">
        <v>686</v>
      </c>
      <c r="C312" s="10" t="s">
        <v>687</v>
      </c>
      <c r="D312" s="10" t="s">
        <v>688</v>
      </c>
      <c r="E312" s="10" t="s">
        <v>689</v>
      </c>
      <c r="F312" s="10" t="s">
        <v>700</v>
      </c>
      <c r="G312" s="10" t="s">
        <v>701</v>
      </c>
      <c r="H312" s="10" t="s">
        <v>698</v>
      </c>
      <c r="I312" s="10" t="s">
        <v>40</v>
      </c>
      <c r="J312" s="10" t="s">
        <v>36</v>
      </c>
    </row>
    <row r="313" spans="1:10" ht="27" thickBot="1">
      <c r="A313" s="10" t="s">
        <v>21</v>
      </c>
      <c r="B313" s="10" t="s">
        <v>686</v>
      </c>
      <c r="C313" s="10" t="s">
        <v>687</v>
      </c>
      <c r="D313" s="10" t="s">
        <v>688</v>
      </c>
      <c r="E313" s="10" t="s">
        <v>689</v>
      </c>
      <c r="F313" s="10" t="s">
        <v>702</v>
      </c>
      <c r="G313" s="225" t="s">
        <v>703</v>
      </c>
      <c r="H313" s="10" t="s">
        <v>704</v>
      </c>
      <c r="I313" s="10" t="s">
        <v>40</v>
      </c>
      <c r="J313" s="10" t="s">
        <v>48</v>
      </c>
    </row>
    <row r="314" spans="1:10" ht="16" thickBot="1">
      <c r="A314" s="10" t="s">
        <v>21</v>
      </c>
      <c r="B314" s="10" t="s">
        <v>686</v>
      </c>
      <c r="C314" s="10" t="s">
        <v>687</v>
      </c>
      <c r="D314" s="10" t="s">
        <v>688</v>
      </c>
      <c r="E314" s="10" t="s">
        <v>689</v>
      </c>
      <c r="F314" s="10" t="s">
        <v>705</v>
      </c>
      <c r="G314" s="10" t="s">
        <v>706</v>
      </c>
      <c r="H314" s="10" t="s">
        <v>704</v>
      </c>
      <c r="I314" s="10" t="s">
        <v>40</v>
      </c>
      <c r="J314" s="10" t="s">
        <v>31</v>
      </c>
    </row>
    <row r="315" spans="1:10" ht="16" thickBot="1">
      <c r="A315" s="10" t="s">
        <v>21</v>
      </c>
      <c r="B315" s="10" t="s">
        <v>686</v>
      </c>
      <c r="C315" s="10" t="s">
        <v>687</v>
      </c>
      <c r="D315" s="10" t="s">
        <v>688</v>
      </c>
      <c r="E315" s="10" t="s">
        <v>689</v>
      </c>
      <c r="F315" s="10" t="s">
        <v>704</v>
      </c>
      <c r="G315" s="10" t="s">
        <v>707</v>
      </c>
      <c r="H315" s="10" t="s">
        <v>704</v>
      </c>
      <c r="I315" s="10" t="s">
        <v>40</v>
      </c>
      <c r="J315" s="10" t="s">
        <v>33</v>
      </c>
    </row>
    <row r="316" spans="1:10" ht="16" thickBot="1">
      <c r="A316" s="10" t="s">
        <v>21</v>
      </c>
      <c r="B316" s="10" t="s">
        <v>686</v>
      </c>
      <c r="C316" s="10" t="s">
        <v>687</v>
      </c>
      <c r="D316" s="10" t="s">
        <v>688</v>
      </c>
      <c r="E316" s="10" t="s">
        <v>689</v>
      </c>
      <c r="F316" s="10" t="s">
        <v>708</v>
      </c>
      <c r="G316" s="10" t="s">
        <v>709</v>
      </c>
      <c r="H316" s="10" t="s">
        <v>704</v>
      </c>
      <c r="I316" s="10" t="s">
        <v>40</v>
      </c>
      <c r="J316" s="10" t="s">
        <v>36</v>
      </c>
    </row>
    <row r="317" spans="1:10" ht="27" thickBot="1">
      <c r="A317" s="10" t="s">
        <v>21</v>
      </c>
      <c r="B317" s="10" t="s">
        <v>686</v>
      </c>
      <c r="C317" s="10" t="s">
        <v>687</v>
      </c>
      <c r="D317" s="10" t="s">
        <v>688</v>
      </c>
      <c r="E317" s="10" t="s">
        <v>689</v>
      </c>
      <c r="F317" s="10" t="s">
        <v>710</v>
      </c>
      <c r="G317" s="225" t="s">
        <v>711</v>
      </c>
      <c r="H317" s="10" t="s">
        <v>698</v>
      </c>
      <c r="I317" s="10" t="s">
        <v>40</v>
      </c>
      <c r="J317" s="10" t="s">
        <v>48</v>
      </c>
    </row>
    <row r="318" spans="1:10" ht="27" thickBot="1">
      <c r="A318" s="10" t="s">
        <v>21</v>
      </c>
      <c r="B318" s="10" t="s">
        <v>686</v>
      </c>
      <c r="C318" s="10" t="s">
        <v>687</v>
      </c>
      <c r="D318" s="10" t="s">
        <v>688</v>
      </c>
      <c r="E318" s="10" t="s">
        <v>689</v>
      </c>
      <c r="F318" s="10" t="s">
        <v>712</v>
      </c>
      <c r="G318" s="225" t="s">
        <v>713</v>
      </c>
      <c r="H318" s="10" t="s">
        <v>714</v>
      </c>
      <c r="I318" s="10" t="s">
        <v>30</v>
      </c>
      <c r="J318" s="10" t="s">
        <v>48</v>
      </c>
    </row>
    <row r="319" spans="1:10" ht="27" thickBot="1">
      <c r="A319" s="10" t="s">
        <v>21</v>
      </c>
      <c r="B319" s="10" t="s">
        <v>686</v>
      </c>
      <c r="C319" s="10" t="s">
        <v>687</v>
      </c>
      <c r="D319" s="10" t="s">
        <v>688</v>
      </c>
      <c r="E319" s="10" t="s">
        <v>689</v>
      </c>
      <c r="F319" s="10" t="s">
        <v>715</v>
      </c>
      <c r="G319" s="225" t="s">
        <v>716</v>
      </c>
      <c r="H319" s="10" t="s">
        <v>714</v>
      </c>
      <c r="I319" s="10" t="s">
        <v>30</v>
      </c>
      <c r="J319" s="10" t="s">
        <v>48</v>
      </c>
    </row>
    <row r="320" spans="1:10" ht="27" thickBot="1">
      <c r="A320" s="10" t="s">
        <v>21</v>
      </c>
      <c r="B320" s="10" t="s">
        <v>686</v>
      </c>
      <c r="C320" s="10" t="s">
        <v>687</v>
      </c>
      <c r="D320" s="10" t="s">
        <v>688</v>
      </c>
      <c r="E320" s="10" t="s">
        <v>689</v>
      </c>
      <c r="F320" s="10" t="s">
        <v>717</v>
      </c>
      <c r="G320" s="225" t="s">
        <v>718</v>
      </c>
      <c r="H320" s="10" t="s">
        <v>714</v>
      </c>
      <c r="I320" s="10" t="s">
        <v>30</v>
      </c>
      <c r="J320" s="10" t="s">
        <v>48</v>
      </c>
    </row>
    <row r="321" spans="1:10" ht="16" thickBot="1">
      <c r="A321" s="10" t="s">
        <v>21</v>
      </c>
      <c r="B321" s="10" t="s">
        <v>686</v>
      </c>
      <c r="C321" s="10" t="s">
        <v>687</v>
      </c>
      <c r="D321" s="10" t="s">
        <v>688</v>
      </c>
      <c r="E321" s="10" t="s">
        <v>689</v>
      </c>
      <c r="F321" s="10" t="s">
        <v>719</v>
      </c>
      <c r="G321" s="10" t="s">
        <v>720</v>
      </c>
      <c r="H321" s="10" t="s">
        <v>714</v>
      </c>
      <c r="I321" s="10" t="s">
        <v>30</v>
      </c>
      <c r="J321" s="10" t="s">
        <v>31</v>
      </c>
    </row>
    <row r="322" spans="1:10" ht="16" thickBot="1">
      <c r="A322" s="10" t="s">
        <v>21</v>
      </c>
      <c r="B322" s="10" t="s">
        <v>686</v>
      </c>
      <c r="C322" s="10" t="s">
        <v>687</v>
      </c>
      <c r="D322" s="10" t="s">
        <v>688</v>
      </c>
      <c r="E322" s="10" t="s">
        <v>689</v>
      </c>
      <c r="F322" s="10" t="s">
        <v>714</v>
      </c>
      <c r="G322" s="10" t="s">
        <v>721</v>
      </c>
      <c r="H322" s="10" t="s">
        <v>714</v>
      </c>
      <c r="I322" s="10" t="s">
        <v>30</v>
      </c>
      <c r="J322" s="10" t="s">
        <v>33</v>
      </c>
    </row>
    <row r="323" spans="1:10" ht="16" thickBot="1">
      <c r="A323" s="10" t="s">
        <v>21</v>
      </c>
      <c r="B323" s="10" t="s">
        <v>686</v>
      </c>
      <c r="C323" s="10" t="s">
        <v>687</v>
      </c>
      <c r="D323" s="10" t="s">
        <v>688</v>
      </c>
      <c r="E323" s="10" t="s">
        <v>689</v>
      </c>
      <c r="F323" s="10" t="s">
        <v>722</v>
      </c>
      <c r="G323" s="10" t="s">
        <v>723</v>
      </c>
      <c r="H323" s="10" t="s">
        <v>714</v>
      </c>
      <c r="I323" s="10" t="s">
        <v>30</v>
      </c>
      <c r="J323" s="10" t="s">
        <v>36</v>
      </c>
    </row>
    <row r="324" spans="1:10" ht="16" thickBot="1">
      <c r="A324" s="10" t="s">
        <v>21</v>
      </c>
      <c r="B324" s="10" t="s">
        <v>686</v>
      </c>
      <c r="C324" s="10" t="s">
        <v>687</v>
      </c>
      <c r="D324" s="10" t="s">
        <v>688</v>
      </c>
      <c r="E324" s="10" t="s">
        <v>689</v>
      </c>
      <c r="F324" s="10" t="s">
        <v>724</v>
      </c>
      <c r="G324" s="10" t="s">
        <v>725</v>
      </c>
      <c r="H324" s="10" t="s">
        <v>726</v>
      </c>
      <c r="I324" s="10" t="s">
        <v>40</v>
      </c>
      <c r="J324" s="10" t="s">
        <v>31</v>
      </c>
    </row>
    <row r="325" spans="1:10" ht="16" thickBot="1">
      <c r="A325" s="10" t="s">
        <v>21</v>
      </c>
      <c r="B325" s="10" t="s">
        <v>686</v>
      </c>
      <c r="C325" s="10" t="s">
        <v>687</v>
      </c>
      <c r="D325" s="10" t="s">
        <v>688</v>
      </c>
      <c r="E325" s="10" t="s">
        <v>689</v>
      </c>
      <c r="F325" s="10" t="s">
        <v>726</v>
      </c>
      <c r="G325" s="10" t="s">
        <v>727</v>
      </c>
      <c r="H325" s="10" t="s">
        <v>726</v>
      </c>
      <c r="I325" s="10" t="s">
        <v>40</v>
      </c>
      <c r="J325" s="10" t="s">
        <v>33</v>
      </c>
    </row>
    <row r="326" spans="1:10" ht="16" thickBot="1">
      <c r="A326" s="10" t="s">
        <v>21</v>
      </c>
      <c r="B326" s="10" t="s">
        <v>686</v>
      </c>
      <c r="C326" s="10" t="s">
        <v>687</v>
      </c>
      <c r="D326" s="10" t="s">
        <v>688</v>
      </c>
      <c r="E326" s="10" t="s">
        <v>689</v>
      </c>
      <c r="F326" s="10" t="s">
        <v>728</v>
      </c>
      <c r="G326" s="10" t="s">
        <v>729</v>
      </c>
      <c r="H326" s="10" t="s">
        <v>726</v>
      </c>
      <c r="I326" s="10" t="s">
        <v>40</v>
      </c>
      <c r="J326" s="10" t="s">
        <v>36</v>
      </c>
    </row>
    <row r="327" spans="1:10" ht="27" thickBot="1">
      <c r="A327" s="10" t="s">
        <v>21</v>
      </c>
      <c r="B327" s="10" t="s">
        <v>686</v>
      </c>
      <c r="C327" s="10" t="s">
        <v>687</v>
      </c>
      <c r="D327" s="10" t="s">
        <v>688</v>
      </c>
      <c r="E327" s="10" t="s">
        <v>689</v>
      </c>
      <c r="F327" s="10" t="s">
        <v>730</v>
      </c>
      <c r="G327" s="225" t="s">
        <v>731</v>
      </c>
      <c r="H327" s="10" t="s">
        <v>732</v>
      </c>
      <c r="I327" s="10" t="s">
        <v>40</v>
      </c>
      <c r="J327" s="10" t="s">
        <v>48</v>
      </c>
    </row>
    <row r="328" spans="1:10" ht="27" thickBot="1">
      <c r="A328" s="10" t="s">
        <v>21</v>
      </c>
      <c r="B328" s="10" t="s">
        <v>686</v>
      </c>
      <c r="C328" s="10" t="s">
        <v>687</v>
      </c>
      <c r="D328" s="10" t="s">
        <v>688</v>
      </c>
      <c r="E328" s="10" t="s">
        <v>689</v>
      </c>
      <c r="F328" s="10" t="s">
        <v>733</v>
      </c>
      <c r="G328" s="225" t="s">
        <v>734</v>
      </c>
      <c r="H328" s="10" t="s">
        <v>732</v>
      </c>
      <c r="I328" s="10" t="s">
        <v>40</v>
      </c>
      <c r="J328" s="10" t="s">
        <v>48</v>
      </c>
    </row>
    <row r="329" spans="1:10" ht="16" thickBot="1">
      <c r="A329" s="10" t="s">
        <v>21</v>
      </c>
      <c r="B329" s="10" t="s">
        <v>686</v>
      </c>
      <c r="C329" s="10" t="s">
        <v>687</v>
      </c>
      <c r="D329" s="10" t="s">
        <v>688</v>
      </c>
      <c r="E329" s="10" t="s">
        <v>689</v>
      </c>
      <c r="F329" s="10" t="s">
        <v>735</v>
      </c>
      <c r="G329" s="10" t="s">
        <v>736</v>
      </c>
      <c r="H329" s="10" t="s">
        <v>732</v>
      </c>
      <c r="I329" s="10" t="s">
        <v>40</v>
      </c>
      <c r="J329" s="10" t="s">
        <v>31</v>
      </c>
    </row>
    <row r="330" spans="1:10" ht="16" thickBot="1">
      <c r="A330" s="10" t="s">
        <v>21</v>
      </c>
      <c r="B330" s="10" t="s">
        <v>686</v>
      </c>
      <c r="C330" s="10" t="s">
        <v>687</v>
      </c>
      <c r="D330" s="10" t="s">
        <v>688</v>
      </c>
      <c r="E330" s="10" t="s">
        <v>689</v>
      </c>
      <c r="F330" s="10" t="s">
        <v>732</v>
      </c>
      <c r="G330" s="10" t="s">
        <v>737</v>
      </c>
      <c r="H330" s="10" t="s">
        <v>732</v>
      </c>
      <c r="I330" s="10" t="s">
        <v>40</v>
      </c>
      <c r="J330" s="10" t="s">
        <v>33</v>
      </c>
    </row>
    <row r="331" spans="1:10" ht="16" thickBot="1">
      <c r="A331" s="10" t="s">
        <v>21</v>
      </c>
      <c r="B331" s="10" t="s">
        <v>686</v>
      </c>
      <c r="C331" s="10" t="s">
        <v>687</v>
      </c>
      <c r="D331" s="10" t="s">
        <v>688</v>
      </c>
      <c r="E331" s="10" t="s">
        <v>689</v>
      </c>
      <c r="F331" s="10" t="s">
        <v>738</v>
      </c>
      <c r="G331" s="10" t="s">
        <v>739</v>
      </c>
      <c r="H331" s="10" t="s">
        <v>732</v>
      </c>
      <c r="I331" s="10" t="s">
        <v>40</v>
      </c>
      <c r="J331" s="10" t="s">
        <v>36</v>
      </c>
    </row>
    <row r="332" spans="1:10" ht="16" thickBot="1">
      <c r="A332" s="10" t="s">
        <v>21</v>
      </c>
      <c r="B332" s="10" t="s">
        <v>686</v>
      </c>
      <c r="C332" s="10" t="s">
        <v>687</v>
      </c>
      <c r="D332" s="10" t="s">
        <v>688</v>
      </c>
      <c r="E332" s="10" t="s">
        <v>689</v>
      </c>
      <c r="F332" s="10" t="s">
        <v>740</v>
      </c>
      <c r="G332" s="225" t="s">
        <v>741</v>
      </c>
      <c r="H332" s="10" t="s">
        <v>726</v>
      </c>
      <c r="I332" s="10" t="s">
        <v>40</v>
      </c>
      <c r="J332" s="10" t="s">
        <v>48</v>
      </c>
    </row>
    <row r="333" spans="1:10" ht="16" thickBot="1">
      <c r="A333" s="10" t="s">
        <v>21</v>
      </c>
      <c r="B333" s="10" t="s">
        <v>686</v>
      </c>
      <c r="C333" s="10" t="s">
        <v>687</v>
      </c>
      <c r="D333" s="10" t="s">
        <v>688</v>
      </c>
      <c r="E333" s="10" t="s">
        <v>689</v>
      </c>
      <c r="F333" s="10" t="s">
        <v>742</v>
      </c>
      <c r="G333" s="225" t="s">
        <v>743</v>
      </c>
      <c r="H333" s="10" t="s">
        <v>726</v>
      </c>
      <c r="I333" s="10" t="s">
        <v>40</v>
      </c>
      <c r="J333" s="10" t="s">
        <v>48</v>
      </c>
    </row>
    <row r="334" spans="1:10" ht="16" thickBot="1">
      <c r="A334" s="10" t="s">
        <v>21</v>
      </c>
      <c r="B334" s="10" t="s">
        <v>686</v>
      </c>
      <c r="C334" s="10" t="s">
        <v>687</v>
      </c>
      <c r="D334" s="10" t="s">
        <v>688</v>
      </c>
      <c r="E334" s="10" t="s">
        <v>689</v>
      </c>
      <c r="F334" s="10" t="s">
        <v>744</v>
      </c>
      <c r="G334" s="10" t="s">
        <v>745</v>
      </c>
      <c r="H334" s="10" t="s">
        <v>746</v>
      </c>
      <c r="I334" s="10" t="s">
        <v>30</v>
      </c>
      <c r="J334" s="10" t="s">
        <v>31</v>
      </c>
    </row>
    <row r="335" spans="1:10" ht="16" thickBot="1">
      <c r="A335" s="10" t="s">
        <v>21</v>
      </c>
      <c r="B335" s="10" t="s">
        <v>686</v>
      </c>
      <c r="C335" s="10" t="s">
        <v>687</v>
      </c>
      <c r="D335" s="10" t="s">
        <v>688</v>
      </c>
      <c r="E335" s="10" t="s">
        <v>689</v>
      </c>
      <c r="F335" s="10" t="s">
        <v>746</v>
      </c>
      <c r="G335" s="10" t="s">
        <v>747</v>
      </c>
      <c r="H335" s="10" t="s">
        <v>746</v>
      </c>
      <c r="I335" s="10" t="s">
        <v>30</v>
      </c>
      <c r="J335" s="10" t="s">
        <v>33</v>
      </c>
    </row>
    <row r="336" spans="1:10" ht="16" thickBot="1">
      <c r="A336" s="10" t="s">
        <v>21</v>
      </c>
      <c r="B336" s="10" t="s">
        <v>686</v>
      </c>
      <c r="C336" s="10" t="s">
        <v>687</v>
      </c>
      <c r="D336" s="10" t="s">
        <v>688</v>
      </c>
      <c r="E336" s="10" t="s">
        <v>689</v>
      </c>
      <c r="F336" s="10" t="s">
        <v>748</v>
      </c>
      <c r="G336" s="10" t="s">
        <v>749</v>
      </c>
      <c r="H336" s="10" t="s">
        <v>746</v>
      </c>
      <c r="I336" s="10" t="s">
        <v>30</v>
      </c>
      <c r="J336" s="10" t="s">
        <v>36</v>
      </c>
    </row>
    <row r="337" spans="1:10" ht="27" thickBot="1">
      <c r="A337" s="10" t="s">
        <v>21</v>
      </c>
      <c r="B337" s="10" t="s">
        <v>686</v>
      </c>
      <c r="C337" s="10" t="s">
        <v>687</v>
      </c>
      <c r="D337" s="10" t="s">
        <v>688</v>
      </c>
      <c r="E337" s="10" t="s">
        <v>689</v>
      </c>
      <c r="F337" s="10" t="s">
        <v>750</v>
      </c>
      <c r="G337" s="225" t="s">
        <v>751</v>
      </c>
      <c r="H337" s="10" t="s">
        <v>746</v>
      </c>
      <c r="I337" s="10" t="s">
        <v>30</v>
      </c>
      <c r="J337" s="10" t="s">
        <v>48</v>
      </c>
    </row>
    <row r="338" spans="1:10" ht="27" thickBot="1">
      <c r="A338" s="10" t="s">
        <v>21</v>
      </c>
      <c r="B338" s="10" t="s">
        <v>686</v>
      </c>
      <c r="C338" s="10" t="s">
        <v>687</v>
      </c>
      <c r="D338" s="10" t="s">
        <v>688</v>
      </c>
      <c r="E338" s="10" t="s">
        <v>689</v>
      </c>
      <c r="F338" s="10" t="s">
        <v>752</v>
      </c>
      <c r="G338" s="225" t="s">
        <v>753</v>
      </c>
      <c r="H338" s="10" t="s">
        <v>746</v>
      </c>
      <c r="I338" s="10" t="s">
        <v>30</v>
      </c>
      <c r="J338" s="10" t="s">
        <v>48</v>
      </c>
    </row>
    <row r="339" spans="1:10" ht="27" thickBot="1">
      <c r="A339" s="10" t="s">
        <v>21</v>
      </c>
      <c r="B339" s="10" t="s">
        <v>686</v>
      </c>
      <c r="C339" s="10" t="s">
        <v>687</v>
      </c>
      <c r="D339" s="10" t="s">
        <v>688</v>
      </c>
      <c r="E339" s="10" t="s">
        <v>689</v>
      </c>
      <c r="F339" s="10" t="s">
        <v>754</v>
      </c>
      <c r="G339" s="225" t="s">
        <v>755</v>
      </c>
      <c r="H339" s="10" t="s">
        <v>746</v>
      </c>
      <c r="I339" s="10" t="s">
        <v>30</v>
      </c>
      <c r="J339" s="10" t="s">
        <v>48</v>
      </c>
    </row>
    <row r="340" spans="1:10" ht="16" thickBot="1">
      <c r="A340" s="10" t="s">
        <v>21</v>
      </c>
      <c r="B340" s="10" t="s">
        <v>686</v>
      </c>
      <c r="C340" s="10" t="s">
        <v>687</v>
      </c>
      <c r="D340" s="10" t="s">
        <v>688</v>
      </c>
      <c r="E340" s="10" t="s">
        <v>689</v>
      </c>
      <c r="F340" s="10" t="s">
        <v>756</v>
      </c>
      <c r="G340" s="10" t="s">
        <v>757</v>
      </c>
      <c r="H340" s="10" t="s">
        <v>758</v>
      </c>
      <c r="I340" s="10" t="s">
        <v>30</v>
      </c>
      <c r="J340" s="10" t="s">
        <v>31</v>
      </c>
    </row>
    <row r="341" spans="1:10" ht="16" thickBot="1">
      <c r="A341" s="10" t="s">
        <v>21</v>
      </c>
      <c r="B341" s="10" t="s">
        <v>686</v>
      </c>
      <c r="C341" s="10" t="s">
        <v>687</v>
      </c>
      <c r="D341" s="10" t="s">
        <v>688</v>
      </c>
      <c r="E341" s="10" t="s">
        <v>689</v>
      </c>
      <c r="F341" s="10" t="s">
        <v>758</v>
      </c>
      <c r="G341" s="10" t="s">
        <v>759</v>
      </c>
      <c r="H341" s="10" t="s">
        <v>758</v>
      </c>
      <c r="I341" s="10" t="s">
        <v>30</v>
      </c>
      <c r="J341" s="10" t="s">
        <v>33</v>
      </c>
    </row>
    <row r="342" spans="1:10" ht="16" thickBot="1">
      <c r="A342" s="10" t="s">
        <v>21</v>
      </c>
      <c r="B342" s="10" t="s">
        <v>686</v>
      </c>
      <c r="C342" s="10" t="s">
        <v>687</v>
      </c>
      <c r="D342" s="10" t="s">
        <v>688</v>
      </c>
      <c r="E342" s="10" t="s">
        <v>689</v>
      </c>
      <c r="F342" s="10" t="s">
        <v>760</v>
      </c>
      <c r="G342" s="10" t="s">
        <v>761</v>
      </c>
      <c r="H342" s="10" t="s">
        <v>758</v>
      </c>
      <c r="I342" s="10" t="s">
        <v>30</v>
      </c>
      <c r="J342" s="10" t="s">
        <v>36</v>
      </c>
    </row>
    <row r="343" spans="1:10" ht="27" thickBot="1">
      <c r="A343" s="10" t="s">
        <v>21</v>
      </c>
      <c r="B343" s="10" t="s">
        <v>686</v>
      </c>
      <c r="C343" s="10" t="s">
        <v>687</v>
      </c>
      <c r="D343" s="10" t="s">
        <v>688</v>
      </c>
      <c r="E343" s="10" t="s">
        <v>689</v>
      </c>
      <c r="F343" s="10" t="s">
        <v>762</v>
      </c>
      <c r="G343" s="225" t="s">
        <v>763</v>
      </c>
      <c r="H343" s="10" t="s">
        <v>764</v>
      </c>
      <c r="I343" s="10" t="s">
        <v>30</v>
      </c>
      <c r="J343" s="10" t="s">
        <v>48</v>
      </c>
    </row>
    <row r="344" spans="1:10" ht="16" thickBot="1">
      <c r="A344" s="10" t="s">
        <v>21</v>
      </c>
      <c r="B344" s="10" t="s">
        <v>686</v>
      </c>
      <c r="C344" s="10" t="s">
        <v>687</v>
      </c>
      <c r="D344" s="10" t="s">
        <v>688</v>
      </c>
      <c r="E344" s="10" t="s">
        <v>689</v>
      </c>
      <c r="F344" s="10" t="s">
        <v>765</v>
      </c>
      <c r="G344" s="10" t="s">
        <v>766</v>
      </c>
      <c r="H344" s="10" t="s">
        <v>764</v>
      </c>
      <c r="I344" s="10" t="s">
        <v>30</v>
      </c>
      <c r="J344" s="10" t="s">
        <v>31</v>
      </c>
    </row>
    <row r="345" spans="1:10" ht="16" thickBot="1">
      <c r="A345" s="10" t="s">
        <v>21</v>
      </c>
      <c r="B345" s="10" t="s">
        <v>686</v>
      </c>
      <c r="C345" s="10" t="s">
        <v>687</v>
      </c>
      <c r="D345" s="10" t="s">
        <v>688</v>
      </c>
      <c r="E345" s="10" t="s">
        <v>689</v>
      </c>
      <c r="F345" s="10" t="s">
        <v>764</v>
      </c>
      <c r="G345" s="10" t="s">
        <v>767</v>
      </c>
      <c r="H345" s="10" t="s">
        <v>764</v>
      </c>
      <c r="I345" s="10" t="s">
        <v>30</v>
      </c>
      <c r="J345" s="10" t="s">
        <v>33</v>
      </c>
    </row>
    <row r="346" spans="1:10" ht="16" thickBot="1">
      <c r="A346" s="10" t="s">
        <v>21</v>
      </c>
      <c r="B346" s="10" t="s">
        <v>686</v>
      </c>
      <c r="C346" s="10" t="s">
        <v>687</v>
      </c>
      <c r="D346" s="10" t="s">
        <v>688</v>
      </c>
      <c r="E346" s="10" t="s">
        <v>689</v>
      </c>
      <c r="F346" s="10" t="s">
        <v>768</v>
      </c>
      <c r="G346" s="10" t="s">
        <v>769</v>
      </c>
      <c r="H346" s="10" t="s">
        <v>764</v>
      </c>
      <c r="I346" s="10" t="s">
        <v>30</v>
      </c>
      <c r="J346" s="10" t="s">
        <v>36</v>
      </c>
    </row>
    <row r="347" spans="1:10" ht="27" thickBot="1">
      <c r="A347" s="10" t="s">
        <v>21</v>
      </c>
      <c r="B347" s="10" t="s">
        <v>686</v>
      </c>
      <c r="C347" s="10" t="s">
        <v>687</v>
      </c>
      <c r="D347" s="10" t="s">
        <v>688</v>
      </c>
      <c r="E347" s="10" t="s">
        <v>689</v>
      </c>
      <c r="F347" s="10" t="s">
        <v>770</v>
      </c>
      <c r="G347" s="225" t="s">
        <v>771</v>
      </c>
      <c r="H347" s="10" t="s">
        <v>772</v>
      </c>
      <c r="I347" s="10" t="s">
        <v>30</v>
      </c>
      <c r="J347" s="10" t="s">
        <v>48</v>
      </c>
    </row>
    <row r="348" spans="1:10" ht="16" thickBot="1">
      <c r="A348" s="10" t="s">
        <v>21</v>
      </c>
      <c r="B348" s="10" t="s">
        <v>686</v>
      </c>
      <c r="C348" s="10" t="s">
        <v>687</v>
      </c>
      <c r="D348" s="10" t="s">
        <v>688</v>
      </c>
      <c r="E348" s="10" t="s">
        <v>689</v>
      </c>
      <c r="F348" s="10" t="s">
        <v>773</v>
      </c>
      <c r="G348" s="10" t="s">
        <v>774</v>
      </c>
      <c r="H348" s="10" t="s">
        <v>772</v>
      </c>
      <c r="I348" s="10" t="s">
        <v>30</v>
      </c>
      <c r="J348" s="10" t="s">
        <v>31</v>
      </c>
    </row>
    <row r="349" spans="1:10" ht="16" thickBot="1">
      <c r="A349" s="10" t="s">
        <v>21</v>
      </c>
      <c r="B349" s="10" t="s">
        <v>686</v>
      </c>
      <c r="C349" s="10" t="s">
        <v>687</v>
      </c>
      <c r="D349" s="10" t="s">
        <v>688</v>
      </c>
      <c r="E349" s="10" t="s">
        <v>689</v>
      </c>
      <c r="F349" s="10" t="s">
        <v>772</v>
      </c>
      <c r="G349" s="10" t="s">
        <v>775</v>
      </c>
      <c r="H349" s="10" t="s">
        <v>772</v>
      </c>
      <c r="I349" s="10" t="s">
        <v>30</v>
      </c>
      <c r="J349" s="10" t="s">
        <v>33</v>
      </c>
    </row>
    <row r="350" spans="1:10" ht="16" thickBot="1">
      <c r="A350" s="10" t="s">
        <v>21</v>
      </c>
      <c r="B350" s="10" t="s">
        <v>686</v>
      </c>
      <c r="C350" s="10" t="s">
        <v>687</v>
      </c>
      <c r="D350" s="10" t="s">
        <v>688</v>
      </c>
      <c r="E350" s="10" t="s">
        <v>689</v>
      </c>
      <c r="F350" s="10" t="s">
        <v>776</v>
      </c>
      <c r="G350" s="10" t="s">
        <v>777</v>
      </c>
      <c r="H350" s="10" t="s">
        <v>772</v>
      </c>
      <c r="I350" s="10" t="s">
        <v>30</v>
      </c>
      <c r="J350" s="10" t="s">
        <v>36</v>
      </c>
    </row>
    <row r="351" spans="1:10" ht="16" thickBot="1">
      <c r="A351" s="10" t="s">
        <v>21</v>
      </c>
      <c r="B351" s="10" t="s">
        <v>778</v>
      </c>
      <c r="C351" s="10" t="s">
        <v>779</v>
      </c>
      <c r="D351" s="10" t="s">
        <v>780</v>
      </c>
      <c r="E351" s="10" t="s">
        <v>781</v>
      </c>
      <c r="F351" s="10" t="s">
        <v>782</v>
      </c>
      <c r="G351" s="10" t="s">
        <v>783</v>
      </c>
      <c r="H351" s="10" t="s">
        <v>784</v>
      </c>
      <c r="I351" s="10" t="s">
        <v>30</v>
      </c>
      <c r="J351" s="10" t="s">
        <v>31</v>
      </c>
    </row>
    <row r="352" spans="1:10" ht="16" thickBot="1">
      <c r="A352" s="10" t="s">
        <v>21</v>
      </c>
      <c r="B352" s="10" t="s">
        <v>778</v>
      </c>
      <c r="C352" s="10" t="s">
        <v>779</v>
      </c>
      <c r="D352" s="10" t="s">
        <v>780</v>
      </c>
      <c r="E352" s="10" t="s">
        <v>781</v>
      </c>
      <c r="F352" s="10" t="s">
        <v>784</v>
      </c>
      <c r="G352" s="10" t="s">
        <v>785</v>
      </c>
      <c r="H352" s="10" t="s">
        <v>784</v>
      </c>
      <c r="I352" s="10" t="s">
        <v>30</v>
      </c>
      <c r="J352" s="10" t="s">
        <v>33</v>
      </c>
    </row>
    <row r="353" spans="1:10" ht="29.25" customHeight="1" thickBot="1">
      <c r="A353" s="10" t="s">
        <v>21</v>
      </c>
      <c r="B353" s="10" t="s">
        <v>778</v>
      </c>
      <c r="C353" s="10" t="s">
        <v>779</v>
      </c>
      <c r="D353" s="10" t="s">
        <v>780</v>
      </c>
      <c r="E353" s="10" t="s">
        <v>781</v>
      </c>
      <c r="F353" s="10" t="s">
        <v>786</v>
      </c>
      <c r="G353" s="10" t="s">
        <v>787</v>
      </c>
      <c r="H353" s="10" t="s">
        <v>784</v>
      </c>
      <c r="I353" s="10" t="s">
        <v>30</v>
      </c>
      <c r="J353" s="10" t="s">
        <v>36</v>
      </c>
    </row>
    <row r="354" spans="1:10" ht="16" thickBot="1">
      <c r="A354" s="10" t="s">
        <v>21</v>
      </c>
      <c r="B354" s="10" t="s">
        <v>778</v>
      </c>
      <c r="C354" s="10" t="s">
        <v>779</v>
      </c>
      <c r="D354" s="10" t="s">
        <v>780</v>
      </c>
      <c r="E354" s="10" t="s">
        <v>781</v>
      </c>
      <c r="F354" s="10" t="s">
        <v>788</v>
      </c>
      <c r="G354" s="10" t="s">
        <v>789</v>
      </c>
      <c r="H354" s="10" t="s">
        <v>790</v>
      </c>
      <c r="I354" s="10" t="s">
        <v>40</v>
      </c>
      <c r="J354" s="10" t="s">
        <v>31</v>
      </c>
    </row>
    <row r="355" spans="1:10" ht="16" thickBot="1">
      <c r="A355" s="10" t="s">
        <v>21</v>
      </c>
      <c r="B355" s="10" t="s">
        <v>778</v>
      </c>
      <c r="C355" s="10" t="s">
        <v>779</v>
      </c>
      <c r="D355" s="10" t="s">
        <v>780</v>
      </c>
      <c r="E355" s="10" t="s">
        <v>781</v>
      </c>
      <c r="F355" s="10" t="s">
        <v>790</v>
      </c>
      <c r="G355" s="10" t="s">
        <v>791</v>
      </c>
      <c r="H355" s="10" t="s">
        <v>790</v>
      </c>
      <c r="I355" s="10" t="s">
        <v>40</v>
      </c>
      <c r="J355" s="10" t="s">
        <v>33</v>
      </c>
    </row>
    <row r="356" spans="1:10" ht="16" thickBot="1">
      <c r="A356" s="10" t="s">
        <v>21</v>
      </c>
      <c r="B356" s="10" t="s">
        <v>778</v>
      </c>
      <c r="C356" s="10" t="s">
        <v>779</v>
      </c>
      <c r="D356" s="10" t="s">
        <v>780</v>
      </c>
      <c r="E356" s="10" t="s">
        <v>781</v>
      </c>
      <c r="F356" s="10" t="s">
        <v>792</v>
      </c>
      <c r="G356" s="10" t="s">
        <v>793</v>
      </c>
      <c r="H356" s="10" t="s">
        <v>790</v>
      </c>
      <c r="I356" s="10" t="s">
        <v>40</v>
      </c>
      <c r="J356" s="10" t="s">
        <v>36</v>
      </c>
    </row>
    <row r="357" spans="1:10" ht="16" thickBot="1">
      <c r="A357" s="10" t="s">
        <v>21</v>
      </c>
      <c r="B357" s="10" t="s">
        <v>778</v>
      </c>
      <c r="C357" s="10" t="s">
        <v>779</v>
      </c>
      <c r="D357" s="10" t="s">
        <v>780</v>
      </c>
      <c r="E357" s="10" t="s">
        <v>781</v>
      </c>
      <c r="F357" s="10" t="s">
        <v>794</v>
      </c>
      <c r="G357" s="10" t="s">
        <v>795</v>
      </c>
      <c r="H357" s="10" t="s">
        <v>796</v>
      </c>
      <c r="I357" s="10" t="s">
        <v>40</v>
      </c>
      <c r="J357" s="10" t="s">
        <v>31</v>
      </c>
    </row>
    <row r="358" spans="1:10" ht="16" thickBot="1">
      <c r="A358" s="10" t="s">
        <v>21</v>
      </c>
      <c r="B358" s="10" t="s">
        <v>778</v>
      </c>
      <c r="C358" s="10" t="s">
        <v>779</v>
      </c>
      <c r="D358" s="10" t="s">
        <v>780</v>
      </c>
      <c r="E358" s="10" t="s">
        <v>781</v>
      </c>
      <c r="F358" s="10" t="s">
        <v>796</v>
      </c>
      <c r="G358" s="10" t="s">
        <v>797</v>
      </c>
      <c r="H358" s="10" t="s">
        <v>796</v>
      </c>
      <c r="I358" s="10" t="s">
        <v>40</v>
      </c>
      <c r="J358" s="10" t="s">
        <v>33</v>
      </c>
    </row>
    <row r="359" spans="1:10" ht="16" thickBot="1">
      <c r="A359" s="10" t="s">
        <v>21</v>
      </c>
      <c r="B359" s="10" t="s">
        <v>778</v>
      </c>
      <c r="C359" s="10" t="s">
        <v>779</v>
      </c>
      <c r="D359" s="10" t="s">
        <v>780</v>
      </c>
      <c r="E359" s="10" t="s">
        <v>781</v>
      </c>
      <c r="F359" s="10" t="s">
        <v>798</v>
      </c>
      <c r="G359" s="10" t="s">
        <v>799</v>
      </c>
      <c r="H359" s="10" t="s">
        <v>796</v>
      </c>
      <c r="I359" s="10" t="s">
        <v>40</v>
      </c>
      <c r="J359" s="10" t="s">
        <v>36</v>
      </c>
    </row>
    <row r="360" spans="1:10" ht="27" thickBot="1">
      <c r="A360" s="10" t="s">
        <v>21</v>
      </c>
      <c r="B360" s="10" t="s">
        <v>778</v>
      </c>
      <c r="C360" s="10" t="s">
        <v>779</v>
      </c>
      <c r="D360" s="10" t="s">
        <v>780</v>
      </c>
      <c r="E360" s="10" t="s">
        <v>781</v>
      </c>
      <c r="F360" s="10" t="s">
        <v>800</v>
      </c>
      <c r="G360" s="225" t="s">
        <v>801</v>
      </c>
      <c r="H360" s="10" t="s">
        <v>796</v>
      </c>
      <c r="I360" s="10" t="s">
        <v>40</v>
      </c>
      <c r="J360" s="10" t="s">
        <v>48</v>
      </c>
    </row>
    <row r="361" spans="1:10" ht="27" thickBot="1">
      <c r="A361" s="10" t="s">
        <v>21</v>
      </c>
      <c r="B361" s="10" t="s">
        <v>778</v>
      </c>
      <c r="C361" s="10" t="s">
        <v>779</v>
      </c>
      <c r="D361" s="10" t="s">
        <v>780</v>
      </c>
      <c r="E361" s="10" t="s">
        <v>781</v>
      </c>
      <c r="F361" s="10" t="s">
        <v>802</v>
      </c>
      <c r="G361" s="225" t="s">
        <v>803</v>
      </c>
      <c r="H361" s="10" t="s">
        <v>790</v>
      </c>
      <c r="I361" s="10" t="s">
        <v>40</v>
      </c>
      <c r="J361" s="10" t="s">
        <v>48</v>
      </c>
    </row>
    <row r="362" spans="1:10" ht="27" thickBot="1">
      <c r="A362" s="10" t="s">
        <v>21</v>
      </c>
      <c r="B362" s="10" t="s">
        <v>778</v>
      </c>
      <c r="C362" s="10" t="s">
        <v>779</v>
      </c>
      <c r="D362" s="10" t="s">
        <v>780</v>
      </c>
      <c r="E362" s="10" t="s">
        <v>781</v>
      </c>
      <c r="F362" s="10" t="s">
        <v>804</v>
      </c>
      <c r="G362" s="225" t="s">
        <v>805</v>
      </c>
      <c r="H362" s="10" t="s">
        <v>806</v>
      </c>
      <c r="I362" s="10" t="s">
        <v>30</v>
      </c>
      <c r="J362" s="10" t="s">
        <v>48</v>
      </c>
    </row>
    <row r="363" spans="1:10" ht="27" thickBot="1">
      <c r="A363" s="10" t="s">
        <v>21</v>
      </c>
      <c r="B363" s="10" t="s">
        <v>778</v>
      </c>
      <c r="C363" s="10" t="s">
        <v>779</v>
      </c>
      <c r="D363" s="10" t="s">
        <v>780</v>
      </c>
      <c r="E363" s="10" t="s">
        <v>781</v>
      </c>
      <c r="F363" s="10" t="s">
        <v>807</v>
      </c>
      <c r="G363" s="225" t="s">
        <v>808</v>
      </c>
      <c r="H363" s="10" t="s">
        <v>806</v>
      </c>
      <c r="I363" s="10" t="s">
        <v>30</v>
      </c>
      <c r="J363" s="10" t="s">
        <v>48</v>
      </c>
    </row>
    <row r="364" spans="1:10" ht="27" thickBot="1">
      <c r="A364" s="10" t="s">
        <v>21</v>
      </c>
      <c r="B364" s="10" t="s">
        <v>778</v>
      </c>
      <c r="C364" s="10" t="s">
        <v>779</v>
      </c>
      <c r="D364" s="10" t="s">
        <v>780</v>
      </c>
      <c r="E364" s="10" t="s">
        <v>781</v>
      </c>
      <c r="F364" s="10" t="s">
        <v>809</v>
      </c>
      <c r="G364" s="225" t="s">
        <v>810</v>
      </c>
      <c r="H364" s="10" t="s">
        <v>806</v>
      </c>
      <c r="I364" s="10" t="s">
        <v>30</v>
      </c>
      <c r="J364" s="10" t="s">
        <v>48</v>
      </c>
    </row>
    <row r="365" spans="1:10" ht="16" thickBot="1">
      <c r="A365" s="10" t="s">
        <v>21</v>
      </c>
      <c r="B365" s="10" t="s">
        <v>778</v>
      </c>
      <c r="C365" s="10" t="s">
        <v>779</v>
      </c>
      <c r="D365" s="10" t="s">
        <v>780</v>
      </c>
      <c r="E365" s="10" t="s">
        <v>781</v>
      </c>
      <c r="F365" s="10" t="s">
        <v>811</v>
      </c>
      <c r="G365" s="10" t="s">
        <v>812</v>
      </c>
      <c r="H365" s="10" t="s">
        <v>806</v>
      </c>
      <c r="I365" s="10" t="s">
        <v>30</v>
      </c>
      <c r="J365" s="10" t="s">
        <v>31</v>
      </c>
    </row>
    <row r="366" spans="1:10" ht="16" thickBot="1">
      <c r="A366" s="10" t="s">
        <v>21</v>
      </c>
      <c r="B366" s="10" t="s">
        <v>778</v>
      </c>
      <c r="C366" s="10" t="s">
        <v>779</v>
      </c>
      <c r="D366" s="10" t="s">
        <v>780</v>
      </c>
      <c r="E366" s="10" t="s">
        <v>781</v>
      </c>
      <c r="F366" s="10" t="s">
        <v>806</v>
      </c>
      <c r="G366" s="10" t="s">
        <v>813</v>
      </c>
      <c r="H366" s="10" t="s">
        <v>806</v>
      </c>
      <c r="I366" s="10" t="s">
        <v>30</v>
      </c>
      <c r="J366" s="10" t="s">
        <v>33</v>
      </c>
    </row>
    <row r="367" spans="1:10" ht="16" thickBot="1">
      <c r="A367" s="10" t="s">
        <v>21</v>
      </c>
      <c r="B367" s="10" t="s">
        <v>778</v>
      </c>
      <c r="C367" s="10" t="s">
        <v>779</v>
      </c>
      <c r="D367" s="10" t="s">
        <v>780</v>
      </c>
      <c r="E367" s="10" t="s">
        <v>781</v>
      </c>
      <c r="F367" s="10" t="s">
        <v>814</v>
      </c>
      <c r="G367" s="10" t="s">
        <v>815</v>
      </c>
      <c r="H367" s="10" t="s">
        <v>806</v>
      </c>
      <c r="I367" s="10" t="s">
        <v>30</v>
      </c>
      <c r="J367" s="10" t="s">
        <v>36</v>
      </c>
    </row>
    <row r="368" spans="1:10" ht="29.25" customHeight="1" thickBot="1">
      <c r="A368" s="10" t="s">
        <v>21</v>
      </c>
      <c r="B368" s="10" t="s">
        <v>778</v>
      </c>
      <c r="C368" s="10" t="s">
        <v>779</v>
      </c>
      <c r="D368" s="10" t="s">
        <v>780</v>
      </c>
      <c r="E368" s="10" t="s">
        <v>781</v>
      </c>
      <c r="F368" s="10" t="s">
        <v>816</v>
      </c>
      <c r="G368" s="10" t="s">
        <v>817</v>
      </c>
      <c r="H368" s="10" t="s">
        <v>818</v>
      </c>
      <c r="I368" s="10" t="s">
        <v>40</v>
      </c>
      <c r="J368" s="10" t="s">
        <v>31</v>
      </c>
    </row>
    <row r="369" spans="1:10" ht="16" thickBot="1">
      <c r="A369" s="10" t="s">
        <v>21</v>
      </c>
      <c r="B369" s="10" t="s">
        <v>778</v>
      </c>
      <c r="C369" s="10" t="s">
        <v>779</v>
      </c>
      <c r="D369" s="10" t="s">
        <v>780</v>
      </c>
      <c r="E369" s="10" t="s">
        <v>781</v>
      </c>
      <c r="F369" s="10" t="s">
        <v>818</v>
      </c>
      <c r="G369" s="10" t="s">
        <v>819</v>
      </c>
      <c r="H369" s="10" t="s">
        <v>818</v>
      </c>
      <c r="I369" s="10" t="s">
        <v>40</v>
      </c>
      <c r="J369" s="10" t="s">
        <v>33</v>
      </c>
    </row>
    <row r="370" spans="1:10" ht="16" thickBot="1">
      <c r="A370" s="10" t="s">
        <v>21</v>
      </c>
      <c r="B370" s="10" t="s">
        <v>778</v>
      </c>
      <c r="C370" s="10" t="s">
        <v>779</v>
      </c>
      <c r="D370" s="10" t="s">
        <v>780</v>
      </c>
      <c r="E370" s="10" t="s">
        <v>781</v>
      </c>
      <c r="F370" s="10" t="s">
        <v>820</v>
      </c>
      <c r="G370" s="10" t="s">
        <v>821</v>
      </c>
      <c r="H370" s="10" t="s">
        <v>818</v>
      </c>
      <c r="I370" s="10" t="s">
        <v>40</v>
      </c>
      <c r="J370" s="10" t="s">
        <v>36</v>
      </c>
    </row>
    <row r="371" spans="1:10" ht="16" thickBot="1">
      <c r="A371" s="10" t="s">
        <v>21</v>
      </c>
      <c r="B371" s="10" t="s">
        <v>778</v>
      </c>
      <c r="C371" s="10" t="s">
        <v>779</v>
      </c>
      <c r="D371" s="10" t="s">
        <v>780</v>
      </c>
      <c r="E371" s="10" t="s">
        <v>781</v>
      </c>
      <c r="F371" s="10" t="s">
        <v>822</v>
      </c>
      <c r="G371" s="10" t="s">
        <v>823</v>
      </c>
      <c r="H371" s="10" t="s">
        <v>824</v>
      </c>
      <c r="I371" s="10" t="s">
        <v>40</v>
      </c>
      <c r="J371" s="10" t="s">
        <v>31</v>
      </c>
    </row>
    <row r="372" spans="1:10" ht="16" thickBot="1">
      <c r="A372" s="10" t="s">
        <v>21</v>
      </c>
      <c r="B372" s="10" t="s">
        <v>778</v>
      </c>
      <c r="C372" s="10" t="s">
        <v>779</v>
      </c>
      <c r="D372" s="10" t="s">
        <v>780</v>
      </c>
      <c r="E372" s="10" t="s">
        <v>781</v>
      </c>
      <c r="F372" s="10" t="s">
        <v>824</v>
      </c>
      <c r="G372" s="10" t="s">
        <v>825</v>
      </c>
      <c r="H372" s="10" t="s">
        <v>824</v>
      </c>
      <c r="I372" s="10" t="s">
        <v>40</v>
      </c>
      <c r="J372" s="10" t="s">
        <v>33</v>
      </c>
    </row>
    <row r="373" spans="1:10" ht="16" thickBot="1">
      <c r="A373" s="10" t="s">
        <v>21</v>
      </c>
      <c r="B373" s="10" t="s">
        <v>778</v>
      </c>
      <c r="C373" s="10" t="s">
        <v>779</v>
      </c>
      <c r="D373" s="10" t="s">
        <v>780</v>
      </c>
      <c r="E373" s="10" t="s">
        <v>781</v>
      </c>
      <c r="F373" s="10" t="s">
        <v>826</v>
      </c>
      <c r="G373" s="10" t="s">
        <v>827</v>
      </c>
      <c r="H373" s="10" t="s">
        <v>824</v>
      </c>
      <c r="I373" s="10" t="s">
        <v>40</v>
      </c>
      <c r="J373" s="10" t="s">
        <v>36</v>
      </c>
    </row>
    <row r="374" spans="1:10" ht="27" thickBot="1">
      <c r="A374" s="10" t="s">
        <v>21</v>
      </c>
      <c r="B374" s="10" t="s">
        <v>778</v>
      </c>
      <c r="C374" s="10" t="s">
        <v>779</v>
      </c>
      <c r="D374" s="10" t="s">
        <v>780</v>
      </c>
      <c r="E374" s="10" t="s">
        <v>781</v>
      </c>
      <c r="F374" s="10" t="s">
        <v>828</v>
      </c>
      <c r="G374" s="225" t="s">
        <v>829</v>
      </c>
      <c r="H374" s="10" t="s">
        <v>824</v>
      </c>
      <c r="I374" s="10" t="s">
        <v>40</v>
      </c>
      <c r="J374" s="10" t="s">
        <v>48</v>
      </c>
    </row>
    <row r="375" spans="1:10" ht="27" thickBot="1">
      <c r="A375" s="10" t="s">
        <v>21</v>
      </c>
      <c r="B375" s="10" t="s">
        <v>778</v>
      </c>
      <c r="C375" s="10" t="s">
        <v>779</v>
      </c>
      <c r="D375" s="10" t="s">
        <v>780</v>
      </c>
      <c r="E375" s="10" t="s">
        <v>781</v>
      </c>
      <c r="F375" s="10" t="s">
        <v>830</v>
      </c>
      <c r="G375" s="225" t="s">
        <v>831</v>
      </c>
      <c r="H375" s="10" t="s">
        <v>824</v>
      </c>
      <c r="I375" s="10" t="s">
        <v>40</v>
      </c>
      <c r="J375" s="10" t="s">
        <v>48</v>
      </c>
    </row>
    <row r="376" spans="1:10" ht="27" thickBot="1">
      <c r="A376" s="10" t="s">
        <v>21</v>
      </c>
      <c r="B376" s="10" t="s">
        <v>778</v>
      </c>
      <c r="C376" s="10" t="s">
        <v>779</v>
      </c>
      <c r="D376" s="10" t="s">
        <v>780</v>
      </c>
      <c r="E376" s="10" t="s">
        <v>781</v>
      </c>
      <c r="F376" s="10" t="s">
        <v>832</v>
      </c>
      <c r="G376" s="225" t="s">
        <v>833</v>
      </c>
      <c r="H376" s="10" t="s">
        <v>818</v>
      </c>
      <c r="I376" s="10" t="s">
        <v>40</v>
      </c>
      <c r="J376" s="10" t="s">
        <v>48</v>
      </c>
    </row>
    <row r="377" spans="1:10" ht="27" thickBot="1">
      <c r="A377" s="10" t="s">
        <v>21</v>
      </c>
      <c r="B377" s="10" t="s">
        <v>778</v>
      </c>
      <c r="C377" s="10" t="s">
        <v>779</v>
      </c>
      <c r="D377" s="10" t="s">
        <v>780</v>
      </c>
      <c r="E377" s="10" t="s">
        <v>781</v>
      </c>
      <c r="F377" s="10" t="s">
        <v>834</v>
      </c>
      <c r="G377" s="225" t="s">
        <v>835</v>
      </c>
      <c r="H377" s="10" t="s">
        <v>818</v>
      </c>
      <c r="I377" s="10" t="s">
        <v>40</v>
      </c>
      <c r="J377" s="10" t="s">
        <v>48</v>
      </c>
    </row>
    <row r="378" spans="1:10" ht="16" thickBot="1">
      <c r="A378" s="10" t="s">
        <v>21</v>
      </c>
      <c r="B378" s="10" t="s">
        <v>778</v>
      </c>
      <c r="C378" s="10" t="s">
        <v>779</v>
      </c>
      <c r="D378" s="10" t="s">
        <v>780</v>
      </c>
      <c r="E378" s="10" t="s">
        <v>781</v>
      </c>
      <c r="F378" s="10" t="s">
        <v>836</v>
      </c>
      <c r="G378" s="10" t="s">
        <v>837</v>
      </c>
      <c r="H378" s="10" t="s">
        <v>838</v>
      </c>
      <c r="I378" s="10" t="s">
        <v>30</v>
      </c>
      <c r="J378" s="10" t="s">
        <v>31</v>
      </c>
    </row>
    <row r="379" spans="1:10" ht="16" thickBot="1">
      <c r="A379" s="10" t="s">
        <v>21</v>
      </c>
      <c r="B379" s="10" t="s">
        <v>778</v>
      </c>
      <c r="C379" s="10" t="s">
        <v>779</v>
      </c>
      <c r="D379" s="10" t="s">
        <v>780</v>
      </c>
      <c r="E379" s="10" t="s">
        <v>781</v>
      </c>
      <c r="F379" s="10" t="s">
        <v>838</v>
      </c>
      <c r="G379" s="10" t="s">
        <v>839</v>
      </c>
      <c r="H379" s="10" t="s">
        <v>838</v>
      </c>
      <c r="I379" s="10" t="s">
        <v>30</v>
      </c>
      <c r="J379" s="10" t="s">
        <v>33</v>
      </c>
    </row>
    <row r="380" spans="1:10" ht="29.25" customHeight="1" thickBot="1">
      <c r="A380" s="10" t="s">
        <v>21</v>
      </c>
      <c r="B380" s="10" t="s">
        <v>778</v>
      </c>
      <c r="C380" s="10" t="s">
        <v>779</v>
      </c>
      <c r="D380" s="10" t="s">
        <v>780</v>
      </c>
      <c r="E380" s="10" t="s">
        <v>781</v>
      </c>
      <c r="F380" s="10" t="s">
        <v>840</v>
      </c>
      <c r="G380" s="10" t="s">
        <v>841</v>
      </c>
      <c r="H380" s="10" t="s">
        <v>838</v>
      </c>
      <c r="I380" s="10" t="s">
        <v>30</v>
      </c>
      <c r="J380" s="10" t="s">
        <v>36</v>
      </c>
    </row>
    <row r="381" spans="1:10" ht="27" thickBot="1">
      <c r="A381" s="10" t="s">
        <v>21</v>
      </c>
      <c r="B381" s="10" t="s">
        <v>778</v>
      </c>
      <c r="C381" s="10" t="s">
        <v>779</v>
      </c>
      <c r="D381" s="10" t="s">
        <v>780</v>
      </c>
      <c r="E381" s="10" t="s">
        <v>781</v>
      </c>
      <c r="F381" s="10" t="s">
        <v>842</v>
      </c>
      <c r="G381" s="225" t="s">
        <v>843</v>
      </c>
      <c r="H381" s="10" t="s">
        <v>844</v>
      </c>
      <c r="I381" s="10" t="s">
        <v>30</v>
      </c>
      <c r="J381" s="10" t="s">
        <v>48</v>
      </c>
    </row>
    <row r="382" spans="1:10" ht="27" thickBot="1">
      <c r="A382" s="10" t="s">
        <v>21</v>
      </c>
      <c r="B382" s="10" t="s">
        <v>778</v>
      </c>
      <c r="C382" s="10" t="s">
        <v>779</v>
      </c>
      <c r="D382" s="10" t="s">
        <v>780</v>
      </c>
      <c r="E382" s="10" t="s">
        <v>781</v>
      </c>
      <c r="F382" s="10" t="s">
        <v>845</v>
      </c>
      <c r="G382" s="225" t="s">
        <v>846</v>
      </c>
      <c r="H382" s="10" t="s">
        <v>844</v>
      </c>
      <c r="I382" s="10" t="s">
        <v>30</v>
      </c>
      <c r="J382" s="10" t="s">
        <v>48</v>
      </c>
    </row>
    <row r="383" spans="1:10" ht="27" thickBot="1">
      <c r="A383" s="10" t="s">
        <v>21</v>
      </c>
      <c r="B383" s="10" t="s">
        <v>778</v>
      </c>
      <c r="C383" s="10" t="s">
        <v>779</v>
      </c>
      <c r="D383" s="10" t="s">
        <v>780</v>
      </c>
      <c r="E383" s="10" t="s">
        <v>781</v>
      </c>
      <c r="F383" s="10" t="s">
        <v>847</v>
      </c>
      <c r="G383" s="225" t="s">
        <v>848</v>
      </c>
      <c r="H383" s="10" t="s">
        <v>844</v>
      </c>
      <c r="I383" s="10" t="s">
        <v>30</v>
      </c>
      <c r="J383" s="10" t="s">
        <v>48</v>
      </c>
    </row>
    <row r="384" spans="1:10" ht="16" thickBot="1">
      <c r="A384" s="10" t="s">
        <v>21</v>
      </c>
      <c r="B384" s="10" t="s">
        <v>778</v>
      </c>
      <c r="C384" s="10" t="s">
        <v>779</v>
      </c>
      <c r="D384" s="10" t="s">
        <v>780</v>
      </c>
      <c r="E384" s="10" t="s">
        <v>781</v>
      </c>
      <c r="F384" s="10" t="s">
        <v>849</v>
      </c>
      <c r="G384" s="10" t="s">
        <v>850</v>
      </c>
      <c r="H384" s="10" t="s">
        <v>844</v>
      </c>
      <c r="I384" s="10" t="s">
        <v>30</v>
      </c>
      <c r="J384" s="10" t="s">
        <v>31</v>
      </c>
    </row>
    <row r="385" spans="1:10" ht="16" thickBot="1">
      <c r="A385" s="10" t="s">
        <v>21</v>
      </c>
      <c r="B385" s="10" t="s">
        <v>778</v>
      </c>
      <c r="C385" s="10" t="s">
        <v>779</v>
      </c>
      <c r="D385" s="10" t="s">
        <v>780</v>
      </c>
      <c r="E385" s="10" t="s">
        <v>781</v>
      </c>
      <c r="F385" s="10" t="s">
        <v>844</v>
      </c>
      <c r="G385" s="10" t="s">
        <v>851</v>
      </c>
      <c r="H385" s="10" t="s">
        <v>844</v>
      </c>
      <c r="I385" s="10" t="s">
        <v>30</v>
      </c>
      <c r="J385" s="10" t="s">
        <v>33</v>
      </c>
    </row>
    <row r="386" spans="1:10" ht="16" thickBot="1">
      <c r="A386" s="10" t="s">
        <v>21</v>
      </c>
      <c r="B386" s="10" t="s">
        <v>778</v>
      </c>
      <c r="C386" s="10" t="s">
        <v>779</v>
      </c>
      <c r="D386" s="10" t="s">
        <v>780</v>
      </c>
      <c r="E386" s="10" t="s">
        <v>781</v>
      </c>
      <c r="F386" s="10" t="s">
        <v>852</v>
      </c>
      <c r="G386" s="10" t="s">
        <v>853</v>
      </c>
      <c r="H386" s="10" t="s">
        <v>844</v>
      </c>
      <c r="I386" s="10" t="s">
        <v>30</v>
      </c>
      <c r="J386" s="10" t="s">
        <v>36</v>
      </c>
    </row>
    <row r="387" spans="1:10" ht="27" thickBot="1">
      <c r="A387" s="10" t="s">
        <v>21</v>
      </c>
      <c r="B387" s="10" t="s">
        <v>778</v>
      </c>
      <c r="C387" s="10" t="s">
        <v>779</v>
      </c>
      <c r="D387" s="10" t="s">
        <v>780</v>
      </c>
      <c r="E387" s="10" t="s">
        <v>781</v>
      </c>
      <c r="F387" s="10" t="s">
        <v>854</v>
      </c>
      <c r="G387" s="225" t="s">
        <v>855</v>
      </c>
      <c r="H387" s="10" t="s">
        <v>856</v>
      </c>
      <c r="I387" s="10" t="s">
        <v>30</v>
      </c>
      <c r="J387" s="10" t="s">
        <v>48</v>
      </c>
    </row>
    <row r="388" spans="1:10" ht="16" thickBot="1">
      <c r="A388" s="10" t="s">
        <v>21</v>
      </c>
      <c r="B388" s="10" t="s">
        <v>778</v>
      </c>
      <c r="C388" s="10" t="s">
        <v>779</v>
      </c>
      <c r="D388" s="10" t="s">
        <v>780</v>
      </c>
      <c r="E388" s="10" t="s">
        <v>781</v>
      </c>
      <c r="F388" s="10" t="s">
        <v>857</v>
      </c>
      <c r="G388" s="10" t="s">
        <v>858</v>
      </c>
      <c r="H388" s="10" t="s">
        <v>856</v>
      </c>
      <c r="I388" s="10" t="s">
        <v>30</v>
      </c>
      <c r="J388" s="10" t="s">
        <v>31</v>
      </c>
    </row>
    <row r="389" spans="1:10" ht="16" thickBot="1">
      <c r="A389" s="10" t="s">
        <v>21</v>
      </c>
      <c r="B389" s="10" t="s">
        <v>778</v>
      </c>
      <c r="C389" s="10" t="s">
        <v>779</v>
      </c>
      <c r="D389" s="10" t="s">
        <v>780</v>
      </c>
      <c r="E389" s="10" t="s">
        <v>781</v>
      </c>
      <c r="F389" s="10" t="s">
        <v>856</v>
      </c>
      <c r="G389" s="10" t="s">
        <v>859</v>
      </c>
      <c r="H389" s="10" t="s">
        <v>856</v>
      </c>
      <c r="I389" s="10" t="s">
        <v>30</v>
      </c>
      <c r="J389" s="10" t="s">
        <v>33</v>
      </c>
    </row>
    <row r="390" spans="1:10" ht="16" thickBot="1">
      <c r="A390" s="10" t="s">
        <v>21</v>
      </c>
      <c r="B390" s="10" t="s">
        <v>778</v>
      </c>
      <c r="C390" s="10" t="s">
        <v>779</v>
      </c>
      <c r="D390" s="10" t="s">
        <v>780</v>
      </c>
      <c r="E390" s="10" t="s">
        <v>781</v>
      </c>
      <c r="F390" s="10" t="s">
        <v>860</v>
      </c>
      <c r="G390" s="10" t="s">
        <v>861</v>
      </c>
      <c r="H390" s="10" t="s">
        <v>856</v>
      </c>
      <c r="I390" s="10" t="s">
        <v>30</v>
      </c>
      <c r="J390" s="10" t="s">
        <v>36</v>
      </c>
    </row>
    <row r="391" spans="1:10" ht="29.25" customHeight="1" thickBot="1">
      <c r="A391" s="10" t="s">
        <v>21</v>
      </c>
      <c r="B391" s="10" t="s">
        <v>778</v>
      </c>
      <c r="C391" s="10" t="s">
        <v>779</v>
      </c>
      <c r="D391" s="10" t="s">
        <v>780</v>
      </c>
      <c r="E391" s="10" t="s">
        <v>781</v>
      </c>
      <c r="F391" s="10" t="s">
        <v>862</v>
      </c>
      <c r="G391" s="225" t="s">
        <v>863</v>
      </c>
      <c r="H391" s="10" t="s">
        <v>864</v>
      </c>
      <c r="I391" s="10" t="s">
        <v>30</v>
      </c>
      <c r="J391" s="10" t="s">
        <v>48</v>
      </c>
    </row>
    <row r="392" spans="1:10" ht="16" thickBot="1">
      <c r="A392" s="10" t="s">
        <v>21</v>
      </c>
      <c r="B392" s="10" t="s">
        <v>778</v>
      </c>
      <c r="C392" s="10" t="s">
        <v>779</v>
      </c>
      <c r="D392" s="10" t="s">
        <v>780</v>
      </c>
      <c r="E392" s="10" t="s">
        <v>781</v>
      </c>
      <c r="F392" s="10" t="s">
        <v>865</v>
      </c>
      <c r="G392" s="10" t="s">
        <v>866</v>
      </c>
      <c r="H392" s="10" t="s">
        <v>864</v>
      </c>
      <c r="I392" s="10" t="s">
        <v>30</v>
      </c>
      <c r="J392" s="10" t="s">
        <v>31</v>
      </c>
    </row>
    <row r="393" spans="1:10" ht="16" thickBot="1">
      <c r="A393" s="10" t="s">
        <v>21</v>
      </c>
      <c r="B393" s="10" t="s">
        <v>778</v>
      </c>
      <c r="C393" s="10" t="s">
        <v>779</v>
      </c>
      <c r="D393" s="10" t="s">
        <v>780</v>
      </c>
      <c r="E393" s="10" t="s">
        <v>781</v>
      </c>
      <c r="F393" s="10" t="s">
        <v>864</v>
      </c>
      <c r="G393" s="10" t="s">
        <v>867</v>
      </c>
      <c r="H393" s="10" t="s">
        <v>864</v>
      </c>
      <c r="I393" s="10" t="s">
        <v>30</v>
      </c>
      <c r="J393" s="10" t="s">
        <v>33</v>
      </c>
    </row>
    <row r="394" spans="1:10" ht="27" thickBot="1">
      <c r="A394" s="10" t="s">
        <v>21</v>
      </c>
      <c r="B394" s="10" t="s">
        <v>778</v>
      </c>
      <c r="C394" s="10" t="s">
        <v>779</v>
      </c>
      <c r="D394" s="10" t="s">
        <v>780</v>
      </c>
      <c r="E394" s="10" t="s">
        <v>781</v>
      </c>
      <c r="F394" s="10" t="s">
        <v>868</v>
      </c>
      <c r="G394" s="225" t="s">
        <v>869</v>
      </c>
      <c r="H394" s="10" t="s">
        <v>864</v>
      </c>
      <c r="I394" s="10" t="s">
        <v>30</v>
      </c>
      <c r="J394" s="10" t="s">
        <v>36</v>
      </c>
    </row>
    <row r="395" spans="1:10" ht="16" thickBot="1">
      <c r="A395" s="10" t="s">
        <v>21</v>
      </c>
      <c r="B395" s="10" t="s">
        <v>870</v>
      </c>
      <c r="C395" s="10" t="s">
        <v>871</v>
      </c>
      <c r="D395" s="10" t="s">
        <v>872</v>
      </c>
      <c r="E395" s="10" t="s">
        <v>873</v>
      </c>
      <c r="F395" s="10" t="s">
        <v>874</v>
      </c>
      <c r="G395" s="10" t="s">
        <v>875</v>
      </c>
      <c r="H395" s="10" t="s">
        <v>876</v>
      </c>
      <c r="I395" s="10" t="s">
        <v>30</v>
      </c>
      <c r="J395" s="10" t="s">
        <v>31</v>
      </c>
    </row>
    <row r="396" spans="1:10" ht="16" thickBot="1">
      <c r="A396" s="10" t="s">
        <v>21</v>
      </c>
      <c r="B396" s="10" t="s">
        <v>870</v>
      </c>
      <c r="C396" s="10" t="s">
        <v>871</v>
      </c>
      <c r="D396" s="10" t="s">
        <v>872</v>
      </c>
      <c r="E396" s="10" t="s">
        <v>873</v>
      </c>
      <c r="F396" s="10" t="s">
        <v>876</v>
      </c>
      <c r="G396" s="10" t="s">
        <v>877</v>
      </c>
      <c r="H396" s="10" t="s">
        <v>876</v>
      </c>
      <c r="I396" s="10" t="s">
        <v>30</v>
      </c>
      <c r="J396" s="10" t="s">
        <v>33</v>
      </c>
    </row>
    <row r="397" spans="1:10" ht="16" thickBot="1">
      <c r="A397" s="10" t="s">
        <v>21</v>
      </c>
      <c r="B397" s="10" t="s">
        <v>870</v>
      </c>
      <c r="C397" s="10" t="s">
        <v>871</v>
      </c>
      <c r="D397" s="10" t="s">
        <v>872</v>
      </c>
      <c r="E397" s="10" t="s">
        <v>873</v>
      </c>
      <c r="F397" s="10" t="s">
        <v>878</v>
      </c>
      <c r="G397" s="10" t="s">
        <v>879</v>
      </c>
      <c r="H397" s="10" t="s">
        <v>876</v>
      </c>
      <c r="I397" s="10" t="s">
        <v>30</v>
      </c>
      <c r="J397" s="10" t="s">
        <v>36</v>
      </c>
    </row>
    <row r="398" spans="1:10" ht="16" thickBot="1">
      <c r="A398" s="10" t="s">
        <v>21</v>
      </c>
      <c r="B398" s="10" t="s">
        <v>870</v>
      </c>
      <c r="C398" s="10" t="s">
        <v>871</v>
      </c>
      <c r="D398" s="10" t="s">
        <v>872</v>
      </c>
      <c r="E398" s="10" t="s">
        <v>873</v>
      </c>
      <c r="F398" s="10" t="s">
        <v>880</v>
      </c>
      <c r="G398" s="10" t="s">
        <v>881</v>
      </c>
      <c r="H398" s="10" t="s">
        <v>882</v>
      </c>
      <c r="I398" s="10" t="s">
        <v>40</v>
      </c>
      <c r="J398" s="10" t="s">
        <v>31</v>
      </c>
    </row>
    <row r="399" spans="1:10" ht="16" thickBot="1">
      <c r="A399" s="10" t="s">
        <v>21</v>
      </c>
      <c r="B399" s="10" t="s">
        <v>870</v>
      </c>
      <c r="C399" s="10" t="s">
        <v>871</v>
      </c>
      <c r="D399" s="10" t="s">
        <v>872</v>
      </c>
      <c r="E399" s="10" t="s">
        <v>873</v>
      </c>
      <c r="F399" s="10" t="s">
        <v>882</v>
      </c>
      <c r="G399" s="10" t="s">
        <v>883</v>
      </c>
      <c r="H399" s="10" t="s">
        <v>882</v>
      </c>
      <c r="I399" s="10" t="s">
        <v>40</v>
      </c>
      <c r="J399" s="10" t="s">
        <v>33</v>
      </c>
    </row>
    <row r="400" spans="1:10" ht="16" thickBot="1">
      <c r="A400" s="10" t="s">
        <v>21</v>
      </c>
      <c r="B400" s="10" t="s">
        <v>870</v>
      </c>
      <c r="C400" s="10" t="s">
        <v>871</v>
      </c>
      <c r="D400" s="10" t="s">
        <v>872</v>
      </c>
      <c r="E400" s="10" t="s">
        <v>873</v>
      </c>
      <c r="F400" s="10" t="s">
        <v>884</v>
      </c>
      <c r="G400" s="10" t="s">
        <v>885</v>
      </c>
      <c r="H400" s="10" t="s">
        <v>882</v>
      </c>
      <c r="I400" s="10" t="s">
        <v>40</v>
      </c>
      <c r="J400" s="10" t="s">
        <v>36</v>
      </c>
    </row>
    <row r="401" spans="1:10" ht="27" thickBot="1">
      <c r="A401" s="10" t="s">
        <v>21</v>
      </c>
      <c r="B401" s="10" t="s">
        <v>870</v>
      </c>
      <c r="C401" s="10" t="s">
        <v>871</v>
      </c>
      <c r="D401" s="10" t="s">
        <v>872</v>
      </c>
      <c r="E401" s="10" t="s">
        <v>873</v>
      </c>
      <c r="F401" s="10" t="s">
        <v>886</v>
      </c>
      <c r="G401" s="225" t="s">
        <v>887</v>
      </c>
      <c r="H401" s="10" t="s">
        <v>888</v>
      </c>
      <c r="I401" s="10" t="s">
        <v>40</v>
      </c>
      <c r="J401" s="10" t="s">
        <v>48</v>
      </c>
    </row>
    <row r="402" spans="1:10" ht="27" thickBot="1">
      <c r="A402" s="10" t="s">
        <v>21</v>
      </c>
      <c r="B402" s="10" t="s">
        <v>870</v>
      </c>
      <c r="C402" s="10" t="s">
        <v>871</v>
      </c>
      <c r="D402" s="10" t="s">
        <v>872</v>
      </c>
      <c r="E402" s="10" t="s">
        <v>873</v>
      </c>
      <c r="F402" s="10" t="s">
        <v>889</v>
      </c>
      <c r="G402" s="225" t="s">
        <v>890</v>
      </c>
      <c r="H402" s="10" t="s">
        <v>882</v>
      </c>
      <c r="I402" s="10" t="s">
        <v>40</v>
      </c>
      <c r="J402" s="10" t="s">
        <v>48</v>
      </c>
    </row>
    <row r="403" spans="1:10" ht="16" thickBot="1">
      <c r="A403" s="10" t="s">
        <v>21</v>
      </c>
      <c r="B403" s="10" t="s">
        <v>870</v>
      </c>
      <c r="C403" s="10" t="s">
        <v>871</v>
      </c>
      <c r="D403" s="10" t="s">
        <v>872</v>
      </c>
      <c r="E403" s="10" t="s">
        <v>873</v>
      </c>
      <c r="F403" s="10" t="s">
        <v>891</v>
      </c>
      <c r="G403" s="10" t="s">
        <v>892</v>
      </c>
      <c r="H403" s="10" t="s">
        <v>888</v>
      </c>
      <c r="I403" s="10" t="s">
        <v>40</v>
      </c>
      <c r="J403" s="10" t="s">
        <v>31</v>
      </c>
    </row>
    <row r="404" spans="1:10" ht="16" thickBot="1">
      <c r="A404" s="10" t="s">
        <v>21</v>
      </c>
      <c r="B404" s="10" t="s">
        <v>870</v>
      </c>
      <c r="C404" s="10" t="s">
        <v>871</v>
      </c>
      <c r="D404" s="10" t="s">
        <v>872</v>
      </c>
      <c r="E404" s="10" t="s">
        <v>873</v>
      </c>
      <c r="F404" s="10" t="s">
        <v>888</v>
      </c>
      <c r="G404" s="10" t="s">
        <v>893</v>
      </c>
      <c r="H404" s="10" t="s">
        <v>888</v>
      </c>
      <c r="I404" s="10" t="s">
        <v>40</v>
      </c>
      <c r="J404" s="10" t="s">
        <v>33</v>
      </c>
    </row>
    <row r="405" spans="1:10" ht="16" thickBot="1">
      <c r="A405" s="10" t="s">
        <v>21</v>
      </c>
      <c r="B405" s="10" t="s">
        <v>870</v>
      </c>
      <c r="C405" s="10" t="s">
        <v>871</v>
      </c>
      <c r="D405" s="10" t="s">
        <v>872</v>
      </c>
      <c r="E405" s="10" t="s">
        <v>873</v>
      </c>
      <c r="F405" s="10" t="s">
        <v>894</v>
      </c>
      <c r="G405" s="10" t="s">
        <v>895</v>
      </c>
      <c r="H405" s="10" t="s">
        <v>888</v>
      </c>
      <c r="I405" s="10" t="s">
        <v>40</v>
      </c>
      <c r="J405" s="10" t="s">
        <v>36</v>
      </c>
    </row>
    <row r="406" spans="1:10" ht="27" thickBot="1">
      <c r="A406" s="10" t="s">
        <v>21</v>
      </c>
      <c r="B406" s="10" t="s">
        <v>870</v>
      </c>
      <c r="C406" s="10" t="s">
        <v>871</v>
      </c>
      <c r="D406" s="10" t="s">
        <v>872</v>
      </c>
      <c r="E406" s="10" t="s">
        <v>873</v>
      </c>
      <c r="F406" s="10" t="s">
        <v>896</v>
      </c>
      <c r="G406" s="225" t="s">
        <v>897</v>
      </c>
      <c r="H406" s="10" t="s">
        <v>898</v>
      </c>
      <c r="I406" s="10" t="s">
        <v>30</v>
      </c>
      <c r="J406" s="10" t="s">
        <v>48</v>
      </c>
    </row>
    <row r="407" spans="1:10" ht="27" thickBot="1">
      <c r="A407" s="10" t="s">
        <v>21</v>
      </c>
      <c r="B407" s="10" t="s">
        <v>870</v>
      </c>
      <c r="C407" s="10" t="s">
        <v>871</v>
      </c>
      <c r="D407" s="10" t="s">
        <v>872</v>
      </c>
      <c r="E407" s="10" t="s">
        <v>873</v>
      </c>
      <c r="F407" s="10" t="s">
        <v>899</v>
      </c>
      <c r="G407" s="225" t="s">
        <v>900</v>
      </c>
      <c r="H407" s="10" t="s">
        <v>898</v>
      </c>
      <c r="I407" s="10" t="s">
        <v>30</v>
      </c>
      <c r="J407" s="10" t="s">
        <v>48</v>
      </c>
    </row>
    <row r="408" spans="1:10" ht="27" thickBot="1">
      <c r="A408" s="10" t="s">
        <v>21</v>
      </c>
      <c r="B408" s="10" t="s">
        <v>870</v>
      </c>
      <c r="C408" s="10" t="s">
        <v>871</v>
      </c>
      <c r="D408" s="10" t="s">
        <v>872</v>
      </c>
      <c r="E408" s="10" t="s">
        <v>873</v>
      </c>
      <c r="F408" s="10" t="s">
        <v>901</v>
      </c>
      <c r="G408" s="225" t="s">
        <v>902</v>
      </c>
      <c r="H408" s="10" t="s">
        <v>898</v>
      </c>
      <c r="I408" s="10" t="s">
        <v>30</v>
      </c>
      <c r="J408" s="10" t="s">
        <v>48</v>
      </c>
    </row>
    <row r="409" spans="1:10" ht="16" thickBot="1">
      <c r="A409" s="10" t="s">
        <v>21</v>
      </c>
      <c r="B409" s="10" t="s">
        <v>870</v>
      </c>
      <c r="C409" s="10" t="s">
        <v>871</v>
      </c>
      <c r="D409" s="10" t="s">
        <v>872</v>
      </c>
      <c r="E409" s="10" t="s">
        <v>873</v>
      </c>
      <c r="F409" s="10" t="s">
        <v>903</v>
      </c>
      <c r="G409" s="10" t="s">
        <v>904</v>
      </c>
      <c r="H409" s="10" t="s">
        <v>898</v>
      </c>
      <c r="I409" s="10" t="s">
        <v>30</v>
      </c>
      <c r="J409" s="10" t="s">
        <v>31</v>
      </c>
    </row>
    <row r="410" spans="1:10" ht="16" thickBot="1">
      <c r="A410" s="10" t="s">
        <v>21</v>
      </c>
      <c r="B410" s="10" t="s">
        <v>870</v>
      </c>
      <c r="C410" s="10" t="s">
        <v>871</v>
      </c>
      <c r="D410" s="10" t="s">
        <v>872</v>
      </c>
      <c r="E410" s="10" t="s">
        <v>873</v>
      </c>
      <c r="F410" s="10" t="s">
        <v>898</v>
      </c>
      <c r="G410" s="10" t="s">
        <v>905</v>
      </c>
      <c r="H410" s="10" t="s">
        <v>898</v>
      </c>
      <c r="I410" s="10" t="s">
        <v>30</v>
      </c>
      <c r="J410" s="10" t="s">
        <v>33</v>
      </c>
    </row>
    <row r="411" spans="1:10" ht="16" thickBot="1">
      <c r="A411" s="10" t="s">
        <v>21</v>
      </c>
      <c r="B411" s="10" t="s">
        <v>870</v>
      </c>
      <c r="C411" s="10" t="s">
        <v>871</v>
      </c>
      <c r="D411" s="10" t="s">
        <v>872</v>
      </c>
      <c r="E411" s="10" t="s">
        <v>873</v>
      </c>
      <c r="F411" s="10" t="s">
        <v>906</v>
      </c>
      <c r="G411" s="10" t="s">
        <v>907</v>
      </c>
      <c r="H411" s="10" t="s">
        <v>898</v>
      </c>
      <c r="I411" s="10" t="s">
        <v>30</v>
      </c>
      <c r="J411" s="10" t="s">
        <v>36</v>
      </c>
    </row>
    <row r="412" spans="1:10" ht="16" thickBot="1">
      <c r="A412" s="10" t="s">
        <v>21</v>
      </c>
      <c r="B412" s="10" t="s">
        <v>870</v>
      </c>
      <c r="C412" s="10" t="s">
        <v>871</v>
      </c>
      <c r="D412" s="10" t="s">
        <v>872</v>
      </c>
      <c r="E412" s="10" t="s">
        <v>873</v>
      </c>
      <c r="F412" s="10" t="s">
        <v>908</v>
      </c>
      <c r="G412" s="10" t="s">
        <v>909</v>
      </c>
      <c r="H412" s="10" t="s">
        <v>910</v>
      </c>
      <c r="I412" s="10" t="s">
        <v>40</v>
      </c>
      <c r="J412" s="10" t="s">
        <v>31</v>
      </c>
    </row>
    <row r="413" spans="1:10" ht="16" thickBot="1">
      <c r="A413" s="10" t="s">
        <v>21</v>
      </c>
      <c r="B413" s="10" t="s">
        <v>870</v>
      </c>
      <c r="C413" s="10" t="s">
        <v>871</v>
      </c>
      <c r="D413" s="10" t="s">
        <v>872</v>
      </c>
      <c r="E413" s="10" t="s">
        <v>873</v>
      </c>
      <c r="F413" s="10" t="s">
        <v>910</v>
      </c>
      <c r="G413" s="10" t="s">
        <v>911</v>
      </c>
      <c r="H413" s="10" t="s">
        <v>910</v>
      </c>
      <c r="I413" s="10" t="s">
        <v>40</v>
      </c>
      <c r="J413" s="10" t="s">
        <v>33</v>
      </c>
    </row>
    <row r="414" spans="1:10" ht="16" thickBot="1">
      <c r="A414" s="10" t="s">
        <v>21</v>
      </c>
      <c r="B414" s="10" t="s">
        <v>870</v>
      </c>
      <c r="C414" s="10" t="s">
        <v>871</v>
      </c>
      <c r="D414" s="10" t="s">
        <v>872</v>
      </c>
      <c r="E414" s="10" t="s">
        <v>873</v>
      </c>
      <c r="F414" s="10" t="s">
        <v>912</v>
      </c>
      <c r="G414" s="10" t="s">
        <v>913</v>
      </c>
      <c r="H414" s="10" t="s">
        <v>910</v>
      </c>
      <c r="I414" s="10" t="s">
        <v>40</v>
      </c>
      <c r="J414" s="10" t="s">
        <v>36</v>
      </c>
    </row>
    <row r="415" spans="1:10" ht="16" thickBot="1">
      <c r="A415" s="10" t="s">
        <v>21</v>
      </c>
      <c r="B415" s="10" t="s">
        <v>870</v>
      </c>
      <c r="C415" s="10" t="s">
        <v>871</v>
      </c>
      <c r="D415" s="10" t="s">
        <v>872</v>
      </c>
      <c r="E415" s="10" t="s">
        <v>873</v>
      </c>
      <c r="F415" s="10" t="s">
        <v>914</v>
      </c>
      <c r="G415" s="10" t="s">
        <v>915</v>
      </c>
      <c r="H415" s="10" t="s">
        <v>916</v>
      </c>
      <c r="I415" s="10" t="s">
        <v>40</v>
      </c>
      <c r="J415" s="10" t="s">
        <v>31</v>
      </c>
    </row>
    <row r="416" spans="1:10" ht="16" thickBot="1">
      <c r="A416" s="10" t="s">
        <v>21</v>
      </c>
      <c r="B416" s="10" t="s">
        <v>870</v>
      </c>
      <c r="C416" s="10" t="s">
        <v>871</v>
      </c>
      <c r="D416" s="10" t="s">
        <v>872</v>
      </c>
      <c r="E416" s="10" t="s">
        <v>873</v>
      </c>
      <c r="F416" s="10" t="s">
        <v>916</v>
      </c>
      <c r="G416" s="10" t="s">
        <v>917</v>
      </c>
      <c r="H416" s="10" t="s">
        <v>916</v>
      </c>
      <c r="I416" s="10" t="s">
        <v>40</v>
      </c>
      <c r="J416" s="10" t="s">
        <v>33</v>
      </c>
    </row>
    <row r="417" spans="1:10" ht="16" thickBot="1">
      <c r="A417" s="10" t="s">
        <v>21</v>
      </c>
      <c r="B417" s="10" t="s">
        <v>870</v>
      </c>
      <c r="C417" s="10" t="s">
        <v>871</v>
      </c>
      <c r="D417" s="10" t="s">
        <v>872</v>
      </c>
      <c r="E417" s="10" t="s">
        <v>873</v>
      </c>
      <c r="F417" s="10" t="s">
        <v>918</v>
      </c>
      <c r="G417" s="10" t="s">
        <v>919</v>
      </c>
      <c r="H417" s="10" t="s">
        <v>916</v>
      </c>
      <c r="I417" s="10" t="s">
        <v>40</v>
      </c>
      <c r="J417" s="10" t="s">
        <v>36</v>
      </c>
    </row>
    <row r="418" spans="1:10" ht="16" thickBot="1">
      <c r="A418" s="10" t="s">
        <v>21</v>
      </c>
      <c r="B418" s="10" t="s">
        <v>870</v>
      </c>
      <c r="C418" s="10" t="s">
        <v>871</v>
      </c>
      <c r="D418" s="10" t="s">
        <v>872</v>
      </c>
      <c r="E418" s="10" t="s">
        <v>873</v>
      </c>
      <c r="F418" s="10" t="s">
        <v>920</v>
      </c>
      <c r="G418" s="10" t="s">
        <v>921</v>
      </c>
      <c r="H418" s="10" t="s">
        <v>910</v>
      </c>
      <c r="I418" s="10" t="s">
        <v>40</v>
      </c>
      <c r="J418" s="10" t="s">
        <v>48</v>
      </c>
    </row>
    <row r="419" spans="1:10" ht="16" thickBot="1">
      <c r="A419" s="10" t="s">
        <v>21</v>
      </c>
      <c r="B419" s="10" t="s">
        <v>870</v>
      </c>
      <c r="C419" s="10" t="s">
        <v>871</v>
      </c>
      <c r="D419" s="10" t="s">
        <v>872</v>
      </c>
      <c r="E419" s="10" t="s">
        <v>873</v>
      </c>
      <c r="F419" s="10" t="s">
        <v>922</v>
      </c>
      <c r="G419" s="225" t="s">
        <v>923</v>
      </c>
      <c r="H419" s="10" t="s">
        <v>910</v>
      </c>
      <c r="I419" s="10" t="s">
        <v>40</v>
      </c>
      <c r="J419" s="10" t="s">
        <v>48</v>
      </c>
    </row>
    <row r="420" spans="1:10" ht="16" thickBot="1">
      <c r="A420" s="10" t="s">
        <v>21</v>
      </c>
      <c r="B420" s="10" t="s">
        <v>870</v>
      </c>
      <c r="C420" s="10" t="s">
        <v>871</v>
      </c>
      <c r="D420" s="10" t="s">
        <v>872</v>
      </c>
      <c r="E420" s="10" t="s">
        <v>873</v>
      </c>
      <c r="F420" s="10" t="s">
        <v>924</v>
      </c>
      <c r="G420" s="10" t="s">
        <v>925</v>
      </c>
      <c r="H420" s="10" t="s">
        <v>926</v>
      </c>
      <c r="I420" s="10" t="s">
        <v>30</v>
      </c>
      <c r="J420" s="10" t="s">
        <v>31</v>
      </c>
    </row>
    <row r="421" spans="1:10" ht="16" thickBot="1">
      <c r="A421" s="10" t="s">
        <v>21</v>
      </c>
      <c r="B421" s="10" t="s">
        <v>870</v>
      </c>
      <c r="C421" s="10" t="s">
        <v>871</v>
      </c>
      <c r="D421" s="10" t="s">
        <v>872</v>
      </c>
      <c r="E421" s="10" t="s">
        <v>873</v>
      </c>
      <c r="F421" s="10" t="s">
        <v>926</v>
      </c>
      <c r="G421" s="10" t="s">
        <v>927</v>
      </c>
      <c r="H421" s="10" t="s">
        <v>926</v>
      </c>
      <c r="I421" s="10" t="s">
        <v>30</v>
      </c>
      <c r="J421" s="10" t="s">
        <v>33</v>
      </c>
    </row>
    <row r="422" spans="1:10" ht="16" thickBot="1">
      <c r="A422" s="10" t="s">
        <v>21</v>
      </c>
      <c r="B422" s="10" t="s">
        <v>870</v>
      </c>
      <c r="C422" s="10" t="s">
        <v>871</v>
      </c>
      <c r="D422" s="10" t="s">
        <v>872</v>
      </c>
      <c r="E422" s="10" t="s">
        <v>873</v>
      </c>
      <c r="F422" s="10" t="s">
        <v>928</v>
      </c>
      <c r="G422" s="10" t="s">
        <v>929</v>
      </c>
      <c r="H422" s="10" t="s">
        <v>926</v>
      </c>
      <c r="I422" s="10" t="s">
        <v>30</v>
      </c>
      <c r="J422" s="10" t="s">
        <v>36</v>
      </c>
    </row>
    <row r="423" spans="1:10" ht="27" thickBot="1">
      <c r="A423" s="10" t="s">
        <v>21</v>
      </c>
      <c r="B423" s="10" t="s">
        <v>870</v>
      </c>
      <c r="C423" s="10" t="s">
        <v>871</v>
      </c>
      <c r="D423" s="10" t="s">
        <v>872</v>
      </c>
      <c r="E423" s="10" t="s">
        <v>873</v>
      </c>
      <c r="F423" s="10" t="s">
        <v>930</v>
      </c>
      <c r="G423" s="225" t="s">
        <v>931</v>
      </c>
      <c r="H423" s="10" t="s">
        <v>932</v>
      </c>
      <c r="I423" s="10" t="s">
        <v>30</v>
      </c>
      <c r="J423" s="10" t="s">
        <v>48</v>
      </c>
    </row>
    <row r="424" spans="1:10" ht="27" thickBot="1">
      <c r="A424" s="10" t="s">
        <v>21</v>
      </c>
      <c r="B424" s="10" t="s">
        <v>870</v>
      </c>
      <c r="C424" s="10" t="s">
        <v>871</v>
      </c>
      <c r="D424" s="10" t="s">
        <v>872</v>
      </c>
      <c r="E424" s="10" t="s">
        <v>873</v>
      </c>
      <c r="F424" s="10" t="s">
        <v>933</v>
      </c>
      <c r="G424" s="225" t="s">
        <v>934</v>
      </c>
      <c r="H424" s="10" t="s">
        <v>932</v>
      </c>
      <c r="I424" s="10" t="s">
        <v>30</v>
      </c>
      <c r="J424" s="10" t="s">
        <v>48</v>
      </c>
    </row>
    <row r="425" spans="1:10" ht="27" thickBot="1">
      <c r="A425" s="10" t="s">
        <v>21</v>
      </c>
      <c r="B425" s="10" t="s">
        <v>870</v>
      </c>
      <c r="C425" s="10" t="s">
        <v>871</v>
      </c>
      <c r="D425" s="10" t="s">
        <v>872</v>
      </c>
      <c r="E425" s="10" t="s">
        <v>873</v>
      </c>
      <c r="F425" s="10" t="s">
        <v>935</v>
      </c>
      <c r="G425" s="225" t="s">
        <v>936</v>
      </c>
      <c r="H425" s="10" t="s">
        <v>932</v>
      </c>
      <c r="I425" s="10" t="s">
        <v>30</v>
      </c>
      <c r="J425" s="10" t="s">
        <v>48</v>
      </c>
    </row>
    <row r="426" spans="1:10" ht="16" thickBot="1">
      <c r="A426" s="10" t="s">
        <v>21</v>
      </c>
      <c r="B426" s="10" t="s">
        <v>870</v>
      </c>
      <c r="C426" s="10" t="s">
        <v>871</v>
      </c>
      <c r="D426" s="10" t="s">
        <v>872</v>
      </c>
      <c r="E426" s="10" t="s">
        <v>873</v>
      </c>
      <c r="F426" s="10" t="s">
        <v>937</v>
      </c>
      <c r="G426" s="10" t="s">
        <v>938</v>
      </c>
      <c r="H426" s="10" t="s">
        <v>932</v>
      </c>
      <c r="I426" s="10" t="s">
        <v>30</v>
      </c>
      <c r="J426" s="10" t="s">
        <v>31</v>
      </c>
    </row>
    <row r="427" spans="1:10" ht="29.25" customHeight="1" thickBot="1">
      <c r="A427" s="10" t="s">
        <v>21</v>
      </c>
      <c r="B427" s="10" t="s">
        <v>870</v>
      </c>
      <c r="C427" s="10" t="s">
        <v>871</v>
      </c>
      <c r="D427" s="10" t="s">
        <v>872</v>
      </c>
      <c r="E427" s="10" t="s">
        <v>873</v>
      </c>
      <c r="F427" s="10" t="s">
        <v>932</v>
      </c>
      <c r="G427" s="10" t="s">
        <v>939</v>
      </c>
      <c r="H427" s="10" t="s">
        <v>932</v>
      </c>
      <c r="I427" s="10" t="s">
        <v>30</v>
      </c>
      <c r="J427" s="10" t="s">
        <v>33</v>
      </c>
    </row>
    <row r="428" spans="1:10" ht="16" thickBot="1">
      <c r="A428" s="10" t="s">
        <v>21</v>
      </c>
      <c r="B428" s="10" t="s">
        <v>870</v>
      </c>
      <c r="C428" s="10" t="s">
        <v>871</v>
      </c>
      <c r="D428" s="10" t="s">
        <v>872</v>
      </c>
      <c r="E428" s="10" t="s">
        <v>873</v>
      </c>
      <c r="F428" s="10" t="s">
        <v>940</v>
      </c>
      <c r="G428" s="10" t="s">
        <v>941</v>
      </c>
      <c r="H428" s="10" t="s">
        <v>932</v>
      </c>
      <c r="I428" s="10" t="s">
        <v>30</v>
      </c>
      <c r="J428" s="10" t="s">
        <v>36</v>
      </c>
    </row>
    <row r="429" spans="1:10" ht="27" thickBot="1">
      <c r="A429" s="10" t="s">
        <v>21</v>
      </c>
      <c r="B429" s="10" t="s">
        <v>870</v>
      </c>
      <c r="C429" s="10" t="s">
        <v>871</v>
      </c>
      <c r="D429" s="10" t="s">
        <v>872</v>
      </c>
      <c r="E429" s="10" t="s">
        <v>873</v>
      </c>
      <c r="F429" s="10" t="s">
        <v>942</v>
      </c>
      <c r="G429" s="225" t="s">
        <v>943</v>
      </c>
      <c r="H429" s="10" t="s">
        <v>944</v>
      </c>
      <c r="I429" s="10" t="s">
        <v>30</v>
      </c>
      <c r="J429" s="10" t="s">
        <v>48</v>
      </c>
    </row>
    <row r="430" spans="1:10" ht="16" thickBot="1">
      <c r="A430" s="10" t="s">
        <v>21</v>
      </c>
      <c r="B430" s="10" t="s">
        <v>870</v>
      </c>
      <c r="C430" s="10" t="s">
        <v>871</v>
      </c>
      <c r="D430" s="10" t="s">
        <v>872</v>
      </c>
      <c r="E430" s="10" t="s">
        <v>873</v>
      </c>
      <c r="F430" s="10" t="s">
        <v>945</v>
      </c>
      <c r="G430" s="10" t="s">
        <v>946</v>
      </c>
      <c r="H430" s="10" t="s">
        <v>944</v>
      </c>
      <c r="I430" s="10" t="s">
        <v>30</v>
      </c>
      <c r="J430" s="10" t="s">
        <v>31</v>
      </c>
    </row>
    <row r="431" spans="1:10" ht="16" thickBot="1">
      <c r="A431" s="10" t="s">
        <v>21</v>
      </c>
      <c r="B431" s="10" t="s">
        <v>870</v>
      </c>
      <c r="C431" s="10" t="s">
        <v>871</v>
      </c>
      <c r="D431" s="10" t="s">
        <v>872</v>
      </c>
      <c r="E431" s="10" t="s">
        <v>873</v>
      </c>
      <c r="F431" s="10" t="s">
        <v>944</v>
      </c>
      <c r="G431" s="10" t="s">
        <v>947</v>
      </c>
      <c r="H431" s="10" t="s">
        <v>944</v>
      </c>
      <c r="I431" s="10" t="s">
        <v>30</v>
      </c>
      <c r="J431" s="10" t="s">
        <v>33</v>
      </c>
    </row>
    <row r="432" spans="1:10" ht="16" thickBot="1">
      <c r="A432" s="10" t="s">
        <v>21</v>
      </c>
      <c r="B432" s="10" t="s">
        <v>870</v>
      </c>
      <c r="C432" s="10" t="s">
        <v>871</v>
      </c>
      <c r="D432" s="10" t="s">
        <v>872</v>
      </c>
      <c r="E432" s="10" t="s">
        <v>873</v>
      </c>
      <c r="F432" s="10" t="s">
        <v>948</v>
      </c>
      <c r="G432" s="10" t="s">
        <v>949</v>
      </c>
      <c r="H432" s="10" t="s">
        <v>944</v>
      </c>
      <c r="I432" s="10" t="s">
        <v>30</v>
      </c>
      <c r="J432" s="10" t="s">
        <v>36</v>
      </c>
    </row>
    <row r="433" spans="1:10" ht="27" thickBot="1">
      <c r="A433" s="10" t="s">
        <v>21</v>
      </c>
      <c r="B433" s="10" t="s">
        <v>870</v>
      </c>
      <c r="C433" s="10" t="s">
        <v>871</v>
      </c>
      <c r="D433" s="10" t="s">
        <v>872</v>
      </c>
      <c r="E433" s="10" t="s">
        <v>873</v>
      </c>
      <c r="F433" s="10" t="s">
        <v>950</v>
      </c>
      <c r="G433" s="225" t="s">
        <v>951</v>
      </c>
      <c r="H433" s="10" t="s">
        <v>952</v>
      </c>
      <c r="I433" s="10" t="s">
        <v>30</v>
      </c>
      <c r="J433" s="10" t="s">
        <v>48</v>
      </c>
    </row>
    <row r="434" spans="1:10" ht="16" thickBot="1">
      <c r="A434" s="10" t="s">
        <v>21</v>
      </c>
      <c r="B434" s="10" t="s">
        <v>870</v>
      </c>
      <c r="C434" s="10" t="s">
        <v>871</v>
      </c>
      <c r="D434" s="10" t="s">
        <v>872</v>
      </c>
      <c r="E434" s="10" t="s">
        <v>873</v>
      </c>
      <c r="F434" s="10" t="s">
        <v>953</v>
      </c>
      <c r="G434" s="10" t="s">
        <v>954</v>
      </c>
      <c r="H434" s="10" t="s">
        <v>952</v>
      </c>
      <c r="I434" s="10" t="s">
        <v>30</v>
      </c>
      <c r="J434" s="10" t="s">
        <v>31</v>
      </c>
    </row>
    <row r="435" spans="1:10" ht="16" thickBot="1">
      <c r="A435" s="10" t="s">
        <v>21</v>
      </c>
      <c r="B435" s="10" t="s">
        <v>870</v>
      </c>
      <c r="C435" s="10" t="s">
        <v>871</v>
      </c>
      <c r="D435" s="10" t="s">
        <v>872</v>
      </c>
      <c r="E435" s="10" t="s">
        <v>873</v>
      </c>
      <c r="F435" s="10" t="s">
        <v>952</v>
      </c>
      <c r="G435" s="10" t="s">
        <v>955</v>
      </c>
      <c r="H435" s="10" t="s">
        <v>952</v>
      </c>
      <c r="I435" s="10" t="s">
        <v>30</v>
      </c>
      <c r="J435" s="10" t="s">
        <v>33</v>
      </c>
    </row>
    <row r="436" spans="1:10" ht="16" thickBot="1">
      <c r="A436" s="10" t="s">
        <v>21</v>
      </c>
      <c r="B436" s="10" t="s">
        <v>870</v>
      </c>
      <c r="C436" s="10" t="s">
        <v>871</v>
      </c>
      <c r="D436" s="10" t="s">
        <v>872</v>
      </c>
      <c r="E436" s="10" t="s">
        <v>873</v>
      </c>
      <c r="F436" s="10" t="s">
        <v>956</v>
      </c>
      <c r="G436" s="10" t="s">
        <v>957</v>
      </c>
      <c r="H436" s="10" t="s">
        <v>952</v>
      </c>
      <c r="I436" s="10" t="s">
        <v>30</v>
      </c>
      <c r="J436" s="10" t="s">
        <v>36</v>
      </c>
    </row>
    <row r="437" spans="1:10" ht="27" thickBot="1">
      <c r="A437" s="10" t="s">
        <v>21</v>
      </c>
      <c r="B437" s="10" t="s">
        <v>870</v>
      </c>
      <c r="C437" s="10" t="s">
        <v>871</v>
      </c>
      <c r="D437" s="10" t="s">
        <v>872</v>
      </c>
      <c r="E437" s="10" t="s">
        <v>873</v>
      </c>
      <c r="F437" s="10" t="s">
        <v>958</v>
      </c>
      <c r="G437" s="225" t="s">
        <v>959</v>
      </c>
      <c r="H437" s="10" t="s">
        <v>916</v>
      </c>
      <c r="I437" s="10" t="s">
        <v>40</v>
      </c>
      <c r="J437" s="10" t="s">
        <v>48</v>
      </c>
    </row>
    <row r="438" spans="1:10" ht="27" thickBot="1">
      <c r="A438" s="10" t="s">
        <v>21</v>
      </c>
      <c r="B438" s="10" t="s">
        <v>870</v>
      </c>
      <c r="C438" s="10" t="s">
        <v>871</v>
      </c>
      <c r="D438" s="10" t="s">
        <v>872</v>
      </c>
      <c r="E438" s="10" t="s">
        <v>873</v>
      </c>
      <c r="F438" s="10" t="s">
        <v>960</v>
      </c>
      <c r="G438" s="225" t="s">
        <v>961</v>
      </c>
      <c r="H438" s="10" t="s">
        <v>916</v>
      </c>
      <c r="I438" s="10" t="s">
        <v>40</v>
      </c>
      <c r="J438" s="10" t="s">
        <v>48</v>
      </c>
    </row>
    <row r="439" spans="1:10" ht="16" thickBot="1">
      <c r="A439" s="10" t="s">
        <v>21</v>
      </c>
      <c r="B439" s="10" t="s">
        <v>338</v>
      </c>
      <c r="C439" s="10" t="s">
        <v>141</v>
      </c>
      <c r="D439" s="10" t="s">
        <v>142</v>
      </c>
      <c r="E439" s="10" t="s">
        <v>339</v>
      </c>
      <c r="F439" s="10" t="s">
        <v>962</v>
      </c>
      <c r="G439" s="10" t="s">
        <v>963</v>
      </c>
      <c r="H439" s="10" t="s">
        <v>964</v>
      </c>
      <c r="I439" s="10" t="s">
        <v>30</v>
      </c>
      <c r="J439" s="10" t="s">
        <v>31</v>
      </c>
    </row>
    <row r="440" spans="1:10" ht="16" thickBot="1">
      <c r="A440" s="10" t="s">
        <v>21</v>
      </c>
      <c r="B440" s="10" t="s">
        <v>338</v>
      </c>
      <c r="C440" s="10" t="s">
        <v>141</v>
      </c>
      <c r="D440" s="10" t="s">
        <v>142</v>
      </c>
      <c r="E440" s="10" t="s">
        <v>339</v>
      </c>
      <c r="F440" s="10" t="s">
        <v>964</v>
      </c>
      <c r="G440" s="10" t="s">
        <v>965</v>
      </c>
      <c r="H440" s="10" t="s">
        <v>964</v>
      </c>
      <c r="I440" s="10" t="s">
        <v>30</v>
      </c>
      <c r="J440" s="10" t="s">
        <v>33</v>
      </c>
    </row>
    <row r="441" spans="1:10" ht="16" thickBot="1">
      <c r="A441" s="10" t="s">
        <v>21</v>
      </c>
      <c r="B441" s="10" t="s">
        <v>338</v>
      </c>
      <c r="C441" s="10" t="s">
        <v>141</v>
      </c>
      <c r="D441" s="10" t="s">
        <v>142</v>
      </c>
      <c r="E441" s="10" t="s">
        <v>339</v>
      </c>
      <c r="F441" s="10" t="s">
        <v>966</v>
      </c>
      <c r="G441" s="10" t="s">
        <v>967</v>
      </c>
      <c r="H441" s="10" t="s">
        <v>964</v>
      </c>
      <c r="I441" s="10" t="s">
        <v>30</v>
      </c>
      <c r="J441" s="10" t="s">
        <v>36</v>
      </c>
    </row>
    <row r="442" spans="1:10" ht="16" thickBot="1">
      <c r="A442" s="10" t="s">
        <v>21</v>
      </c>
      <c r="B442" s="10" t="s">
        <v>338</v>
      </c>
      <c r="C442" s="10" t="s">
        <v>141</v>
      </c>
      <c r="D442" s="10" t="s">
        <v>142</v>
      </c>
      <c r="E442" s="10" t="s">
        <v>339</v>
      </c>
      <c r="F442" s="10" t="s">
        <v>968</v>
      </c>
      <c r="G442" s="225" t="s">
        <v>969</v>
      </c>
      <c r="H442" s="10" t="s">
        <v>970</v>
      </c>
      <c r="I442" s="10" t="s">
        <v>30</v>
      </c>
      <c r="J442" s="10" t="s">
        <v>31</v>
      </c>
    </row>
    <row r="443" spans="1:10" ht="16" thickBot="1">
      <c r="A443" s="10" t="s">
        <v>21</v>
      </c>
      <c r="B443" s="10" t="s">
        <v>338</v>
      </c>
      <c r="C443" s="10" t="s">
        <v>141</v>
      </c>
      <c r="D443" s="10" t="s">
        <v>142</v>
      </c>
      <c r="E443" s="10" t="s">
        <v>339</v>
      </c>
      <c r="F443" s="10" t="s">
        <v>970</v>
      </c>
      <c r="G443" s="225" t="s">
        <v>971</v>
      </c>
      <c r="H443" s="10" t="s">
        <v>970</v>
      </c>
      <c r="I443" s="10" t="s">
        <v>30</v>
      </c>
      <c r="J443" s="10" t="s">
        <v>33</v>
      </c>
    </row>
    <row r="444" spans="1:10" ht="27" thickBot="1">
      <c r="A444" s="10" t="s">
        <v>21</v>
      </c>
      <c r="B444" s="10" t="s">
        <v>338</v>
      </c>
      <c r="C444" s="10" t="s">
        <v>141</v>
      </c>
      <c r="D444" s="10" t="s">
        <v>142</v>
      </c>
      <c r="E444" s="10" t="s">
        <v>339</v>
      </c>
      <c r="F444" s="10" t="s">
        <v>972</v>
      </c>
      <c r="G444" s="225" t="s">
        <v>973</v>
      </c>
      <c r="H444" s="10" t="s">
        <v>970</v>
      </c>
      <c r="I444" s="10" t="s">
        <v>30</v>
      </c>
      <c r="J444" s="10" t="s">
        <v>36</v>
      </c>
    </row>
    <row r="445" spans="1:10" ht="16" thickBot="1">
      <c r="A445" s="10" t="s">
        <v>21</v>
      </c>
      <c r="B445" s="10" t="s">
        <v>338</v>
      </c>
      <c r="C445" s="10" t="s">
        <v>141</v>
      </c>
      <c r="D445" s="10" t="s">
        <v>142</v>
      </c>
      <c r="E445" s="10" t="s">
        <v>339</v>
      </c>
      <c r="F445" s="10" t="s">
        <v>974</v>
      </c>
      <c r="G445" s="10" t="s">
        <v>975</v>
      </c>
      <c r="H445" s="10" t="s">
        <v>976</v>
      </c>
      <c r="I445" s="10" t="s">
        <v>40</v>
      </c>
      <c r="J445" s="10" t="s">
        <v>31</v>
      </c>
    </row>
    <row r="446" spans="1:10" ht="16" thickBot="1">
      <c r="A446" s="10" t="s">
        <v>21</v>
      </c>
      <c r="B446" s="10" t="s">
        <v>338</v>
      </c>
      <c r="C446" s="10" t="s">
        <v>141</v>
      </c>
      <c r="D446" s="10" t="s">
        <v>142</v>
      </c>
      <c r="E446" s="10" t="s">
        <v>339</v>
      </c>
      <c r="F446" s="10" t="s">
        <v>976</v>
      </c>
      <c r="G446" s="10" t="s">
        <v>977</v>
      </c>
      <c r="H446" s="10" t="s">
        <v>976</v>
      </c>
      <c r="I446" s="10" t="s">
        <v>40</v>
      </c>
      <c r="J446" s="10" t="s">
        <v>33</v>
      </c>
    </row>
    <row r="447" spans="1:10" ht="16" thickBot="1">
      <c r="A447" s="10" t="s">
        <v>21</v>
      </c>
      <c r="B447" s="10" t="s">
        <v>338</v>
      </c>
      <c r="C447" s="10" t="s">
        <v>141</v>
      </c>
      <c r="D447" s="10" t="s">
        <v>142</v>
      </c>
      <c r="E447" s="10" t="s">
        <v>339</v>
      </c>
      <c r="F447" s="10" t="s">
        <v>978</v>
      </c>
      <c r="G447" s="10" t="s">
        <v>979</v>
      </c>
      <c r="H447" s="10" t="s">
        <v>976</v>
      </c>
      <c r="I447" s="10" t="s">
        <v>40</v>
      </c>
      <c r="J447" s="10" t="s">
        <v>36</v>
      </c>
    </row>
    <row r="448" spans="1:10" ht="16" thickBot="1">
      <c r="A448" s="10" t="s">
        <v>21</v>
      </c>
      <c r="B448" s="10" t="s">
        <v>338</v>
      </c>
      <c r="C448" s="10" t="s">
        <v>141</v>
      </c>
      <c r="D448" s="10" t="s">
        <v>142</v>
      </c>
      <c r="E448" s="10" t="s">
        <v>339</v>
      </c>
      <c r="F448" s="10" t="s">
        <v>980</v>
      </c>
      <c r="G448" s="225" t="s">
        <v>981</v>
      </c>
      <c r="H448" s="10" t="s">
        <v>982</v>
      </c>
      <c r="I448" s="10" t="s">
        <v>40</v>
      </c>
      <c r="J448" s="10" t="s">
        <v>31</v>
      </c>
    </row>
    <row r="449" spans="1:10" ht="27" thickBot="1">
      <c r="A449" s="10" t="s">
        <v>21</v>
      </c>
      <c r="B449" s="10" t="s">
        <v>338</v>
      </c>
      <c r="C449" s="10" t="s">
        <v>141</v>
      </c>
      <c r="D449" s="10" t="s">
        <v>142</v>
      </c>
      <c r="E449" s="10" t="s">
        <v>339</v>
      </c>
      <c r="F449" s="10" t="s">
        <v>982</v>
      </c>
      <c r="G449" s="225" t="s">
        <v>983</v>
      </c>
      <c r="H449" s="10" t="s">
        <v>982</v>
      </c>
      <c r="I449" s="10" t="s">
        <v>40</v>
      </c>
      <c r="J449" s="10" t="s">
        <v>33</v>
      </c>
    </row>
    <row r="450" spans="1:10" ht="27" thickBot="1">
      <c r="A450" s="10" t="s">
        <v>21</v>
      </c>
      <c r="B450" s="10" t="s">
        <v>338</v>
      </c>
      <c r="C450" s="10" t="s">
        <v>141</v>
      </c>
      <c r="D450" s="10" t="s">
        <v>142</v>
      </c>
      <c r="E450" s="10" t="s">
        <v>339</v>
      </c>
      <c r="F450" s="10" t="s">
        <v>984</v>
      </c>
      <c r="G450" s="225" t="s">
        <v>985</v>
      </c>
      <c r="H450" s="10" t="s">
        <v>982</v>
      </c>
      <c r="I450" s="10" t="s">
        <v>40</v>
      </c>
      <c r="J450" s="10" t="s">
        <v>36</v>
      </c>
    </row>
    <row r="451" spans="1:10" ht="16" thickBot="1">
      <c r="A451" s="10" t="s">
        <v>21</v>
      </c>
      <c r="B451" s="10" t="s">
        <v>986</v>
      </c>
      <c r="C451" s="10" t="s">
        <v>141</v>
      </c>
      <c r="D451" s="10" t="s">
        <v>142</v>
      </c>
      <c r="E451" s="10" t="s">
        <v>143</v>
      </c>
      <c r="F451" s="10" t="s">
        <v>987</v>
      </c>
      <c r="G451" s="10" t="s">
        <v>988</v>
      </c>
      <c r="H451" s="10" t="s">
        <v>989</v>
      </c>
      <c r="I451" s="10" t="s">
        <v>40</v>
      </c>
      <c r="J451" s="10" t="s">
        <v>31</v>
      </c>
    </row>
    <row r="452" spans="1:10" ht="16" thickBot="1">
      <c r="A452" s="10" t="s">
        <v>21</v>
      </c>
      <c r="B452" s="10" t="s">
        <v>986</v>
      </c>
      <c r="C452" s="10" t="s">
        <v>141</v>
      </c>
      <c r="D452" s="10" t="s">
        <v>142</v>
      </c>
      <c r="E452" s="10" t="s">
        <v>143</v>
      </c>
      <c r="F452" s="10" t="s">
        <v>989</v>
      </c>
      <c r="G452" s="10" t="s">
        <v>990</v>
      </c>
      <c r="H452" s="10" t="s">
        <v>989</v>
      </c>
      <c r="I452" s="10" t="s">
        <v>40</v>
      </c>
      <c r="J452" s="10" t="s">
        <v>33</v>
      </c>
    </row>
    <row r="453" spans="1:10" ht="16" thickBot="1">
      <c r="A453" s="10" t="s">
        <v>21</v>
      </c>
      <c r="B453" s="10" t="s">
        <v>986</v>
      </c>
      <c r="C453" s="10" t="s">
        <v>141</v>
      </c>
      <c r="D453" s="10" t="s">
        <v>142</v>
      </c>
      <c r="E453" s="10" t="s">
        <v>143</v>
      </c>
      <c r="F453" s="10" t="s">
        <v>991</v>
      </c>
      <c r="G453" s="10" t="s">
        <v>992</v>
      </c>
      <c r="H453" s="10" t="s">
        <v>989</v>
      </c>
      <c r="I453" s="10" t="s">
        <v>40</v>
      </c>
      <c r="J453" s="10" t="s">
        <v>36</v>
      </c>
    </row>
    <row r="454" spans="1:10" ht="16" thickBot="1">
      <c r="A454" s="10" t="s">
        <v>21</v>
      </c>
      <c r="B454" s="10" t="s">
        <v>986</v>
      </c>
      <c r="C454" s="10" t="s">
        <v>141</v>
      </c>
      <c r="D454" s="10" t="s">
        <v>142</v>
      </c>
      <c r="E454" s="10" t="s">
        <v>143</v>
      </c>
      <c r="F454" s="10" t="s">
        <v>993</v>
      </c>
      <c r="G454" s="225" t="s">
        <v>994</v>
      </c>
      <c r="H454" s="10" t="s">
        <v>995</v>
      </c>
      <c r="I454" s="10" t="s">
        <v>30</v>
      </c>
      <c r="J454" s="10" t="s">
        <v>31</v>
      </c>
    </row>
    <row r="455" spans="1:10" ht="16" thickBot="1">
      <c r="A455" s="10" t="s">
        <v>21</v>
      </c>
      <c r="B455" s="10" t="s">
        <v>986</v>
      </c>
      <c r="C455" s="10" t="s">
        <v>141</v>
      </c>
      <c r="D455" s="10" t="s">
        <v>142</v>
      </c>
      <c r="E455" s="10" t="s">
        <v>143</v>
      </c>
      <c r="F455" s="10" t="s">
        <v>995</v>
      </c>
      <c r="G455" s="225" t="s">
        <v>996</v>
      </c>
      <c r="H455" s="10" t="s">
        <v>995</v>
      </c>
      <c r="I455" s="10" t="s">
        <v>30</v>
      </c>
      <c r="J455" s="10" t="s">
        <v>33</v>
      </c>
    </row>
    <row r="456" spans="1:10" ht="16" thickBot="1">
      <c r="A456" s="10" t="s">
        <v>21</v>
      </c>
      <c r="B456" s="10" t="s">
        <v>986</v>
      </c>
      <c r="C456" s="10" t="s">
        <v>141</v>
      </c>
      <c r="D456" s="10" t="s">
        <v>142</v>
      </c>
      <c r="E456" s="10" t="s">
        <v>143</v>
      </c>
      <c r="F456" s="10" t="s">
        <v>997</v>
      </c>
      <c r="G456" s="225" t="s">
        <v>998</v>
      </c>
      <c r="H456" s="10" t="s">
        <v>995</v>
      </c>
      <c r="I456" s="10" t="s">
        <v>30</v>
      </c>
      <c r="J456" s="10" t="s">
        <v>36</v>
      </c>
    </row>
    <row r="457" spans="1:10" ht="16" thickBot="1">
      <c r="A457" s="10" t="s">
        <v>21</v>
      </c>
      <c r="B457" s="10" t="s">
        <v>986</v>
      </c>
      <c r="C457" s="10" t="s">
        <v>141</v>
      </c>
      <c r="D457" s="10" t="s">
        <v>142</v>
      </c>
      <c r="E457" s="10" t="s">
        <v>143</v>
      </c>
      <c r="F457" s="10" t="s">
        <v>999</v>
      </c>
      <c r="G457" s="10" t="s">
        <v>1000</v>
      </c>
      <c r="H457" s="10" t="s">
        <v>1001</v>
      </c>
      <c r="I457" s="10" t="s">
        <v>30</v>
      </c>
      <c r="J457" s="10" t="s">
        <v>31</v>
      </c>
    </row>
    <row r="458" spans="1:10" ht="16" thickBot="1">
      <c r="A458" s="10" t="s">
        <v>21</v>
      </c>
      <c r="B458" s="10" t="s">
        <v>986</v>
      </c>
      <c r="C458" s="10" t="s">
        <v>141</v>
      </c>
      <c r="D458" s="10" t="s">
        <v>142</v>
      </c>
      <c r="E458" s="10" t="s">
        <v>143</v>
      </c>
      <c r="F458" s="10" t="s">
        <v>1001</v>
      </c>
      <c r="G458" s="10" t="s">
        <v>1002</v>
      </c>
      <c r="H458" s="10" t="s">
        <v>1001</v>
      </c>
      <c r="I458" s="10" t="s">
        <v>30</v>
      </c>
      <c r="J458" s="10" t="s">
        <v>33</v>
      </c>
    </row>
    <row r="459" spans="1:10" ht="16" thickBot="1">
      <c r="A459" s="10" t="s">
        <v>21</v>
      </c>
      <c r="B459" s="10" t="s">
        <v>986</v>
      </c>
      <c r="C459" s="10" t="s">
        <v>141</v>
      </c>
      <c r="D459" s="10" t="s">
        <v>142</v>
      </c>
      <c r="E459" s="10" t="s">
        <v>143</v>
      </c>
      <c r="F459" s="10" t="s">
        <v>1003</v>
      </c>
      <c r="G459" s="10" t="s">
        <v>1004</v>
      </c>
      <c r="H459" s="10" t="s">
        <v>1001</v>
      </c>
      <c r="I459" s="10" t="s">
        <v>30</v>
      </c>
      <c r="J459" s="10" t="s">
        <v>36</v>
      </c>
    </row>
    <row r="460" spans="1:10" ht="27" thickBot="1">
      <c r="A460" s="10" t="s">
        <v>21</v>
      </c>
      <c r="B460" s="10" t="s">
        <v>986</v>
      </c>
      <c r="C460" s="10" t="s">
        <v>141</v>
      </c>
      <c r="D460" s="10" t="s">
        <v>142</v>
      </c>
      <c r="E460" s="10" t="s">
        <v>143</v>
      </c>
      <c r="F460" s="10" t="s">
        <v>1005</v>
      </c>
      <c r="G460" s="225" t="s">
        <v>1006</v>
      </c>
      <c r="H460" s="10" t="s">
        <v>1007</v>
      </c>
      <c r="I460" s="10" t="s">
        <v>40</v>
      </c>
      <c r="J460" s="10" t="s">
        <v>48</v>
      </c>
    </row>
    <row r="461" spans="1:10" ht="16" thickBot="1">
      <c r="A461" s="10" t="s">
        <v>21</v>
      </c>
      <c r="B461" s="10" t="s">
        <v>986</v>
      </c>
      <c r="C461" s="10" t="s">
        <v>141</v>
      </c>
      <c r="D461" s="10" t="s">
        <v>142</v>
      </c>
      <c r="E461" s="10" t="s">
        <v>143</v>
      </c>
      <c r="F461" s="10" t="s">
        <v>1008</v>
      </c>
      <c r="G461" s="10" t="s">
        <v>1009</v>
      </c>
      <c r="H461" s="10" t="s">
        <v>1007</v>
      </c>
      <c r="I461" s="10" t="s">
        <v>40</v>
      </c>
      <c r="J461" s="10" t="s">
        <v>31</v>
      </c>
    </row>
    <row r="462" spans="1:10" ht="16" thickBot="1">
      <c r="A462" s="10" t="s">
        <v>21</v>
      </c>
      <c r="B462" s="10" t="s">
        <v>986</v>
      </c>
      <c r="C462" s="10" t="s">
        <v>141</v>
      </c>
      <c r="D462" s="10" t="s">
        <v>142</v>
      </c>
      <c r="E462" s="10" t="s">
        <v>143</v>
      </c>
      <c r="F462" s="10" t="s">
        <v>1007</v>
      </c>
      <c r="G462" s="10" t="s">
        <v>1010</v>
      </c>
      <c r="H462" s="10" t="s">
        <v>1007</v>
      </c>
      <c r="I462" s="10" t="s">
        <v>40</v>
      </c>
      <c r="J462" s="10" t="s">
        <v>33</v>
      </c>
    </row>
    <row r="463" spans="1:10" ht="16" thickBot="1">
      <c r="A463" s="10" t="s">
        <v>21</v>
      </c>
      <c r="B463" s="10" t="s">
        <v>986</v>
      </c>
      <c r="C463" s="10" t="s">
        <v>141</v>
      </c>
      <c r="D463" s="10" t="s">
        <v>142</v>
      </c>
      <c r="E463" s="10" t="s">
        <v>143</v>
      </c>
      <c r="F463" s="10" t="s">
        <v>1011</v>
      </c>
      <c r="G463" s="225" t="s">
        <v>1012</v>
      </c>
      <c r="H463" s="10" t="s">
        <v>1007</v>
      </c>
      <c r="I463" s="10" t="s">
        <v>40</v>
      </c>
      <c r="J463" s="10" t="s">
        <v>36</v>
      </c>
    </row>
    <row r="464" spans="1:10" ht="27" thickBot="1">
      <c r="A464" s="10" t="s">
        <v>21</v>
      </c>
      <c r="B464" s="10" t="s">
        <v>986</v>
      </c>
      <c r="C464" s="10" t="s">
        <v>141</v>
      </c>
      <c r="D464" s="10" t="s">
        <v>142</v>
      </c>
      <c r="E464" s="10" t="s">
        <v>143</v>
      </c>
      <c r="F464" s="10" t="s">
        <v>1013</v>
      </c>
      <c r="G464" s="225" t="s">
        <v>1014</v>
      </c>
      <c r="H464" s="10" t="s">
        <v>989</v>
      </c>
      <c r="I464" s="10" t="s">
        <v>40</v>
      </c>
      <c r="J464" s="10" t="s">
        <v>48</v>
      </c>
    </row>
    <row r="465" spans="1:10" ht="16" thickBot="1">
      <c r="A465" s="10" t="s">
        <v>21</v>
      </c>
      <c r="B465" s="10" t="s">
        <v>1015</v>
      </c>
      <c r="C465" s="10" t="s">
        <v>141</v>
      </c>
      <c r="D465" s="10" t="s">
        <v>142</v>
      </c>
      <c r="E465" s="10" t="s">
        <v>143</v>
      </c>
      <c r="F465" s="10" t="s">
        <v>1016</v>
      </c>
      <c r="G465" s="10" t="s">
        <v>1017</v>
      </c>
      <c r="H465" s="10" t="s">
        <v>1018</v>
      </c>
      <c r="I465" s="10" t="s">
        <v>30</v>
      </c>
      <c r="J465" s="10" t="s">
        <v>31</v>
      </c>
    </row>
    <row r="466" spans="1:10" ht="16" thickBot="1">
      <c r="A466" s="10" t="s">
        <v>21</v>
      </c>
      <c r="B466" s="10" t="s">
        <v>1015</v>
      </c>
      <c r="C466" s="10" t="s">
        <v>141</v>
      </c>
      <c r="D466" s="10" t="s">
        <v>142</v>
      </c>
      <c r="E466" s="10" t="s">
        <v>143</v>
      </c>
      <c r="F466" s="10" t="s">
        <v>1018</v>
      </c>
      <c r="G466" s="10" t="s">
        <v>1019</v>
      </c>
      <c r="H466" s="10" t="s">
        <v>1018</v>
      </c>
      <c r="I466" s="10" t="s">
        <v>30</v>
      </c>
      <c r="J466" s="10" t="s">
        <v>33</v>
      </c>
    </row>
    <row r="467" spans="1:10" ht="16" thickBot="1">
      <c r="A467" s="10" t="s">
        <v>21</v>
      </c>
      <c r="B467" s="10" t="s">
        <v>1015</v>
      </c>
      <c r="C467" s="10" t="s">
        <v>141</v>
      </c>
      <c r="D467" s="10" t="s">
        <v>142</v>
      </c>
      <c r="E467" s="10" t="s">
        <v>143</v>
      </c>
      <c r="F467" s="10" t="s">
        <v>1020</v>
      </c>
      <c r="G467" s="10" t="s">
        <v>1021</v>
      </c>
      <c r="H467" s="10" t="s">
        <v>1018</v>
      </c>
      <c r="I467" s="10" t="s">
        <v>30</v>
      </c>
      <c r="J467" s="10" t="s">
        <v>36</v>
      </c>
    </row>
    <row r="468" spans="1:10" ht="16" thickBot="1">
      <c r="A468" s="10" t="s">
        <v>21</v>
      </c>
      <c r="B468" s="10" t="s">
        <v>1015</v>
      </c>
      <c r="C468" s="10" t="s">
        <v>141</v>
      </c>
      <c r="D468" s="10" t="s">
        <v>142</v>
      </c>
      <c r="E468" s="10" t="s">
        <v>143</v>
      </c>
      <c r="F468" s="10" t="s">
        <v>1022</v>
      </c>
      <c r="G468" s="10" t="s">
        <v>1023</v>
      </c>
      <c r="H468" s="10" t="s">
        <v>1024</v>
      </c>
      <c r="I468" s="10" t="s">
        <v>40</v>
      </c>
      <c r="J468" s="10" t="s">
        <v>31</v>
      </c>
    </row>
    <row r="469" spans="1:10" ht="16" thickBot="1">
      <c r="A469" s="10" t="s">
        <v>21</v>
      </c>
      <c r="B469" s="10" t="s">
        <v>1015</v>
      </c>
      <c r="C469" s="10" t="s">
        <v>141</v>
      </c>
      <c r="D469" s="10" t="s">
        <v>142</v>
      </c>
      <c r="E469" s="10" t="s">
        <v>143</v>
      </c>
      <c r="F469" s="10" t="s">
        <v>1024</v>
      </c>
      <c r="G469" s="10" t="s">
        <v>1025</v>
      </c>
      <c r="H469" s="10" t="s">
        <v>1024</v>
      </c>
      <c r="I469" s="10" t="s">
        <v>40</v>
      </c>
      <c r="J469" s="10" t="s">
        <v>33</v>
      </c>
    </row>
    <row r="470" spans="1:10" ht="16" thickBot="1">
      <c r="A470" s="10" t="s">
        <v>21</v>
      </c>
      <c r="B470" s="10" t="s">
        <v>1015</v>
      </c>
      <c r="C470" s="10" t="s">
        <v>141</v>
      </c>
      <c r="D470" s="10" t="s">
        <v>142</v>
      </c>
      <c r="E470" s="10" t="s">
        <v>143</v>
      </c>
      <c r="F470" s="10" t="s">
        <v>1026</v>
      </c>
      <c r="G470" s="10" t="s">
        <v>1027</v>
      </c>
      <c r="H470" s="10" t="s">
        <v>1024</v>
      </c>
      <c r="I470" s="10" t="s">
        <v>40</v>
      </c>
      <c r="J470" s="10" t="s">
        <v>36</v>
      </c>
    </row>
    <row r="471" spans="1:10" ht="16" thickBot="1">
      <c r="A471" s="10" t="s">
        <v>21</v>
      </c>
      <c r="B471" s="10" t="s">
        <v>1015</v>
      </c>
      <c r="C471" s="10" t="s">
        <v>141</v>
      </c>
      <c r="D471" s="10" t="s">
        <v>142</v>
      </c>
      <c r="E471" s="10" t="s">
        <v>143</v>
      </c>
      <c r="F471" s="10" t="s">
        <v>1028</v>
      </c>
      <c r="G471" s="10" t="s">
        <v>1029</v>
      </c>
      <c r="H471" s="10" t="s">
        <v>1030</v>
      </c>
      <c r="I471" s="10" t="s">
        <v>40</v>
      </c>
      <c r="J471" s="10" t="s">
        <v>31</v>
      </c>
    </row>
    <row r="472" spans="1:10" ht="16" thickBot="1">
      <c r="A472" s="10" t="s">
        <v>21</v>
      </c>
      <c r="B472" s="10" t="s">
        <v>1015</v>
      </c>
      <c r="C472" s="10" t="s">
        <v>141</v>
      </c>
      <c r="D472" s="10" t="s">
        <v>142</v>
      </c>
      <c r="E472" s="10" t="s">
        <v>143</v>
      </c>
      <c r="F472" s="10" t="s">
        <v>1030</v>
      </c>
      <c r="G472" s="10" t="s">
        <v>1031</v>
      </c>
      <c r="H472" s="10" t="s">
        <v>1030</v>
      </c>
      <c r="I472" s="10" t="s">
        <v>40</v>
      </c>
      <c r="J472" s="10" t="s">
        <v>33</v>
      </c>
    </row>
    <row r="473" spans="1:10" ht="16" thickBot="1">
      <c r="A473" s="10" t="s">
        <v>21</v>
      </c>
      <c r="B473" s="10" t="s">
        <v>1015</v>
      </c>
      <c r="C473" s="10" t="s">
        <v>141</v>
      </c>
      <c r="D473" s="10" t="s">
        <v>142</v>
      </c>
      <c r="E473" s="10" t="s">
        <v>143</v>
      </c>
      <c r="F473" s="10" t="s">
        <v>1032</v>
      </c>
      <c r="G473" s="10" t="s">
        <v>1033</v>
      </c>
      <c r="H473" s="10" t="s">
        <v>1030</v>
      </c>
      <c r="I473" s="10" t="s">
        <v>40</v>
      </c>
      <c r="J473" s="10" t="s">
        <v>36</v>
      </c>
    </row>
    <row r="474" spans="1:10" ht="27" thickBot="1">
      <c r="A474" s="10" t="s">
        <v>21</v>
      </c>
      <c r="B474" s="10" t="s">
        <v>1015</v>
      </c>
      <c r="C474" s="10" t="s">
        <v>141</v>
      </c>
      <c r="D474" s="10" t="s">
        <v>142</v>
      </c>
      <c r="E474" s="10" t="s">
        <v>143</v>
      </c>
      <c r="F474" s="10" t="s">
        <v>1034</v>
      </c>
      <c r="G474" s="225" t="s">
        <v>1035</v>
      </c>
      <c r="H474" s="10" t="s">
        <v>1030</v>
      </c>
      <c r="I474" s="10" t="s">
        <v>40</v>
      </c>
      <c r="J474" s="10" t="s">
        <v>48</v>
      </c>
    </row>
    <row r="475" spans="1:10" ht="27" thickBot="1">
      <c r="A475" s="10" t="s">
        <v>21</v>
      </c>
      <c r="B475" s="10" t="s">
        <v>1015</v>
      </c>
      <c r="C475" s="10" t="s">
        <v>141</v>
      </c>
      <c r="D475" s="10" t="s">
        <v>142</v>
      </c>
      <c r="E475" s="10" t="s">
        <v>143</v>
      </c>
      <c r="F475" s="10" t="s">
        <v>1036</v>
      </c>
      <c r="G475" s="225" t="s">
        <v>1037</v>
      </c>
      <c r="H475" s="10" t="s">
        <v>1024</v>
      </c>
      <c r="I475" s="10" t="s">
        <v>40</v>
      </c>
      <c r="J475" s="10" t="s">
        <v>48</v>
      </c>
    </row>
    <row r="476" spans="1:10" ht="16" thickBot="1">
      <c r="A476" s="10" t="s">
        <v>21</v>
      </c>
      <c r="B476" s="10" t="s">
        <v>1015</v>
      </c>
      <c r="C476" s="10" t="s">
        <v>141</v>
      </c>
      <c r="D476" s="10" t="s">
        <v>142</v>
      </c>
      <c r="E476" s="10" t="s">
        <v>143</v>
      </c>
      <c r="F476" s="10" t="s">
        <v>1038</v>
      </c>
      <c r="G476" s="10" t="s">
        <v>1039</v>
      </c>
      <c r="H476" s="10" t="s">
        <v>1040</v>
      </c>
      <c r="I476" s="10" t="s">
        <v>30</v>
      </c>
      <c r="J476" s="10" t="s">
        <v>31</v>
      </c>
    </row>
    <row r="477" spans="1:10" ht="16" thickBot="1">
      <c r="A477" s="10" t="s">
        <v>21</v>
      </c>
      <c r="B477" s="10" t="s">
        <v>1015</v>
      </c>
      <c r="C477" s="10" t="s">
        <v>141</v>
      </c>
      <c r="D477" s="10" t="s">
        <v>142</v>
      </c>
      <c r="E477" s="10" t="s">
        <v>143</v>
      </c>
      <c r="F477" s="10" t="s">
        <v>1040</v>
      </c>
      <c r="G477" s="10" t="s">
        <v>1041</v>
      </c>
      <c r="H477" s="10" t="s">
        <v>1040</v>
      </c>
      <c r="I477" s="10" t="s">
        <v>30</v>
      </c>
      <c r="J477" s="10" t="s">
        <v>33</v>
      </c>
    </row>
    <row r="478" spans="1:10" ht="16" thickBot="1">
      <c r="A478" s="10" t="s">
        <v>21</v>
      </c>
      <c r="B478" s="10" t="s">
        <v>1015</v>
      </c>
      <c r="C478" s="10" t="s">
        <v>141</v>
      </c>
      <c r="D478" s="10" t="s">
        <v>142</v>
      </c>
      <c r="E478" s="10" t="s">
        <v>143</v>
      </c>
      <c r="F478" s="10" t="s">
        <v>1042</v>
      </c>
      <c r="G478" s="10" t="s">
        <v>1043</v>
      </c>
      <c r="H478" s="10" t="s">
        <v>1040</v>
      </c>
      <c r="I478" s="10" t="s">
        <v>30</v>
      </c>
      <c r="J478" s="10" t="s">
        <v>36</v>
      </c>
    </row>
    <row r="479" spans="1:10" ht="16" thickBot="1">
      <c r="A479" s="10" t="s">
        <v>21</v>
      </c>
      <c r="B479" s="10" t="s">
        <v>1044</v>
      </c>
      <c r="C479" s="10" t="s">
        <v>1045</v>
      </c>
      <c r="D479" s="10" t="s">
        <v>1046</v>
      </c>
      <c r="E479" s="10" t="s">
        <v>1047</v>
      </c>
      <c r="F479" s="10" t="s">
        <v>1048</v>
      </c>
      <c r="G479" s="10" t="s">
        <v>1049</v>
      </c>
      <c r="H479" s="10" t="s">
        <v>1050</v>
      </c>
      <c r="I479" s="10" t="s">
        <v>30</v>
      </c>
      <c r="J479" s="10" t="s">
        <v>31</v>
      </c>
    </row>
    <row r="480" spans="1:10" ht="16" thickBot="1">
      <c r="A480" s="10" t="s">
        <v>21</v>
      </c>
      <c r="B480" s="10" t="s">
        <v>1044</v>
      </c>
      <c r="C480" s="10" t="s">
        <v>1045</v>
      </c>
      <c r="D480" s="10" t="s">
        <v>1046</v>
      </c>
      <c r="E480" s="10" t="s">
        <v>1047</v>
      </c>
      <c r="F480" s="10" t="s">
        <v>1050</v>
      </c>
      <c r="G480" s="10" t="s">
        <v>1051</v>
      </c>
      <c r="H480" s="10" t="s">
        <v>1050</v>
      </c>
      <c r="I480" s="10" t="s">
        <v>30</v>
      </c>
      <c r="J480" s="10" t="s">
        <v>33</v>
      </c>
    </row>
    <row r="481" spans="1:10" ht="16" thickBot="1">
      <c r="A481" s="10" t="s">
        <v>21</v>
      </c>
      <c r="B481" s="10" t="s">
        <v>1044</v>
      </c>
      <c r="C481" s="10" t="s">
        <v>1045</v>
      </c>
      <c r="D481" s="10" t="s">
        <v>1046</v>
      </c>
      <c r="E481" s="10" t="s">
        <v>1047</v>
      </c>
      <c r="F481" s="10" t="s">
        <v>1052</v>
      </c>
      <c r="G481" s="10" t="s">
        <v>1053</v>
      </c>
      <c r="H481" s="10" t="s">
        <v>1050</v>
      </c>
      <c r="I481" s="10" t="s">
        <v>30</v>
      </c>
      <c r="J481" s="10" t="s">
        <v>36</v>
      </c>
    </row>
    <row r="482" spans="1:10" ht="16" thickBot="1">
      <c r="A482" s="10" t="s">
        <v>21</v>
      </c>
      <c r="B482" s="10" t="s">
        <v>1044</v>
      </c>
      <c r="C482" s="10" t="s">
        <v>1045</v>
      </c>
      <c r="D482" s="10" t="s">
        <v>1046</v>
      </c>
      <c r="E482" s="10" t="s">
        <v>1047</v>
      </c>
      <c r="F482" s="10" t="s">
        <v>1054</v>
      </c>
      <c r="G482" s="10" t="s">
        <v>1055</v>
      </c>
      <c r="H482" s="10" t="s">
        <v>1056</v>
      </c>
      <c r="I482" s="10" t="s">
        <v>40</v>
      </c>
      <c r="J482" s="10" t="s">
        <v>31</v>
      </c>
    </row>
    <row r="483" spans="1:10" ht="16" thickBot="1">
      <c r="A483" s="10" t="s">
        <v>21</v>
      </c>
      <c r="B483" s="10" t="s">
        <v>1044</v>
      </c>
      <c r="C483" s="10" t="s">
        <v>1045</v>
      </c>
      <c r="D483" s="10" t="s">
        <v>1046</v>
      </c>
      <c r="E483" s="10" t="s">
        <v>1047</v>
      </c>
      <c r="F483" s="10" t="s">
        <v>1056</v>
      </c>
      <c r="G483" s="10" t="s">
        <v>1057</v>
      </c>
      <c r="H483" s="10" t="s">
        <v>1056</v>
      </c>
      <c r="I483" s="10" t="s">
        <v>40</v>
      </c>
      <c r="J483" s="10" t="s">
        <v>33</v>
      </c>
    </row>
    <row r="484" spans="1:10" ht="16" thickBot="1">
      <c r="A484" s="10" t="s">
        <v>21</v>
      </c>
      <c r="B484" s="10" t="s">
        <v>1044</v>
      </c>
      <c r="C484" s="10" t="s">
        <v>1045</v>
      </c>
      <c r="D484" s="10" t="s">
        <v>1046</v>
      </c>
      <c r="E484" s="10" t="s">
        <v>1047</v>
      </c>
      <c r="F484" s="10" t="s">
        <v>1058</v>
      </c>
      <c r="G484" s="10" t="s">
        <v>1059</v>
      </c>
      <c r="H484" s="10" t="s">
        <v>1056</v>
      </c>
      <c r="I484" s="10" t="s">
        <v>40</v>
      </c>
      <c r="J484" s="10" t="s">
        <v>36</v>
      </c>
    </row>
    <row r="485" spans="1:10" ht="16" thickBot="1">
      <c r="A485" s="10" t="s">
        <v>21</v>
      </c>
      <c r="B485" s="10" t="s">
        <v>1044</v>
      </c>
      <c r="C485" s="10" t="s">
        <v>1045</v>
      </c>
      <c r="D485" s="10" t="s">
        <v>1046</v>
      </c>
      <c r="E485" s="10" t="s">
        <v>1047</v>
      </c>
      <c r="F485" s="10" t="s">
        <v>1060</v>
      </c>
      <c r="G485" s="10" t="s">
        <v>1061</v>
      </c>
      <c r="H485" s="10" t="s">
        <v>1062</v>
      </c>
      <c r="I485" s="10" t="s">
        <v>40</v>
      </c>
      <c r="J485" s="10" t="s">
        <v>31</v>
      </c>
    </row>
    <row r="486" spans="1:10" ht="29.25" customHeight="1" thickBot="1">
      <c r="A486" s="10" t="s">
        <v>21</v>
      </c>
      <c r="B486" s="10" t="s">
        <v>1044</v>
      </c>
      <c r="C486" s="10" t="s">
        <v>1045</v>
      </c>
      <c r="D486" s="10" t="s">
        <v>1046</v>
      </c>
      <c r="E486" s="10" t="s">
        <v>1047</v>
      </c>
      <c r="F486" s="10" t="s">
        <v>1062</v>
      </c>
      <c r="G486" s="10" t="s">
        <v>1063</v>
      </c>
      <c r="H486" s="10" t="s">
        <v>1062</v>
      </c>
      <c r="I486" s="10" t="s">
        <v>40</v>
      </c>
      <c r="J486" s="10" t="s">
        <v>33</v>
      </c>
    </row>
    <row r="487" spans="1:10" ht="16" thickBot="1">
      <c r="A487" s="10" t="s">
        <v>21</v>
      </c>
      <c r="B487" s="10" t="s">
        <v>1044</v>
      </c>
      <c r="C487" s="10" t="s">
        <v>1045</v>
      </c>
      <c r="D487" s="10" t="s">
        <v>1046</v>
      </c>
      <c r="E487" s="10" t="s">
        <v>1047</v>
      </c>
      <c r="F487" s="10" t="s">
        <v>1064</v>
      </c>
      <c r="G487" s="10" t="s">
        <v>1065</v>
      </c>
      <c r="H487" s="10" t="s">
        <v>1062</v>
      </c>
      <c r="I487" s="10" t="s">
        <v>40</v>
      </c>
      <c r="J487" s="10" t="s">
        <v>36</v>
      </c>
    </row>
    <row r="488" spans="1:10" ht="27" thickBot="1">
      <c r="A488" s="10" t="s">
        <v>21</v>
      </c>
      <c r="B488" s="10" t="s">
        <v>1044</v>
      </c>
      <c r="C488" s="10" t="s">
        <v>1045</v>
      </c>
      <c r="D488" s="10" t="s">
        <v>1046</v>
      </c>
      <c r="E488" s="10" t="s">
        <v>1047</v>
      </c>
      <c r="F488" s="10" t="s">
        <v>1066</v>
      </c>
      <c r="G488" s="225" t="s">
        <v>1067</v>
      </c>
      <c r="H488" s="10" t="s">
        <v>1062</v>
      </c>
      <c r="I488" s="10" t="s">
        <v>40</v>
      </c>
      <c r="J488" s="10" t="s">
        <v>48</v>
      </c>
    </row>
    <row r="489" spans="1:10" ht="16" thickBot="1">
      <c r="A489" s="10" t="s">
        <v>21</v>
      </c>
      <c r="B489" s="10" t="s">
        <v>1044</v>
      </c>
      <c r="C489" s="10" t="s">
        <v>1045</v>
      </c>
      <c r="D489" s="10" t="s">
        <v>1046</v>
      </c>
      <c r="E489" s="10" t="s">
        <v>1047</v>
      </c>
      <c r="F489" s="10" t="s">
        <v>1068</v>
      </c>
      <c r="G489" s="225" t="s">
        <v>1069</v>
      </c>
      <c r="H489" s="10" t="s">
        <v>1056</v>
      </c>
      <c r="I489" s="10" t="s">
        <v>40</v>
      </c>
      <c r="J489" s="10" t="s">
        <v>48</v>
      </c>
    </row>
    <row r="490" spans="1:10" ht="16" thickBot="1">
      <c r="A490" s="10" t="s">
        <v>21</v>
      </c>
      <c r="B490" s="10" t="s">
        <v>1044</v>
      </c>
      <c r="C490" s="10" t="s">
        <v>1045</v>
      </c>
      <c r="D490" s="10" t="s">
        <v>1046</v>
      </c>
      <c r="E490" s="10" t="s">
        <v>1047</v>
      </c>
      <c r="F490" s="10" t="s">
        <v>1070</v>
      </c>
      <c r="G490" s="10" t="s">
        <v>1071</v>
      </c>
      <c r="H490" s="10" t="s">
        <v>1072</v>
      </c>
      <c r="I490" s="10" t="s">
        <v>30</v>
      </c>
      <c r="J490" s="10" t="s">
        <v>31</v>
      </c>
    </row>
    <row r="491" spans="1:10" ht="16" thickBot="1">
      <c r="A491" s="10" t="s">
        <v>21</v>
      </c>
      <c r="B491" s="10" t="s">
        <v>1044</v>
      </c>
      <c r="C491" s="10" t="s">
        <v>1045</v>
      </c>
      <c r="D491" s="10" t="s">
        <v>1046</v>
      </c>
      <c r="E491" s="10" t="s">
        <v>1047</v>
      </c>
      <c r="F491" s="10" t="s">
        <v>1072</v>
      </c>
      <c r="G491" s="10" t="s">
        <v>1073</v>
      </c>
      <c r="H491" s="10" t="s">
        <v>1072</v>
      </c>
      <c r="I491" s="10" t="s">
        <v>30</v>
      </c>
      <c r="J491" s="10" t="s">
        <v>33</v>
      </c>
    </row>
    <row r="492" spans="1:10" ht="16" thickBot="1">
      <c r="A492" s="10" t="s">
        <v>21</v>
      </c>
      <c r="B492" s="10" t="s">
        <v>1044</v>
      </c>
      <c r="C492" s="10" t="s">
        <v>1045</v>
      </c>
      <c r="D492" s="10" t="s">
        <v>1046</v>
      </c>
      <c r="E492" s="10" t="s">
        <v>1047</v>
      </c>
      <c r="F492" s="10" t="s">
        <v>1074</v>
      </c>
      <c r="G492" s="10" t="s">
        <v>1075</v>
      </c>
      <c r="H492" s="10" t="s">
        <v>1072</v>
      </c>
      <c r="I492" s="10" t="s">
        <v>30</v>
      </c>
      <c r="J492" s="10" t="s">
        <v>36</v>
      </c>
    </row>
    <row r="493" spans="1:10" ht="16" thickBot="1">
      <c r="A493" s="10" t="s">
        <v>21</v>
      </c>
      <c r="B493" s="10" t="s">
        <v>1044</v>
      </c>
      <c r="C493" s="10" t="s">
        <v>1045</v>
      </c>
      <c r="D493" s="10" t="s">
        <v>1046</v>
      </c>
      <c r="E493" s="10" t="s">
        <v>1047</v>
      </c>
      <c r="F493" s="10" t="s">
        <v>1076</v>
      </c>
      <c r="G493" s="10" t="s">
        <v>1077</v>
      </c>
      <c r="H493" s="10" t="s">
        <v>1078</v>
      </c>
      <c r="I493" s="10" t="s">
        <v>1079</v>
      </c>
      <c r="J493" s="10" t="s">
        <v>31</v>
      </c>
    </row>
    <row r="494" spans="1:10" ht="16" thickBot="1">
      <c r="A494" s="10" t="s">
        <v>21</v>
      </c>
      <c r="B494" s="10" t="s">
        <v>1044</v>
      </c>
      <c r="C494" s="10" t="s">
        <v>1045</v>
      </c>
      <c r="D494" s="10" t="s">
        <v>1046</v>
      </c>
      <c r="E494" s="10" t="s">
        <v>1047</v>
      </c>
      <c r="F494" s="10" t="s">
        <v>1078</v>
      </c>
      <c r="G494" s="10" t="s">
        <v>1080</v>
      </c>
      <c r="H494" s="10" t="s">
        <v>1078</v>
      </c>
      <c r="I494" s="10" t="s">
        <v>1079</v>
      </c>
      <c r="J494" s="10" t="s">
        <v>33</v>
      </c>
    </row>
    <row r="495" spans="1:10" ht="16" thickBot="1">
      <c r="A495" s="10" t="s">
        <v>21</v>
      </c>
      <c r="B495" s="10" t="s">
        <v>1044</v>
      </c>
      <c r="C495" s="10" t="s">
        <v>1045</v>
      </c>
      <c r="D495" s="10" t="s">
        <v>1046</v>
      </c>
      <c r="E495" s="10" t="s">
        <v>1047</v>
      </c>
      <c r="F495" s="10" t="s">
        <v>1081</v>
      </c>
      <c r="G495" s="10" t="s">
        <v>1082</v>
      </c>
      <c r="H495" s="10" t="s">
        <v>1078</v>
      </c>
      <c r="I495" s="10" t="s">
        <v>1079</v>
      </c>
      <c r="J495" s="10" t="s">
        <v>36</v>
      </c>
    </row>
    <row r="496" spans="1:10" ht="16" thickBot="1">
      <c r="A496" s="10" t="s">
        <v>21</v>
      </c>
      <c r="B496" s="10" t="s">
        <v>1044</v>
      </c>
      <c r="C496" s="10" t="s">
        <v>1045</v>
      </c>
      <c r="D496" s="10" t="s">
        <v>1046</v>
      </c>
      <c r="E496" s="10" t="s">
        <v>1047</v>
      </c>
      <c r="F496" s="10" t="s">
        <v>1083</v>
      </c>
      <c r="G496" s="10" t="s">
        <v>1084</v>
      </c>
      <c r="H496" s="10" t="s">
        <v>1085</v>
      </c>
      <c r="I496" s="10" t="s">
        <v>1079</v>
      </c>
      <c r="J496" s="10" t="s">
        <v>31</v>
      </c>
    </row>
    <row r="497" spans="1:16" ht="16" thickBot="1">
      <c r="A497" s="10" t="s">
        <v>21</v>
      </c>
      <c r="B497" s="10" t="s">
        <v>1044</v>
      </c>
      <c r="C497" s="10" t="s">
        <v>1045</v>
      </c>
      <c r="D497" s="10" t="s">
        <v>1046</v>
      </c>
      <c r="E497" s="10" t="s">
        <v>1047</v>
      </c>
      <c r="F497" s="10" t="s">
        <v>1085</v>
      </c>
      <c r="G497" s="10" t="s">
        <v>1086</v>
      </c>
      <c r="H497" s="10" t="s">
        <v>1085</v>
      </c>
      <c r="I497" s="10" t="s">
        <v>1079</v>
      </c>
      <c r="J497" s="10" t="s">
        <v>33</v>
      </c>
    </row>
    <row r="498" spans="1:16" ht="16" thickBot="1">
      <c r="A498" s="10" t="s">
        <v>21</v>
      </c>
      <c r="B498" s="10" t="s">
        <v>1044</v>
      </c>
      <c r="C498" s="10" t="s">
        <v>1045</v>
      </c>
      <c r="D498" s="10" t="s">
        <v>1046</v>
      </c>
      <c r="E498" s="10" t="s">
        <v>1047</v>
      </c>
      <c r="F498" s="10" t="s">
        <v>1087</v>
      </c>
      <c r="G498" s="10" t="s">
        <v>1088</v>
      </c>
      <c r="H498" s="10" t="s">
        <v>1085</v>
      </c>
      <c r="I498" s="10" t="s">
        <v>1079</v>
      </c>
      <c r="J498" s="10" t="s">
        <v>36</v>
      </c>
    </row>
    <row r="499" spans="1:16" ht="29.25" customHeight="1" thickBot="1">
      <c r="A499" s="10" t="s">
        <v>21</v>
      </c>
      <c r="B499" s="10" t="s">
        <v>1257</v>
      </c>
      <c r="C499" s="10" t="s">
        <v>1134</v>
      </c>
      <c r="D499" s="10" t="s">
        <v>1135</v>
      </c>
      <c r="E499" s="10" t="s">
        <v>1258</v>
      </c>
      <c r="F499" s="10" t="s">
        <v>1259</v>
      </c>
      <c r="G499" s="225" t="s">
        <v>1260</v>
      </c>
      <c r="H499" s="10" t="s">
        <v>1261</v>
      </c>
      <c r="I499" s="10" t="s">
        <v>375</v>
      </c>
      <c r="J499" s="10" t="s">
        <v>31</v>
      </c>
      <c r="P499" s="4"/>
    </row>
    <row r="500" spans="1:16" ht="29.25" customHeight="1" thickBot="1">
      <c r="A500" s="10" t="s">
        <v>21</v>
      </c>
      <c r="B500" s="10" t="s">
        <v>1257</v>
      </c>
      <c r="C500" s="10" t="s">
        <v>1134</v>
      </c>
      <c r="D500" s="10" t="s">
        <v>1135</v>
      </c>
      <c r="E500" s="10" t="s">
        <v>1258</v>
      </c>
      <c r="F500" s="10" t="s">
        <v>1261</v>
      </c>
      <c r="G500" s="10" t="s">
        <v>1262</v>
      </c>
      <c r="H500" s="10" t="s">
        <v>1261</v>
      </c>
      <c r="I500" s="10" t="s">
        <v>375</v>
      </c>
      <c r="J500" s="10" t="s">
        <v>33</v>
      </c>
      <c r="P500" s="4"/>
    </row>
    <row r="501" spans="1:16" ht="29.25" customHeight="1" thickBot="1">
      <c r="A501" s="10" t="s">
        <v>21</v>
      </c>
      <c r="B501" s="10" t="s">
        <v>1257</v>
      </c>
      <c r="C501" s="10" t="s">
        <v>1134</v>
      </c>
      <c r="D501" s="10" t="s">
        <v>1135</v>
      </c>
      <c r="E501" s="10" t="s">
        <v>1258</v>
      </c>
      <c r="F501" s="10" t="s">
        <v>1263</v>
      </c>
      <c r="G501" s="225" t="s">
        <v>1264</v>
      </c>
      <c r="H501" s="10" t="s">
        <v>1261</v>
      </c>
      <c r="I501" s="10" t="s">
        <v>375</v>
      </c>
      <c r="J501" s="10" t="s">
        <v>36</v>
      </c>
      <c r="P501" s="4"/>
    </row>
    <row r="502" spans="1:16" ht="29.25" customHeight="1" thickBot="1">
      <c r="A502" s="10" t="s">
        <v>21</v>
      </c>
      <c r="B502" s="10" t="s">
        <v>1257</v>
      </c>
      <c r="C502" s="10" t="s">
        <v>1134</v>
      </c>
      <c r="D502" s="10" t="s">
        <v>1135</v>
      </c>
      <c r="E502" s="10" t="s">
        <v>1258</v>
      </c>
      <c r="F502" s="10" t="s">
        <v>1265</v>
      </c>
      <c r="G502" s="10" t="s">
        <v>1266</v>
      </c>
      <c r="H502" s="10" t="s">
        <v>1267</v>
      </c>
      <c r="I502" s="10" t="s">
        <v>375</v>
      </c>
      <c r="J502" s="10" t="s">
        <v>31</v>
      </c>
      <c r="P502" s="4"/>
    </row>
    <row r="503" spans="1:16" ht="29.25" customHeight="1" thickBot="1">
      <c r="A503" s="10" t="s">
        <v>21</v>
      </c>
      <c r="B503" s="10" t="s">
        <v>1257</v>
      </c>
      <c r="C503" s="10" t="s">
        <v>1134</v>
      </c>
      <c r="D503" s="10" t="s">
        <v>1135</v>
      </c>
      <c r="E503" s="10" t="s">
        <v>1258</v>
      </c>
      <c r="F503" s="10" t="s">
        <v>1267</v>
      </c>
      <c r="G503" s="10" t="s">
        <v>1268</v>
      </c>
      <c r="H503" s="10" t="s">
        <v>1267</v>
      </c>
      <c r="I503" s="10" t="s">
        <v>375</v>
      </c>
      <c r="J503" s="10" t="s">
        <v>33</v>
      </c>
      <c r="P503" s="4"/>
    </row>
    <row r="504" spans="1:16" ht="29.25" customHeight="1" thickBot="1">
      <c r="A504" s="10" t="s">
        <v>21</v>
      </c>
      <c r="B504" s="10" t="s">
        <v>1257</v>
      </c>
      <c r="C504" s="10" t="s">
        <v>1134</v>
      </c>
      <c r="D504" s="10" t="s">
        <v>1135</v>
      </c>
      <c r="E504" s="10" t="s">
        <v>1258</v>
      </c>
      <c r="F504" s="10" t="s">
        <v>1269</v>
      </c>
      <c r="G504" s="10" t="s">
        <v>1270</v>
      </c>
      <c r="H504" s="10" t="s">
        <v>1267</v>
      </c>
      <c r="I504" s="10" t="s">
        <v>375</v>
      </c>
      <c r="J504" s="10" t="s">
        <v>36</v>
      </c>
      <c r="P504" s="4"/>
    </row>
    <row r="505" spans="1:16" thickBot="1">
      <c r="A505" s="10" t="s">
        <v>1448</v>
      </c>
      <c r="B505" s="10" t="s">
        <v>1449</v>
      </c>
      <c r="C505" s="10" t="s">
        <v>1522</v>
      </c>
      <c r="D505" s="10" t="s">
        <v>1445</v>
      </c>
      <c r="E505" s="10" t="s">
        <v>1443</v>
      </c>
      <c r="F505" s="163" t="s">
        <v>1444</v>
      </c>
      <c r="G505" s="158" t="s">
        <v>1445</v>
      </c>
      <c r="H505" s="163" t="s">
        <v>1444</v>
      </c>
      <c r="I505" s="226" t="s">
        <v>1446</v>
      </c>
      <c r="J505" s="10" t="s">
        <v>33</v>
      </c>
      <c r="K505" s="227"/>
      <c r="L505" s="227"/>
      <c r="M505" s="227"/>
      <c r="N505" s="228"/>
      <c r="O505" s="229"/>
      <c r="P505" s="227"/>
    </row>
    <row r="506" spans="1:16" ht="16" thickBot="1">
      <c r="A506" s="10" t="s">
        <v>1488</v>
      </c>
      <c r="B506" s="10" t="s">
        <v>1489</v>
      </c>
      <c r="C506" s="10"/>
      <c r="D506" s="10" t="s">
        <v>1487</v>
      </c>
      <c r="E506" s="10" t="s">
        <v>1486</v>
      </c>
      <c r="F506" s="194" t="s">
        <v>1193</v>
      </c>
      <c r="G506" s="196" t="s">
        <v>1194</v>
      </c>
      <c r="H506" s="194" t="s">
        <v>1193</v>
      </c>
      <c r="I506" s="197" t="s">
        <v>1437</v>
      </c>
      <c r="J506" s="66" t="s">
        <v>31</v>
      </c>
      <c r="K506" s="201"/>
      <c r="L506" s="227"/>
      <c r="M506" s="230"/>
      <c r="N506" s="228"/>
      <c r="O506" s="231"/>
    </row>
    <row r="507" spans="1:16" ht="16" thickBot="1">
      <c r="A507" s="10" t="s">
        <v>1488</v>
      </c>
      <c r="B507" s="10" t="s">
        <v>1489</v>
      </c>
      <c r="C507" s="10"/>
      <c r="D507" s="10" t="s">
        <v>1487</v>
      </c>
      <c r="E507" s="10" t="s">
        <v>1486</v>
      </c>
      <c r="F507" s="194" t="s">
        <v>1195</v>
      </c>
      <c r="G507" s="196" t="s">
        <v>1196</v>
      </c>
      <c r="H507" s="194" t="s">
        <v>1195</v>
      </c>
      <c r="I507" s="197" t="s">
        <v>1437</v>
      </c>
      <c r="J507" s="66" t="s">
        <v>33</v>
      </c>
      <c r="K507" s="201"/>
      <c r="L507" s="227"/>
      <c r="M507" s="230"/>
      <c r="N507" s="228"/>
      <c r="O507" s="231"/>
    </row>
    <row r="508" spans="1:16" ht="16" thickBot="1">
      <c r="A508" s="10" t="s">
        <v>1488</v>
      </c>
      <c r="B508" s="10" t="s">
        <v>1489</v>
      </c>
      <c r="C508" s="10"/>
      <c r="D508" s="10" t="s">
        <v>1487</v>
      </c>
      <c r="E508" s="10" t="s">
        <v>1486</v>
      </c>
      <c r="F508" s="194" t="s">
        <v>1212</v>
      </c>
      <c r="G508" s="196" t="s">
        <v>1213</v>
      </c>
      <c r="H508" s="194" t="s">
        <v>1212</v>
      </c>
      <c r="I508" s="197" t="s">
        <v>1490</v>
      </c>
      <c r="J508" s="66" t="s">
        <v>31</v>
      </c>
      <c r="K508" s="201"/>
      <c r="L508" s="227"/>
      <c r="M508" s="230"/>
      <c r="N508" s="228"/>
      <c r="O508" s="231"/>
    </row>
    <row r="509" spans="1:16" ht="16" thickBot="1">
      <c r="A509" s="10" t="s">
        <v>1488</v>
      </c>
      <c r="B509" s="10" t="s">
        <v>1489</v>
      </c>
      <c r="C509" s="10"/>
      <c r="D509" s="10" t="s">
        <v>1487</v>
      </c>
      <c r="E509" s="10" t="s">
        <v>1486</v>
      </c>
      <c r="F509" s="194" t="s">
        <v>1214</v>
      </c>
      <c r="G509" s="196" t="s">
        <v>1215</v>
      </c>
      <c r="H509" s="194" t="s">
        <v>1214</v>
      </c>
      <c r="I509" s="197" t="s">
        <v>1490</v>
      </c>
      <c r="J509" s="66" t="s">
        <v>33</v>
      </c>
      <c r="K509" s="201"/>
      <c r="L509" s="227"/>
      <c r="M509" s="230"/>
      <c r="N509" s="228"/>
      <c r="O509" s="231"/>
    </row>
    <row r="510" spans="1:16" thickBot="1">
      <c r="A510" s="10" t="s">
        <v>1089</v>
      </c>
      <c r="B510" s="10" t="s">
        <v>1091</v>
      </c>
      <c r="C510" s="10" t="s">
        <v>1092</v>
      </c>
      <c r="D510" s="10" t="s">
        <v>1093</v>
      </c>
      <c r="E510" s="10" t="s">
        <v>1094</v>
      </c>
      <c r="F510" s="163" t="s">
        <v>1095</v>
      </c>
      <c r="G510" s="158" t="s">
        <v>1096</v>
      </c>
      <c r="H510" s="163" t="s">
        <v>1097</v>
      </c>
      <c r="I510" s="10" t="s">
        <v>1490</v>
      </c>
      <c r="J510" s="10" t="s">
        <v>31</v>
      </c>
      <c r="K510" s="201"/>
      <c r="L510" s="227"/>
      <c r="M510" s="201"/>
      <c r="N510" s="228"/>
      <c r="O510" s="232"/>
      <c r="P510" s="227"/>
    </row>
    <row r="511" spans="1:16" thickBot="1">
      <c r="A511" s="10" t="s">
        <v>1089</v>
      </c>
      <c r="B511" s="10" t="s">
        <v>1091</v>
      </c>
      <c r="C511" s="10" t="s">
        <v>1092</v>
      </c>
      <c r="D511" s="10" t="s">
        <v>1093</v>
      </c>
      <c r="E511" s="10" t="s">
        <v>1094</v>
      </c>
      <c r="F511" s="163" t="s">
        <v>1097</v>
      </c>
      <c r="G511" s="158" t="s">
        <v>1098</v>
      </c>
      <c r="H511" s="163" t="s">
        <v>1097</v>
      </c>
      <c r="I511" s="10" t="s">
        <v>1490</v>
      </c>
      <c r="J511" s="10" t="s">
        <v>33</v>
      </c>
      <c r="K511" s="201"/>
      <c r="L511" s="227"/>
      <c r="M511" s="201"/>
      <c r="N511" s="228"/>
      <c r="O511" s="232"/>
      <c r="P511" s="227"/>
    </row>
    <row r="512" spans="1:16" thickBot="1">
      <c r="A512" s="10" t="s">
        <v>1089</v>
      </c>
      <c r="B512" s="10" t="s">
        <v>1091</v>
      </c>
      <c r="C512" s="10" t="s">
        <v>1092</v>
      </c>
      <c r="D512" s="10" t="s">
        <v>1093</v>
      </c>
      <c r="E512" s="10" t="s">
        <v>1094</v>
      </c>
      <c r="F512" s="163" t="s">
        <v>1099</v>
      </c>
      <c r="G512" s="158" t="s">
        <v>1100</v>
      </c>
      <c r="H512" s="163" t="s">
        <v>1097</v>
      </c>
      <c r="I512" s="10" t="s">
        <v>1523</v>
      </c>
      <c r="J512" s="10" t="s">
        <v>36</v>
      </c>
      <c r="K512" s="201"/>
      <c r="L512" s="227"/>
      <c r="M512" s="201"/>
      <c r="N512" s="228"/>
      <c r="O512" s="232"/>
      <c r="P512" s="227"/>
    </row>
    <row r="513" spans="1:21" thickBot="1">
      <c r="A513" s="10" t="s">
        <v>1089</v>
      </c>
      <c r="B513" s="10" t="s">
        <v>1091</v>
      </c>
      <c r="C513" s="10" t="s">
        <v>1092</v>
      </c>
      <c r="D513" s="10" t="s">
        <v>1093</v>
      </c>
      <c r="E513" s="10" t="s">
        <v>1094</v>
      </c>
      <c r="F513" s="163" t="s">
        <v>1101</v>
      </c>
      <c r="G513" s="158" t="s">
        <v>1102</v>
      </c>
      <c r="H513" s="163" t="s">
        <v>1103</v>
      </c>
      <c r="I513" s="10" t="s">
        <v>1104</v>
      </c>
      <c r="J513" s="10" t="s">
        <v>31</v>
      </c>
      <c r="K513" s="201"/>
      <c r="L513" s="227"/>
      <c r="M513" s="201"/>
      <c r="N513" s="228"/>
      <c r="O513" s="232"/>
      <c r="P513" s="227"/>
    </row>
    <row r="514" spans="1:21" thickBot="1">
      <c r="A514" s="10" t="s">
        <v>1089</v>
      </c>
      <c r="B514" s="10" t="s">
        <v>1091</v>
      </c>
      <c r="C514" s="10" t="s">
        <v>1092</v>
      </c>
      <c r="D514" s="10" t="s">
        <v>1093</v>
      </c>
      <c r="E514" s="10" t="s">
        <v>1094</v>
      </c>
      <c r="F514" s="163" t="s">
        <v>1103</v>
      </c>
      <c r="G514" s="158" t="s">
        <v>1105</v>
      </c>
      <c r="H514" s="163" t="s">
        <v>1103</v>
      </c>
      <c r="I514" s="10" t="s">
        <v>1104</v>
      </c>
      <c r="J514" s="10" t="s">
        <v>33</v>
      </c>
      <c r="K514" s="201"/>
      <c r="L514" s="227"/>
      <c r="M514" s="201"/>
      <c r="N514" s="228"/>
      <c r="O514" s="232"/>
      <c r="P514" s="227"/>
    </row>
    <row r="515" spans="1:21" thickBot="1">
      <c r="A515" s="10" t="s">
        <v>1089</v>
      </c>
      <c r="B515" s="10" t="s">
        <v>1091</v>
      </c>
      <c r="C515" s="10" t="s">
        <v>1092</v>
      </c>
      <c r="D515" s="10" t="s">
        <v>1093</v>
      </c>
      <c r="E515" s="10" t="s">
        <v>1094</v>
      </c>
      <c r="F515" s="163" t="s">
        <v>1106</v>
      </c>
      <c r="G515" s="158" t="s">
        <v>1107</v>
      </c>
      <c r="H515" s="163" t="s">
        <v>1103</v>
      </c>
      <c r="I515" s="10" t="s">
        <v>1104</v>
      </c>
      <c r="J515" s="10" t="s">
        <v>36</v>
      </c>
      <c r="K515" s="201"/>
      <c r="L515" s="227"/>
      <c r="M515" s="201"/>
      <c r="N515" s="228"/>
      <c r="O515" s="232"/>
      <c r="P515" s="227"/>
    </row>
    <row r="516" spans="1:21" thickBot="1">
      <c r="A516" s="10" t="s">
        <v>1089</v>
      </c>
      <c r="B516" s="10" t="s">
        <v>1091</v>
      </c>
      <c r="C516" s="10" t="s">
        <v>1092</v>
      </c>
      <c r="D516" s="10" t="s">
        <v>1093</v>
      </c>
      <c r="E516" s="10" t="s">
        <v>1094</v>
      </c>
      <c r="F516" s="163" t="s">
        <v>1108</v>
      </c>
      <c r="G516" s="158" t="s">
        <v>1109</v>
      </c>
      <c r="H516" s="163" t="s">
        <v>1110</v>
      </c>
      <c r="I516" s="10" t="s">
        <v>30</v>
      </c>
      <c r="J516" s="10" t="s">
        <v>31</v>
      </c>
      <c r="K516" s="201"/>
      <c r="L516" s="227"/>
      <c r="M516" s="201"/>
      <c r="N516" s="228"/>
      <c r="O516" s="232"/>
      <c r="P516" s="227"/>
    </row>
    <row r="517" spans="1:21" thickBot="1">
      <c r="A517" s="10" t="s">
        <v>1089</v>
      </c>
      <c r="B517" s="10" t="s">
        <v>1091</v>
      </c>
      <c r="C517" s="10" t="s">
        <v>1092</v>
      </c>
      <c r="D517" s="10" t="s">
        <v>1093</v>
      </c>
      <c r="E517" s="10" t="s">
        <v>1094</v>
      </c>
      <c r="F517" s="163" t="s">
        <v>1110</v>
      </c>
      <c r="G517" s="158" t="s">
        <v>1111</v>
      </c>
      <c r="H517" s="163" t="s">
        <v>1110</v>
      </c>
      <c r="I517" s="10" t="s">
        <v>30</v>
      </c>
      <c r="J517" s="10" t="s">
        <v>33</v>
      </c>
      <c r="K517" s="201"/>
      <c r="L517" s="227"/>
      <c r="M517" s="201"/>
      <c r="N517" s="228"/>
      <c r="O517" s="232"/>
      <c r="P517" s="227"/>
    </row>
    <row r="518" spans="1:21" thickBot="1">
      <c r="A518" s="10" t="s">
        <v>1089</v>
      </c>
      <c r="B518" s="10" t="s">
        <v>1091</v>
      </c>
      <c r="C518" s="10" t="s">
        <v>1092</v>
      </c>
      <c r="D518" s="10" t="s">
        <v>1093</v>
      </c>
      <c r="E518" s="10" t="s">
        <v>1094</v>
      </c>
      <c r="F518" s="163" t="s">
        <v>1112</v>
      </c>
      <c r="G518" s="158" t="s">
        <v>1113</v>
      </c>
      <c r="H518" s="163" t="s">
        <v>1110</v>
      </c>
      <c r="I518" s="10" t="s">
        <v>30</v>
      </c>
      <c r="J518" s="10" t="s">
        <v>36</v>
      </c>
      <c r="K518" s="201"/>
      <c r="L518" s="227"/>
      <c r="M518" s="201"/>
      <c r="N518" s="228"/>
      <c r="O518" s="232"/>
      <c r="P518" s="227"/>
    </row>
    <row r="519" spans="1:21" thickBot="1">
      <c r="A519" s="10" t="s">
        <v>1089</v>
      </c>
      <c r="B519" s="10" t="s">
        <v>1091</v>
      </c>
      <c r="C519" s="10" t="s">
        <v>1092</v>
      </c>
      <c r="D519" s="10" t="s">
        <v>1093</v>
      </c>
      <c r="E519" s="10" t="s">
        <v>1094</v>
      </c>
      <c r="F519" s="163" t="s">
        <v>1114</v>
      </c>
      <c r="G519" s="158" t="s">
        <v>1115</v>
      </c>
      <c r="H519" s="163" t="s">
        <v>1116</v>
      </c>
      <c r="I519" s="10" t="s">
        <v>40</v>
      </c>
      <c r="J519" s="10" t="s">
        <v>31</v>
      </c>
      <c r="K519" s="201"/>
      <c r="L519" s="227"/>
      <c r="M519" s="201"/>
      <c r="N519" s="228"/>
      <c r="O519" s="232"/>
      <c r="P519" s="227"/>
    </row>
    <row r="520" spans="1:21" thickBot="1">
      <c r="A520" s="10" t="s">
        <v>1089</v>
      </c>
      <c r="B520" s="10" t="s">
        <v>1091</v>
      </c>
      <c r="C520" s="10" t="s">
        <v>1092</v>
      </c>
      <c r="D520" s="10" t="s">
        <v>1093</v>
      </c>
      <c r="E520" s="10" t="s">
        <v>1094</v>
      </c>
      <c r="F520" s="163" t="s">
        <v>1116</v>
      </c>
      <c r="G520" s="158" t="s">
        <v>1117</v>
      </c>
      <c r="H520" s="163" t="s">
        <v>1116</v>
      </c>
      <c r="I520" s="10" t="s">
        <v>40</v>
      </c>
      <c r="J520" s="10" t="s">
        <v>33</v>
      </c>
      <c r="K520" s="201"/>
      <c r="L520" s="227"/>
      <c r="M520" s="201"/>
      <c r="N520" s="228"/>
      <c r="O520" s="232"/>
      <c r="P520" s="227"/>
    </row>
    <row r="521" spans="1:21" thickBot="1">
      <c r="A521" s="10" t="s">
        <v>1089</v>
      </c>
      <c r="B521" s="10" t="s">
        <v>1091</v>
      </c>
      <c r="C521" s="10" t="s">
        <v>1092</v>
      </c>
      <c r="D521" s="10" t="s">
        <v>1093</v>
      </c>
      <c r="E521" s="10" t="s">
        <v>1094</v>
      </c>
      <c r="F521" s="163" t="s">
        <v>1118</v>
      </c>
      <c r="G521" s="158" t="s">
        <v>1119</v>
      </c>
      <c r="H521" s="163" t="s">
        <v>1116</v>
      </c>
      <c r="I521" s="10" t="s">
        <v>40</v>
      </c>
      <c r="J521" s="198" t="s">
        <v>36</v>
      </c>
      <c r="K521" s="201"/>
      <c r="L521" s="227"/>
      <c r="M521" s="201"/>
      <c r="N521" s="228"/>
      <c r="O521" s="232"/>
      <c r="P521" s="227"/>
    </row>
    <row r="522" spans="1:21" thickBot="1">
      <c r="A522" s="10" t="s">
        <v>21</v>
      </c>
      <c r="B522" s="10" t="s">
        <v>22</v>
      </c>
      <c r="C522" s="10" t="s">
        <v>141</v>
      </c>
      <c r="D522" s="10" t="s">
        <v>142</v>
      </c>
      <c r="E522" s="10" t="s">
        <v>142</v>
      </c>
      <c r="F522" s="193" t="s">
        <v>1549</v>
      </c>
      <c r="G522" s="195" t="s">
        <v>1552</v>
      </c>
      <c r="H522" s="193" t="s">
        <v>1549</v>
      </c>
      <c r="I522" s="256" t="s">
        <v>1576</v>
      </c>
      <c r="J522" s="257" t="s">
        <v>1553</v>
      </c>
      <c r="K522" s="227"/>
      <c r="L522" s="227"/>
      <c r="M522" s="227"/>
      <c r="N522" s="227"/>
      <c r="O522" s="228"/>
      <c r="P522" s="255">
        <v>1070</v>
      </c>
      <c r="Q522" s="10" t="s">
        <v>1551</v>
      </c>
      <c r="R522" s="4" t="s">
        <v>208</v>
      </c>
      <c r="S522" s="4" t="s">
        <v>507</v>
      </c>
      <c r="T522" s="4" t="s">
        <v>1079</v>
      </c>
      <c r="U522" s="4" t="str">
        <f t="shared" ref="U522:U526" si="0">IF(ISNUMBER(SEARCH("ADD-ON",$I522)),"ADD-ON","NOT AN ADD-ON")</f>
        <v>NOT AN ADD-ON</v>
      </c>
    </row>
    <row r="523" spans="1:21" thickBot="1">
      <c r="A523" s="10" t="s">
        <v>21</v>
      </c>
      <c r="B523" s="10" t="s">
        <v>22</v>
      </c>
      <c r="C523" s="10" t="s">
        <v>141</v>
      </c>
      <c r="D523" s="10" t="s">
        <v>142</v>
      </c>
      <c r="E523" s="199" t="s">
        <v>142</v>
      </c>
      <c r="F523" s="262" t="s">
        <v>1560</v>
      </c>
      <c r="G523" s="262" t="s">
        <v>1561</v>
      </c>
      <c r="H523" s="204" t="s">
        <v>1549</v>
      </c>
      <c r="I523" s="261" t="s">
        <v>1079</v>
      </c>
      <c r="J523" s="10" t="s">
        <v>33</v>
      </c>
      <c r="K523" s="227"/>
      <c r="L523" s="227"/>
      <c r="M523" s="227"/>
      <c r="N523" s="227"/>
      <c r="O523" s="228"/>
      <c r="P523" s="255">
        <v>1070</v>
      </c>
      <c r="Q523" s="10" t="s">
        <v>1551</v>
      </c>
      <c r="R523" s="4" t="s">
        <v>208</v>
      </c>
      <c r="S523" s="4" t="s">
        <v>507</v>
      </c>
      <c r="T523" s="4" t="s">
        <v>1079</v>
      </c>
      <c r="U523" s="4" t="str">
        <f t="shared" si="0"/>
        <v>NOT AN ADD-ON</v>
      </c>
    </row>
    <row r="524" spans="1:21" thickBot="1">
      <c r="A524" s="10" t="s">
        <v>21</v>
      </c>
      <c r="B524" s="10" t="s">
        <v>22</v>
      </c>
      <c r="C524" s="10" t="s">
        <v>141</v>
      </c>
      <c r="D524" s="10" t="s">
        <v>142</v>
      </c>
      <c r="E524" s="199" t="s">
        <v>142</v>
      </c>
      <c r="F524" s="262" t="s">
        <v>1563</v>
      </c>
      <c r="G524" s="262" t="s">
        <v>1564</v>
      </c>
      <c r="H524" s="204" t="s">
        <v>1549</v>
      </c>
      <c r="I524" s="261" t="s">
        <v>1079</v>
      </c>
      <c r="J524" s="257" t="s">
        <v>1553</v>
      </c>
      <c r="K524" s="227"/>
      <c r="L524" s="227"/>
      <c r="M524" s="227"/>
      <c r="N524" s="227"/>
      <c r="O524" s="228"/>
      <c r="P524" s="255">
        <v>1070</v>
      </c>
      <c r="Q524" s="10" t="s">
        <v>1551</v>
      </c>
      <c r="R524" s="4" t="s">
        <v>208</v>
      </c>
      <c r="S524" s="4" t="s">
        <v>507</v>
      </c>
      <c r="T524" s="4" t="s">
        <v>1079</v>
      </c>
      <c r="U524" s="4" t="str">
        <f t="shared" si="0"/>
        <v>NOT AN ADD-ON</v>
      </c>
    </row>
    <row r="525" spans="1:21" thickBot="1">
      <c r="A525" s="10" t="s">
        <v>21</v>
      </c>
      <c r="B525" s="10" t="s">
        <v>22</v>
      </c>
      <c r="C525" s="10" t="s">
        <v>449</v>
      </c>
      <c r="D525" s="10" t="s">
        <v>142</v>
      </c>
      <c r="E525" s="199" t="s">
        <v>142</v>
      </c>
      <c r="F525" s="263" t="s">
        <v>1566</v>
      </c>
      <c r="G525" s="263" t="s">
        <v>1567</v>
      </c>
      <c r="H525" s="204" t="s">
        <v>1549</v>
      </c>
      <c r="I525" s="261" t="s">
        <v>1079</v>
      </c>
      <c r="J525" s="10" t="s">
        <v>33</v>
      </c>
      <c r="K525" s="227"/>
      <c r="L525" s="227"/>
      <c r="M525" s="227"/>
      <c r="N525" s="227"/>
      <c r="O525" s="228"/>
      <c r="P525" s="255">
        <v>1070</v>
      </c>
      <c r="Q525" s="10" t="s">
        <v>1551</v>
      </c>
      <c r="R525" s="4" t="s">
        <v>208</v>
      </c>
      <c r="S525" s="4" t="s">
        <v>507</v>
      </c>
      <c r="T525" s="4" t="s">
        <v>1079</v>
      </c>
      <c r="U525" s="4" t="str">
        <f t="shared" si="0"/>
        <v>NOT AN ADD-ON</v>
      </c>
    </row>
    <row r="526" spans="1:21" thickBot="1">
      <c r="A526" s="10" t="s">
        <v>21</v>
      </c>
      <c r="B526" s="10" t="s">
        <v>22</v>
      </c>
      <c r="C526" s="10" t="s">
        <v>449</v>
      </c>
      <c r="D526" s="10" t="s">
        <v>142</v>
      </c>
      <c r="E526" s="199" t="s">
        <v>142</v>
      </c>
      <c r="F526" s="263" t="s">
        <v>1568</v>
      </c>
      <c r="G526" s="263" t="s">
        <v>1569</v>
      </c>
      <c r="H526" s="204" t="s">
        <v>1549</v>
      </c>
      <c r="I526" s="261" t="s">
        <v>1079</v>
      </c>
      <c r="J526" s="257" t="s">
        <v>1553</v>
      </c>
      <c r="K526" s="227"/>
      <c r="L526" s="227"/>
      <c r="M526" s="227"/>
      <c r="N526" s="227"/>
      <c r="O526" s="228"/>
      <c r="P526" s="255">
        <v>1070</v>
      </c>
      <c r="Q526" s="10" t="s">
        <v>1551</v>
      </c>
      <c r="R526" s="4" t="s">
        <v>208</v>
      </c>
      <c r="S526" s="4" t="s">
        <v>507</v>
      </c>
      <c r="T526" s="4" t="s">
        <v>1079</v>
      </c>
      <c r="U526" s="4" t="str">
        <f t="shared" si="0"/>
        <v>NOT AN ADD-ON</v>
      </c>
    </row>
    <row r="527" spans="1:21" ht="14" thickBot="1">
      <c r="A527" s="10" t="s">
        <v>1089</v>
      </c>
      <c r="B527" s="10" t="s">
        <v>1091</v>
      </c>
      <c r="C527" s="10" t="s">
        <v>1092</v>
      </c>
      <c r="D527" s="10" t="s">
        <v>1093</v>
      </c>
      <c r="E527" s="199" t="s">
        <v>1094</v>
      </c>
      <c r="F527" s="263" t="s">
        <v>1571</v>
      </c>
      <c r="G527" s="263" t="s">
        <v>1572</v>
      </c>
      <c r="H527" s="263" t="s">
        <v>1571</v>
      </c>
      <c r="I527" s="197" t="s">
        <v>1576</v>
      </c>
      <c r="J527" s="10" t="s">
        <v>33</v>
      </c>
      <c r="K527" s="201"/>
      <c r="L527" s="227"/>
      <c r="M527" s="201"/>
      <c r="N527" s="228"/>
      <c r="O527" s="232"/>
      <c r="P527" s="227"/>
    </row>
    <row r="528" spans="1:21" ht="14" thickBot="1">
      <c r="A528" s="10" t="s">
        <v>1089</v>
      </c>
      <c r="B528" s="10" t="s">
        <v>1091</v>
      </c>
      <c r="C528" s="10" t="s">
        <v>1092</v>
      </c>
      <c r="D528" s="10" t="s">
        <v>1093</v>
      </c>
      <c r="E528" s="199" t="s">
        <v>1094</v>
      </c>
      <c r="F528" s="263" t="s">
        <v>1573</v>
      </c>
      <c r="G528" s="263" t="s">
        <v>1574</v>
      </c>
      <c r="H528" s="263" t="s">
        <v>1573</v>
      </c>
      <c r="I528" s="197" t="s">
        <v>1576</v>
      </c>
      <c r="J528" s="198" t="s">
        <v>36</v>
      </c>
      <c r="K528" s="201"/>
      <c r="L528" s="227"/>
      <c r="M528" s="201"/>
      <c r="N528" s="228"/>
      <c r="O528" s="232"/>
      <c r="P528" s="2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5EAE-69D0-F143-987D-CC39FE3FCC9E}">
  <sheetPr codeName="Sheet12"/>
  <dimension ref="A1:C17"/>
  <sheetViews>
    <sheetView showRuler="0" zoomScaleNormal="100" workbookViewId="0">
      <selection activeCell="AJ36" sqref="AJ36"/>
    </sheetView>
  </sheetViews>
  <sheetFormatPr baseColWidth="10" defaultRowHeight="15"/>
  <cols>
    <col min="1" max="1" width="12.33203125" customWidth="1"/>
    <col min="2" max="2" width="12.1640625" customWidth="1"/>
  </cols>
  <sheetData>
    <row r="1" spans="1:3">
      <c r="A1" s="74" t="s">
        <v>1474</v>
      </c>
      <c r="B1" s="74" t="s">
        <v>1473</v>
      </c>
      <c r="C1" s="74" t="s">
        <v>1475</v>
      </c>
    </row>
    <row r="2" spans="1:3">
      <c r="A2" t="s">
        <v>1476</v>
      </c>
      <c r="B2" s="190">
        <v>5.4</v>
      </c>
      <c r="C2" t="s">
        <v>1477</v>
      </c>
    </row>
    <row r="3" spans="1:3">
      <c r="A3" t="s">
        <v>1478</v>
      </c>
      <c r="B3" s="190" t="s">
        <v>1479</v>
      </c>
      <c r="C3" t="s">
        <v>1480</v>
      </c>
    </row>
    <row r="4" spans="1:3">
      <c r="A4" t="s">
        <v>1481</v>
      </c>
      <c r="B4" s="190" t="s">
        <v>1482</v>
      </c>
      <c r="C4" t="s">
        <v>1484</v>
      </c>
    </row>
    <row r="5" spans="1:3">
      <c r="A5" t="s">
        <v>1495</v>
      </c>
      <c r="B5" s="190">
        <v>6</v>
      </c>
      <c r="C5" t="s">
        <v>1493</v>
      </c>
    </row>
    <row r="6" spans="1:3">
      <c r="A6" t="s">
        <v>1499</v>
      </c>
      <c r="B6" s="190">
        <v>6.1</v>
      </c>
      <c r="C6" t="s">
        <v>1500</v>
      </c>
    </row>
    <row r="7" spans="1:3">
      <c r="A7" t="s">
        <v>1508</v>
      </c>
      <c r="B7" s="190">
        <v>6.2</v>
      </c>
      <c r="C7" t="s">
        <v>1504</v>
      </c>
    </row>
    <row r="8" spans="1:3">
      <c r="A8" t="s">
        <v>1509</v>
      </c>
      <c r="B8" s="222">
        <v>6.3</v>
      </c>
      <c r="C8" t="s">
        <v>1510</v>
      </c>
    </row>
    <row r="9" spans="1:3">
      <c r="A9" t="s">
        <v>1511</v>
      </c>
      <c r="B9" s="190" t="s">
        <v>1512</v>
      </c>
      <c r="C9" t="s">
        <v>1513</v>
      </c>
    </row>
    <row r="10" spans="1:3">
      <c r="A10" t="s">
        <v>1518</v>
      </c>
      <c r="B10" s="190">
        <v>6.4</v>
      </c>
      <c r="C10" t="s">
        <v>1519</v>
      </c>
    </row>
    <row r="11" spans="1:3">
      <c r="A11" t="s">
        <v>1535</v>
      </c>
      <c r="B11" s="190">
        <v>6.5</v>
      </c>
      <c r="C11" t="s">
        <v>1536</v>
      </c>
    </row>
    <row r="12" spans="1:3">
      <c r="A12" t="s">
        <v>1538</v>
      </c>
      <c r="B12" s="190" t="s">
        <v>1539</v>
      </c>
      <c r="C12" t="s">
        <v>1540</v>
      </c>
    </row>
    <row r="13" spans="1:3">
      <c r="A13" s="254" t="s">
        <v>1558</v>
      </c>
      <c r="B13" s="190" t="s">
        <v>1544</v>
      </c>
      <c r="C13" t="s">
        <v>1545</v>
      </c>
    </row>
    <row r="14" spans="1:3">
      <c r="A14" t="s">
        <v>1546</v>
      </c>
      <c r="B14" s="190" t="s">
        <v>1547</v>
      </c>
      <c r="C14" t="s">
        <v>1548</v>
      </c>
    </row>
    <row r="15" spans="1:3">
      <c r="A15" t="s">
        <v>1577</v>
      </c>
      <c r="B15">
        <v>7</v>
      </c>
      <c r="C15" t="s">
        <v>1557</v>
      </c>
    </row>
    <row r="16" spans="1:3">
      <c r="A16" t="s">
        <v>1583</v>
      </c>
      <c r="B16" s="190" t="s">
        <v>1578</v>
      </c>
      <c r="C16" t="s">
        <v>1581</v>
      </c>
    </row>
    <row r="17" spans="1:3">
      <c r="A17" t="s">
        <v>1584</v>
      </c>
      <c r="B17" s="190" t="s">
        <v>1585</v>
      </c>
      <c r="C17" t="s">
        <v>1586</v>
      </c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9D53-30E9-4514-9B40-87AB0785B0F2}">
  <sheetPr codeName="Sheet13"/>
  <dimension ref="C2:E54"/>
  <sheetViews>
    <sheetView showGridLines="0" topLeftCell="A29" workbookViewId="0">
      <selection activeCell="D37" sqref="D37:D54"/>
    </sheetView>
  </sheetViews>
  <sheetFormatPr baseColWidth="10" defaultColWidth="8.83203125" defaultRowHeight="15"/>
  <cols>
    <col min="3" max="3" width="22.1640625" bestFit="1" customWidth="1"/>
    <col min="4" max="4" width="39.33203125" bestFit="1" customWidth="1"/>
    <col min="5" max="5" width="17.33203125" bestFit="1" customWidth="1"/>
    <col min="15" max="15" width="23.5" bestFit="1" customWidth="1"/>
  </cols>
  <sheetData>
    <row r="2" spans="3:5">
      <c r="D2" s="4"/>
      <c r="E2" s="4" t="s">
        <v>1358</v>
      </c>
    </row>
    <row r="3" spans="3:5">
      <c r="C3" t="s">
        <v>1079</v>
      </c>
      <c r="D3" s="60" t="s">
        <v>1296</v>
      </c>
      <c r="E3" s="59">
        <v>80</v>
      </c>
    </row>
    <row r="4" spans="3:5">
      <c r="C4" t="s">
        <v>1079</v>
      </c>
      <c r="D4" s="60" t="s">
        <v>1297</v>
      </c>
      <c r="E4" s="59">
        <v>80</v>
      </c>
    </row>
    <row r="5" spans="3:5">
      <c r="C5" t="s">
        <v>1362</v>
      </c>
      <c r="D5" s="61" t="s">
        <v>42</v>
      </c>
      <c r="E5" s="59">
        <v>5</v>
      </c>
    </row>
    <row r="6" spans="3:5">
      <c r="C6" t="s">
        <v>1361</v>
      </c>
      <c r="D6" s="60" t="s">
        <v>1294</v>
      </c>
      <c r="E6" s="59">
        <v>15</v>
      </c>
    </row>
    <row r="7" spans="3:5">
      <c r="C7" t="s">
        <v>1362</v>
      </c>
      <c r="D7" s="60" t="s">
        <v>1337</v>
      </c>
      <c r="E7" s="59">
        <v>5</v>
      </c>
    </row>
    <row r="8" spans="3:5">
      <c r="C8" t="s">
        <v>1363</v>
      </c>
      <c r="D8" s="62" t="s">
        <v>1278</v>
      </c>
      <c r="E8" s="59">
        <v>10</v>
      </c>
    </row>
    <row r="9" spans="3:5">
      <c r="C9" t="s">
        <v>1362</v>
      </c>
      <c r="D9" s="62" t="s">
        <v>1338</v>
      </c>
      <c r="E9" s="59">
        <v>5</v>
      </c>
    </row>
    <row r="10" spans="3:5">
      <c r="C10" t="s">
        <v>1361</v>
      </c>
      <c r="D10" s="60" t="s">
        <v>1280</v>
      </c>
      <c r="E10" s="59">
        <v>15</v>
      </c>
    </row>
    <row r="11" spans="3:5">
      <c r="C11" t="s">
        <v>1362</v>
      </c>
      <c r="D11" s="60" t="s">
        <v>1339</v>
      </c>
      <c r="E11" s="59">
        <v>5</v>
      </c>
    </row>
    <row r="12" spans="3:5">
      <c r="C12" t="s">
        <v>1361</v>
      </c>
      <c r="D12" s="60" t="s">
        <v>1342</v>
      </c>
      <c r="E12" s="59">
        <v>15</v>
      </c>
    </row>
    <row r="13" spans="3:5">
      <c r="C13" t="s">
        <v>1362</v>
      </c>
      <c r="D13" s="60" t="s">
        <v>1343</v>
      </c>
      <c r="E13" s="59">
        <v>5</v>
      </c>
    </row>
    <row r="14" spans="3:5">
      <c r="C14" t="s">
        <v>1361</v>
      </c>
      <c r="D14" s="60" t="s">
        <v>1344</v>
      </c>
      <c r="E14" s="59">
        <v>15</v>
      </c>
    </row>
    <row r="15" spans="3:5">
      <c r="C15" t="s">
        <v>1362</v>
      </c>
      <c r="D15" s="60" t="s">
        <v>1345</v>
      </c>
      <c r="E15" s="59">
        <v>5</v>
      </c>
    </row>
    <row r="16" spans="3:5">
      <c r="C16" t="s">
        <v>1361</v>
      </c>
      <c r="D16" s="60" t="s">
        <v>1281</v>
      </c>
      <c r="E16" s="59">
        <v>15</v>
      </c>
    </row>
    <row r="17" spans="3:5">
      <c r="C17" t="s">
        <v>1362</v>
      </c>
      <c r="D17" s="60" t="s">
        <v>1348</v>
      </c>
      <c r="E17" s="59">
        <v>5</v>
      </c>
    </row>
    <row r="18" spans="3:5">
      <c r="C18" t="s">
        <v>1361</v>
      </c>
      <c r="D18" s="60" t="s">
        <v>1282</v>
      </c>
      <c r="E18" s="59">
        <v>15</v>
      </c>
    </row>
    <row r="19" spans="3:5">
      <c r="C19" t="s">
        <v>1362</v>
      </c>
      <c r="D19" s="60" t="s">
        <v>1349</v>
      </c>
      <c r="E19" s="59">
        <v>5</v>
      </c>
    </row>
    <row r="20" spans="3:5">
      <c r="C20" t="s">
        <v>1361</v>
      </c>
      <c r="D20" s="60" t="s">
        <v>1351</v>
      </c>
      <c r="E20" s="59">
        <v>15</v>
      </c>
    </row>
    <row r="21" spans="3:5">
      <c r="C21" t="s">
        <v>1362</v>
      </c>
      <c r="D21" s="60" t="s">
        <v>1352</v>
      </c>
      <c r="E21" s="59">
        <v>5</v>
      </c>
    </row>
    <row r="22" spans="3:5">
      <c r="C22" t="s">
        <v>1079</v>
      </c>
      <c r="D22" s="60" t="s">
        <v>1353</v>
      </c>
      <c r="E22" s="59">
        <v>20</v>
      </c>
    </row>
    <row r="23" spans="3:5">
      <c r="C23" t="s">
        <v>1361</v>
      </c>
      <c r="D23" s="63" t="s">
        <v>1283</v>
      </c>
      <c r="E23" s="59">
        <v>15</v>
      </c>
    </row>
    <row r="24" spans="3:5">
      <c r="C24" t="s">
        <v>1362</v>
      </c>
      <c r="D24" s="60" t="s">
        <v>1356</v>
      </c>
      <c r="E24" s="59">
        <v>5</v>
      </c>
    </row>
    <row r="25" spans="3:5">
      <c r="C25" t="s">
        <v>1361</v>
      </c>
      <c r="D25" s="60" t="s">
        <v>1284</v>
      </c>
      <c r="E25" s="59">
        <v>15</v>
      </c>
    </row>
    <row r="26" spans="3:5">
      <c r="C26" t="s">
        <v>1362</v>
      </c>
      <c r="D26" s="60" t="s">
        <v>1357</v>
      </c>
      <c r="E26" s="59">
        <v>5</v>
      </c>
    </row>
    <row r="27" spans="3:5">
      <c r="D27" s="24" t="s">
        <v>1340</v>
      </c>
      <c r="E27" s="24">
        <v>10</v>
      </c>
    </row>
    <row r="28" spans="3:5">
      <c r="D28" s="24" t="s">
        <v>1341</v>
      </c>
      <c r="E28" s="24">
        <v>5</v>
      </c>
    </row>
    <row r="29" spans="3:5">
      <c r="D29" s="24" t="s">
        <v>1346</v>
      </c>
      <c r="E29" s="24">
        <v>10</v>
      </c>
    </row>
    <row r="30" spans="3:5">
      <c r="D30" s="24" t="s">
        <v>1347</v>
      </c>
      <c r="E30" s="24">
        <v>5</v>
      </c>
    </row>
    <row r="31" spans="3:5">
      <c r="D31" s="24" t="s">
        <v>1350</v>
      </c>
      <c r="E31" s="24">
        <v>10</v>
      </c>
    </row>
    <row r="32" spans="3:5">
      <c r="D32" s="24"/>
      <c r="E32" s="24"/>
    </row>
    <row r="33" spans="4:5">
      <c r="D33" s="24" t="s">
        <v>1354</v>
      </c>
      <c r="E33" s="24">
        <v>10</v>
      </c>
    </row>
    <row r="34" spans="4:5">
      <c r="D34" s="24" t="s">
        <v>1355</v>
      </c>
      <c r="E34" s="24">
        <v>5</v>
      </c>
    </row>
    <row r="37" spans="4:5">
      <c r="D37" s="66" t="s">
        <v>1455</v>
      </c>
      <c r="E37" s="59">
        <v>15</v>
      </c>
    </row>
    <row r="38" spans="4:5">
      <c r="D38" s="66" t="s">
        <v>1454</v>
      </c>
      <c r="E38" s="59">
        <v>10</v>
      </c>
    </row>
    <row r="39" spans="4:5">
      <c r="D39" s="66" t="s">
        <v>1361</v>
      </c>
      <c r="E39" s="59">
        <v>15</v>
      </c>
    </row>
    <row r="40" spans="4:5">
      <c r="D40" s="66" t="s">
        <v>1363</v>
      </c>
      <c r="E40" s="59">
        <v>10</v>
      </c>
    </row>
    <row r="41" spans="4:5">
      <c r="D41" s="66" t="s">
        <v>1362</v>
      </c>
      <c r="E41" s="59">
        <v>5</v>
      </c>
    </row>
    <row r="42" spans="4:5">
      <c r="D42" s="66" t="s">
        <v>1515</v>
      </c>
      <c r="E42" s="59">
        <v>5</v>
      </c>
    </row>
    <row r="43" spans="4:5">
      <c r="D43" s="66" t="s">
        <v>1516</v>
      </c>
      <c r="E43" s="59">
        <v>3</v>
      </c>
    </row>
    <row r="44" spans="4:5">
      <c r="D44" s="66" t="s">
        <v>1517</v>
      </c>
      <c r="E44" s="59">
        <v>2</v>
      </c>
    </row>
    <row r="45" spans="4:5">
      <c r="D45" s="66" t="s">
        <v>1506</v>
      </c>
      <c r="E45" s="59">
        <v>80</v>
      </c>
    </row>
    <row r="46" spans="4:5">
      <c r="D46" s="66" t="s">
        <v>1505</v>
      </c>
      <c r="E46" s="59">
        <v>80</v>
      </c>
    </row>
    <row r="47" spans="4:5">
      <c r="D47" s="66" t="s">
        <v>1364</v>
      </c>
      <c r="E47" s="59">
        <v>20</v>
      </c>
    </row>
    <row r="48" spans="4:5">
      <c r="D48" s="66" t="s">
        <v>1503</v>
      </c>
      <c r="E48" s="59">
        <v>50</v>
      </c>
    </row>
    <row r="49" spans="4:5">
      <c r="D49" s="66" t="s">
        <v>1465</v>
      </c>
      <c r="E49" s="59">
        <v>45</v>
      </c>
    </row>
    <row r="50" spans="4:5">
      <c r="D50" s="66" t="s">
        <v>1494</v>
      </c>
      <c r="E50" s="59">
        <v>1</v>
      </c>
    </row>
    <row r="51" spans="4:5">
      <c r="D51" s="66" t="s">
        <v>1485</v>
      </c>
      <c r="E51" s="59">
        <v>150</v>
      </c>
    </row>
    <row r="52" spans="4:5">
      <c r="D52" s="66" t="s">
        <v>1507</v>
      </c>
      <c r="E52" s="59">
        <v>60</v>
      </c>
    </row>
    <row r="53" spans="4:5">
      <c r="D53" s="66" t="s">
        <v>1555</v>
      </c>
      <c r="E53" s="59">
        <v>220</v>
      </c>
    </row>
    <row r="54" spans="4:5">
      <c r="D54" s="66" t="s">
        <v>1556</v>
      </c>
      <c r="E54" s="59">
        <v>60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A624-60BA-6A45-A657-23056916FC41}">
  <sheetPr codeName="Sheet14"/>
  <dimension ref="A1:V584"/>
  <sheetViews>
    <sheetView topLeftCell="G426" zoomScale="96" zoomScaleNormal="96" workbookViewId="0">
      <selection activeCell="H439" sqref="H439"/>
    </sheetView>
  </sheetViews>
  <sheetFormatPr baseColWidth="10" defaultColWidth="9" defaultRowHeight="12.75" customHeight="1" outlineLevelCol="1"/>
  <cols>
    <col min="1" max="1" width="27.83203125" style="4" customWidth="1"/>
    <col min="2" max="2" width="23.83203125" style="4" customWidth="1"/>
    <col min="3" max="3" width="21.1640625" style="4" customWidth="1"/>
    <col min="4" max="4" width="15" style="4" customWidth="1"/>
    <col min="5" max="5" width="51.83203125" style="4" customWidth="1"/>
    <col min="6" max="6" width="36.5" style="4" customWidth="1"/>
    <col min="7" max="7" width="12" style="22" customWidth="1"/>
    <col min="8" max="8" width="28.6640625" style="161" customWidth="1"/>
    <col min="9" max="9" width="129" style="169" customWidth="1"/>
    <col min="10" max="10" width="15.1640625" style="161" customWidth="1"/>
    <col min="11" max="13" width="29.5" style="4" customWidth="1"/>
    <col min="14" max="14" width="22.5" style="4" customWidth="1"/>
    <col min="15" max="15" width="19" style="23" customWidth="1"/>
    <col min="16" max="16" width="16.1640625" style="22" customWidth="1"/>
    <col min="17" max="17" width="13.83203125" style="4" customWidth="1"/>
    <col min="18" max="18" width="25" style="4" customWidth="1" outlineLevel="1"/>
    <col min="19" max="19" width="18" style="4" customWidth="1" outlineLevel="1"/>
    <col min="20" max="20" width="12.5" style="4" customWidth="1" outlineLevel="1"/>
    <col min="21" max="21" width="15.5" style="4" customWidth="1" outlineLevel="1"/>
    <col min="22" max="22" width="129.5" style="4" bestFit="1" customWidth="1" outlineLevel="1"/>
    <col min="23" max="16384" width="9" style="4"/>
  </cols>
  <sheetData>
    <row r="1" spans="1:22" ht="16" thickBot="1">
      <c r="A1" s="1"/>
      <c r="B1" s="1"/>
      <c r="C1" s="1"/>
      <c r="D1" s="1"/>
      <c r="E1" s="1"/>
      <c r="F1" s="1"/>
      <c r="G1" s="1"/>
      <c r="H1" s="156"/>
      <c r="I1" s="168"/>
      <c r="J1" s="156"/>
      <c r="K1" s="1"/>
      <c r="L1" s="1"/>
      <c r="M1" s="1"/>
      <c r="N1" s="1"/>
      <c r="O1" s="2"/>
      <c r="P1" s="3"/>
      <c r="Q1" s="1"/>
    </row>
    <row r="2" spans="1:22" s="9" customFormat="1" ht="32" thickTop="1" thickBo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162" t="s">
        <v>7</v>
      </c>
      <c r="I2" s="157" t="s">
        <v>8</v>
      </c>
      <c r="J2" s="162" t="s">
        <v>9</v>
      </c>
      <c r="K2" s="5" t="s">
        <v>10</v>
      </c>
      <c r="L2" s="7" t="s">
        <v>11</v>
      </c>
      <c r="M2" s="7" t="s">
        <v>12</v>
      </c>
      <c r="N2" s="5" t="s">
        <v>13</v>
      </c>
      <c r="O2" s="8" t="s">
        <v>14</v>
      </c>
      <c r="P2" s="6" t="s">
        <v>15</v>
      </c>
      <c r="Q2" s="5" t="s">
        <v>16</v>
      </c>
      <c r="R2" s="7" t="s">
        <v>17</v>
      </c>
      <c r="S2" s="7" t="s">
        <v>18</v>
      </c>
      <c r="T2" s="7" t="s">
        <v>19</v>
      </c>
      <c r="U2" s="7" t="s">
        <v>20</v>
      </c>
    </row>
    <row r="3" spans="1:22" ht="29.25" customHeight="1" thickBot="1">
      <c r="A3" s="10" t="s">
        <v>21</v>
      </c>
      <c r="B3" s="10" t="s">
        <v>22</v>
      </c>
      <c r="C3" s="10" t="s">
        <v>94</v>
      </c>
      <c r="D3" s="10" t="s">
        <v>95</v>
      </c>
      <c r="E3" s="10" t="s">
        <v>96</v>
      </c>
      <c r="F3" s="10" t="s">
        <v>97</v>
      </c>
      <c r="G3" s="11">
        <v>8980</v>
      </c>
      <c r="H3" s="163" t="s">
        <v>100</v>
      </c>
      <c r="I3" s="158" t="s">
        <v>103</v>
      </c>
      <c r="J3" s="163" t="s">
        <v>100</v>
      </c>
      <c r="K3" s="10" t="s">
        <v>101</v>
      </c>
      <c r="L3" s="10" t="s">
        <v>102</v>
      </c>
      <c r="M3" s="10" t="e">
        <f t="shared" ref="M3:M66" si="0">ROUND(IF(K3="Authorized User",L3/3,L3),2)</f>
        <v>#VALUE!</v>
      </c>
      <c r="N3" s="10">
        <v>15</v>
      </c>
      <c r="O3" s="12">
        <v>5</v>
      </c>
      <c r="P3" s="11">
        <v>8980</v>
      </c>
      <c r="Q3" s="10" t="s">
        <v>33</v>
      </c>
      <c r="R3" s="4" t="s">
        <v>1294</v>
      </c>
      <c r="S3" s="4" t="s">
        <v>1379</v>
      </c>
      <c r="T3" s="4" t="s">
        <v>1380</v>
      </c>
      <c r="U3" s="4" t="str">
        <f t="shared" ref="U3:U34" si="1">IF(ISNUMBER(SEARCH("ADD-ON",$I3)),"ADD-ON","NOT AN ADD-ON")</f>
        <v>NOT AN ADD-ON</v>
      </c>
      <c r="V3" s="4" t="str">
        <f t="shared" ref="V3:V66" si="2">CONCATENATE(R3,S3,T3,U3)</f>
        <v>ASSET CONFIGURATION MANAGERACMASSETNOT AN ADD-ON</v>
      </c>
    </row>
    <row r="4" spans="1:22" ht="29.25" customHeight="1" thickBot="1">
      <c r="A4" s="10" t="s">
        <v>21</v>
      </c>
      <c r="B4" s="10" t="s">
        <v>22</v>
      </c>
      <c r="C4" s="10" t="s">
        <v>94</v>
      </c>
      <c r="D4" s="10" t="s">
        <v>95</v>
      </c>
      <c r="E4" s="10" t="s">
        <v>96</v>
      </c>
      <c r="F4" s="10" t="s">
        <v>97</v>
      </c>
      <c r="G4" s="11">
        <v>5390</v>
      </c>
      <c r="H4" s="163" t="s">
        <v>104</v>
      </c>
      <c r="I4" s="158" t="s">
        <v>105</v>
      </c>
      <c r="J4" s="163" t="s">
        <v>100</v>
      </c>
      <c r="K4" s="10" t="s">
        <v>101</v>
      </c>
      <c r="L4" s="10" t="s">
        <v>102</v>
      </c>
      <c r="M4" s="10" t="e">
        <f t="shared" si="0"/>
        <v>#VALUE!</v>
      </c>
      <c r="N4" s="10">
        <v>15</v>
      </c>
      <c r="O4" s="12">
        <v>5</v>
      </c>
      <c r="P4" s="11">
        <v>8980</v>
      </c>
      <c r="Q4" s="10" t="s">
        <v>36</v>
      </c>
      <c r="R4" s="4" t="s">
        <v>1294</v>
      </c>
      <c r="S4" s="4" t="s">
        <v>1379</v>
      </c>
      <c r="T4" s="4" t="s">
        <v>1380</v>
      </c>
      <c r="U4" s="4" t="str">
        <f t="shared" si="1"/>
        <v>NOT AN ADD-ON</v>
      </c>
      <c r="V4" s="4" t="str">
        <f t="shared" si="2"/>
        <v>ASSET CONFIGURATION MANAGERACMASSETNOT AN ADD-ON</v>
      </c>
    </row>
    <row r="5" spans="1:22" ht="29.25" customHeight="1" thickBot="1">
      <c r="A5" s="10" t="s">
        <v>21</v>
      </c>
      <c r="B5" s="10" t="s">
        <v>22</v>
      </c>
      <c r="C5" s="10" t="s">
        <v>94</v>
      </c>
      <c r="D5" s="10" t="s">
        <v>95</v>
      </c>
      <c r="E5" s="10" t="s">
        <v>96</v>
      </c>
      <c r="F5" s="10" t="s">
        <v>97</v>
      </c>
      <c r="G5" s="11">
        <v>5740</v>
      </c>
      <c r="H5" s="163" t="s">
        <v>108</v>
      </c>
      <c r="I5" s="158" t="s">
        <v>109</v>
      </c>
      <c r="J5" s="163" t="s">
        <v>108</v>
      </c>
      <c r="K5" s="10" t="s">
        <v>30</v>
      </c>
      <c r="L5" s="10">
        <v>15</v>
      </c>
      <c r="M5" s="10">
        <f t="shared" si="0"/>
        <v>5</v>
      </c>
      <c r="N5" s="10">
        <v>15</v>
      </c>
      <c r="O5" s="12">
        <v>5</v>
      </c>
      <c r="P5" s="11">
        <v>5740</v>
      </c>
      <c r="Q5" s="10" t="s">
        <v>33</v>
      </c>
      <c r="R5" s="4" t="s">
        <v>1294</v>
      </c>
      <c r="S5" s="4" t="s">
        <v>1379</v>
      </c>
      <c r="T5" s="4" t="s">
        <v>19</v>
      </c>
      <c r="U5" s="4" t="str">
        <f t="shared" si="1"/>
        <v>NOT AN ADD-ON</v>
      </c>
      <c r="V5" s="4" t="str">
        <f t="shared" si="2"/>
        <v>ASSET CONFIGURATION MANAGERACMAUTHORIZEDNOT AN ADD-ON</v>
      </c>
    </row>
    <row r="6" spans="1:22" ht="29.25" customHeight="1" thickBot="1">
      <c r="A6" s="10" t="s">
        <v>21</v>
      </c>
      <c r="B6" s="10" t="s">
        <v>22</v>
      </c>
      <c r="C6" s="10" t="s">
        <v>94</v>
      </c>
      <c r="D6" s="10" t="s">
        <v>95</v>
      </c>
      <c r="E6" s="10" t="s">
        <v>96</v>
      </c>
      <c r="F6" s="10" t="s">
        <v>97</v>
      </c>
      <c r="G6" s="11">
        <v>3440</v>
      </c>
      <c r="H6" s="163" t="s">
        <v>110</v>
      </c>
      <c r="I6" s="158" t="s">
        <v>111</v>
      </c>
      <c r="J6" s="163" t="s">
        <v>108</v>
      </c>
      <c r="K6" s="10" t="s">
        <v>30</v>
      </c>
      <c r="L6" s="10">
        <v>15</v>
      </c>
      <c r="M6" s="10">
        <f t="shared" si="0"/>
        <v>5</v>
      </c>
      <c r="N6" s="10">
        <v>15</v>
      </c>
      <c r="O6" s="12">
        <v>5</v>
      </c>
      <c r="P6" s="11">
        <v>5740</v>
      </c>
      <c r="Q6" s="10" t="s">
        <v>36</v>
      </c>
      <c r="R6" s="4" t="s">
        <v>1294</v>
      </c>
      <c r="S6" s="4" t="s">
        <v>1379</v>
      </c>
      <c r="T6" s="4" t="s">
        <v>19</v>
      </c>
      <c r="U6" s="4" t="str">
        <f t="shared" si="1"/>
        <v>NOT AN ADD-ON</v>
      </c>
      <c r="V6" s="4" t="str">
        <f t="shared" si="2"/>
        <v>ASSET CONFIGURATION MANAGERACMAUTHORIZEDNOT AN ADD-ON</v>
      </c>
    </row>
    <row r="7" spans="1:22" ht="29.25" customHeight="1" thickBot="1">
      <c r="A7" s="10" t="s">
        <v>21</v>
      </c>
      <c r="B7" s="10" t="s">
        <v>22</v>
      </c>
      <c r="C7" s="10" t="s">
        <v>385</v>
      </c>
      <c r="D7" s="10" t="s">
        <v>386</v>
      </c>
      <c r="E7" s="10" t="s">
        <v>387</v>
      </c>
      <c r="F7" s="10" t="s">
        <v>388</v>
      </c>
      <c r="G7" s="11">
        <v>584</v>
      </c>
      <c r="H7" s="163" t="s">
        <v>391</v>
      </c>
      <c r="I7" s="158" t="s">
        <v>392</v>
      </c>
      <c r="J7" s="163" t="s">
        <v>391</v>
      </c>
      <c r="K7" s="10" t="s">
        <v>30</v>
      </c>
      <c r="L7" s="10">
        <v>0</v>
      </c>
      <c r="M7" s="10">
        <f t="shared" si="0"/>
        <v>0</v>
      </c>
      <c r="N7" s="10">
        <v>5</v>
      </c>
      <c r="O7" s="12">
        <v>1.6666666666666667</v>
      </c>
      <c r="P7" s="11">
        <v>584</v>
      </c>
      <c r="Q7" s="10" t="s">
        <v>33</v>
      </c>
      <c r="R7" s="4" t="s">
        <v>1288</v>
      </c>
      <c r="S7" s="4" t="s">
        <v>507</v>
      </c>
      <c r="T7" s="4" t="s">
        <v>19</v>
      </c>
      <c r="U7" s="4" t="str">
        <f t="shared" si="1"/>
        <v>NOT AN ADD-ON</v>
      </c>
      <c r="V7" s="4" t="str">
        <f t="shared" si="2"/>
        <v>CALIBRATIONADD-ONAUTHORIZEDNOT AN ADD-ON</v>
      </c>
    </row>
    <row r="8" spans="1:22" ht="15" thickBot="1">
      <c r="A8" s="10" t="s">
        <v>21</v>
      </c>
      <c r="B8" s="10" t="s">
        <v>22</v>
      </c>
      <c r="C8" s="10" t="s">
        <v>385</v>
      </c>
      <c r="D8" s="10" t="s">
        <v>386</v>
      </c>
      <c r="E8" s="10" t="s">
        <v>387</v>
      </c>
      <c r="F8" s="10" t="s">
        <v>388</v>
      </c>
      <c r="G8" s="11">
        <v>350</v>
      </c>
      <c r="H8" s="163" t="s">
        <v>393</v>
      </c>
      <c r="I8" s="158" t="s">
        <v>394</v>
      </c>
      <c r="J8" s="163" t="s">
        <v>391</v>
      </c>
      <c r="K8" s="10" t="s">
        <v>30</v>
      </c>
      <c r="L8" s="10">
        <v>0</v>
      </c>
      <c r="M8" s="10">
        <f t="shared" si="0"/>
        <v>0</v>
      </c>
      <c r="N8" s="10">
        <v>5</v>
      </c>
      <c r="O8" s="12">
        <v>1.6666666666666667</v>
      </c>
      <c r="P8" s="11">
        <v>584</v>
      </c>
      <c r="Q8" s="10" t="s">
        <v>36</v>
      </c>
      <c r="R8" s="4" t="s">
        <v>1288</v>
      </c>
      <c r="S8" s="4" t="s">
        <v>507</v>
      </c>
      <c r="T8" s="4" t="s">
        <v>19</v>
      </c>
      <c r="U8" s="4" t="str">
        <f t="shared" si="1"/>
        <v>NOT AN ADD-ON</v>
      </c>
      <c r="V8" s="4" t="str">
        <f t="shared" si="2"/>
        <v>CALIBRATIONADD-ONAUTHORIZEDNOT AN ADD-ON</v>
      </c>
    </row>
    <row r="9" spans="1:22" ht="15" thickBot="1">
      <c r="A9" s="10" t="s">
        <v>21</v>
      </c>
      <c r="B9" s="10" t="s">
        <v>22</v>
      </c>
      <c r="C9" s="10" t="s">
        <v>1015</v>
      </c>
      <c r="D9" s="10" t="s">
        <v>141</v>
      </c>
      <c r="E9" s="10" t="s">
        <v>142</v>
      </c>
      <c r="F9" s="10" t="s">
        <v>143</v>
      </c>
      <c r="G9" s="11">
        <v>712</v>
      </c>
      <c r="H9" s="163" t="s">
        <v>1018</v>
      </c>
      <c r="I9" s="158" t="s">
        <v>1019</v>
      </c>
      <c r="J9" s="163" t="s">
        <v>1018</v>
      </c>
      <c r="K9" s="10" t="s">
        <v>30</v>
      </c>
      <c r="L9" s="10">
        <v>0</v>
      </c>
      <c r="M9" s="10">
        <f t="shared" si="0"/>
        <v>0</v>
      </c>
      <c r="N9" s="10">
        <v>5</v>
      </c>
      <c r="O9" s="12">
        <v>1.6666666666666667</v>
      </c>
      <c r="P9" s="11">
        <v>712</v>
      </c>
      <c r="Q9" s="10" t="s">
        <v>33</v>
      </c>
      <c r="R9" s="4" t="s">
        <v>1290</v>
      </c>
      <c r="S9" s="4" t="s">
        <v>507</v>
      </c>
      <c r="T9" s="4" t="s">
        <v>19</v>
      </c>
      <c r="U9" s="4" t="str">
        <f t="shared" si="1"/>
        <v>NOT AN ADD-ON</v>
      </c>
      <c r="V9" s="4" t="str">
        <f t="shared" si="2"/>
        <v>LINEARADD-ONAUTHORIZEDNOT AN ADD-ON</v>
      </c>
    </row>
    <row r="10" spans="1:22" ht="15" thickBot="1">
      <c r="A10" s="10" t="s">
        <v>21</v>
      </c>
      <c r="B10" s="10" t="s">
        <v>22</v>
      </c>
      <c r="C10" s="10" t="s">
        <v>1015</v>
      </c>
      <c r="D10" s="10" t="s">
        <v>141</v>
      </c>
      <c r="E10" s="10" t="s">
        <v>142</v>
      </c>
      <c r="F10" s="10" t="s">
        <v>143</v>
      </c>
      <c r="G10" s="11">
        <v>427</v>
      </c>
      <c r="H10" s="163" t="s">
        <v>1020</v>
      </c>
      <c r="I10" s="158" t="s">
        <v>1021</v>
      </c>
      <c r="J10" s="163" t="s">
        <v>1018</v>
      </c>
      <c r="K10" s="10" t="s">
        <v>30</v>
      </c>
      <c r="L10" s="10">
        <v>0</v>
      </c>
      <c r="M10" s="10">
        <f t="shared" si="0"/>
        <v>0</v>
      </c>
      <c r="N10" s="10">
        <v>5</v>
      </c>
      <c r="O10" s="12">
        <v>1.6666666666666667</v>
      </c>
      <c r="P10" s="11">
        <v>712</v>
      </c>
      <c r="Q10" s="10" t="s">
        <v>36</v>
      </c>
      <c r="R10" s="4" t="s">
        <v>1290</v>
      </c>
      <c r="S10" s="4" t="s">
        <v>507</v>
      </c>
      <c r="T10" s="4" t="s">
        <v>19</v>
      </c>
      <c r="U10" s="4" t="str">
        <f t="shared" si="1"/>
        <v>NOT AN ADD-ON</v>
      </c>
      <c r="V10" s="4" t="str">
        <f t="shared" si="2"/>
        <v>LINEARADD-ONAUTHORIZEDNOT AN ADD-ON</v>
      </c>
    </row>
    <row r="11" spans="1:22" ht="29.25" customHeight="1" thickBot="1">
      <c r="A11" s="10" t="s">
        <v>21</v>
      </c>
      <c r="B11" s="10" t="s">
        <v>22</v>
      </c>
      <c r="C11" s="10" t="s">
        <v>435</v>
      </c>
      <c r="D11" s="10" t="s">
        <v>418</v>
      </c>
      <c r="E11" s="10" t="s">
        <v>419</v>
      </c>
      <c r="F11" s="10" t="s">
        <v>420</v>
      </c>
      <c r="G11" s="11">
        <v>161000</v>
      </c>
      <c r="H11" s="163" t="s">
        <v>444</v>
      </c>
      <c r="I11" s="158" t="s">
        <v>445</v>
      </c>
      <c r="J11" s="163" t="s">
        <v>444</v>
      </c>
      <c r="K11" s="10" t="s">
        <v>424</v>
      </c>
      <c r="L11" s="10">
        <v>80</v>
      </c>
      <c r="M11" s="10">
        <f t="shared" si="0"/>
        <v>80</v>
      </c>
      <c r="N11" s="10">
        <v>80</v>
      </c>
      <c r="O11" s="12">
        <v>1</v>
      </c>
      <c r="P11" s="11">
        <v>161000</v>
      </c>
      <c r="Q11" s="10" t="s">
        <v>33</v>
      </c>
      <c r="R11" s="4" t="s">
        <v>1297</v>
      </c>
      <c r="S11" s="4" t="s">
        <v>1295</v>
      </c>
      <c r="T11" s="4" t="s">
        <v>1295</v>
      </c>
      <c r="U11" s="4" t="str">
        <f t="shared" si="1"/>
        <v>NOT AN ADD-ON</v>
      </c>
      <c r="V11" s="4" t="str">
        <f t="shared" si="2"/>
        <v>ADAPTER FOR SAPADAPTERADAPTERNOT AN ADD-ON</v>
      </c>
    </row>
    <row r="12" spans="1:22" ht="15" thickBot="1">
      <c r="A12" s="10" t="s">
        <v>21</v>
      </c>
      <c r="B12" s="10" t="s">
        <v>22</v>
      </c>
      <c r="C12" s="10" t="s">
        <v>435</v>
      </c>
      <c r="D12" s="10" t="s">
        <v>418</v>
      </c>
      <c r="E12" s="10" t="s">
        <v>419</v>
      </c>
      <c r="F12" s="10" t="s">
        <v>420</v>
      </c>
      <c r="G12" s="11">
        <v>96300</v>
      </c>
      <c r="H12" s="163" t="s">
        <v>446</v>
      </c>
      <c r="I12" s="158" t="s">
        <v>447</v>
      </c>
      <c r="J12" s="163" t="s">
        <v>444</v>
      </c>
      <c r="K12" s="10" t="s">
        <v>424</v>
      </c>
      <c r="L12" s="10">
        <v>80</v>
      </c>
      <c r="M12" s="10">
        <f t="shared" si="0"/>
        <v>80</v>
      </c>
      <c r="N12" s="10">
        <v>80</v>
      </c>
      <c r="O12" s="12">
        <v>1</v>
      </c>
      <c r="P12" s="11">
        <v>161000</v>
      </c>
      <c r="Q12" s="10" t="s">
        <v>36</v>
      </c>
      <c r="R12" s="4" t="s">
        <v>1297</v>
      </c>
      <c r="S12" s="4" t="s">
        <v>1295</v>
      </c>
      <c r="T12" s="4" t="s">
        <v>1295</v>
      </c>
      <c r="U12" s="4" t="str">
        <f t="shared" si="1"/>
        <v>NOT AN ADD-ON</v>
      </c>
      <c r="V12" s="4" t="str">
        <f t="shared" si="2"/>
        <v>ADAPTER FOR SAPADAPTERADAPTERNOT AN ADD-ON</v>
      </c>
    </row>
    <row r="13" spans="1:22" ht="29.25" customHeight="1" thickBot="1">
      <c r="A13" s="10" t="s">
        <v>21</v>
      </c>
      <c r="B13" s="10" t="s">
        <v>22</v>
      </c>
      <c r="C13" s="10" t="s">
        <v>230</v>
      </c>
      <c r="D13" s="10" t="s">
        <v>141</v>
      </c>
      <c r="E13" s="10" t="s">
        <v>142</v>
      </c>
      <c r="F13" s="10" t="s">
        <v>143</v>
      </c>
      <c r="G13" s="11">
        <v>1780</v>
      </c>
      <c r="H13" s="163" t="s">
        <v>291</v>
      </c>
      <c r="I13" s="158" t="s">
        <v>292</v>
      </c>
      <c r="J13" s="163" t="s">
        <v>291</v>
      </c>
      <c r="K13" s="10" t="s">
        <v>30</v>
      </c>
      <c r="L13" s="10">
        <v>0</v>
      </c>
      <c r="M13" s="10">
        <f t="shared" si="0"/>
        <v>0</v>
      </c>
      <c r="N13" s="10">
        <v>5</v>
      </c>
      <c r="O13" s="12">
        <v>1.6666666666666667</v>
      </c>
      <c r="P13" s="11">
        <v>1780</v>
      </c>
      <c r="Q13" s="10" t="s">
        <v>33</v>
      </c>
      <c r="R13" s="4" t="s">
        <v>234</v>
      </c>
      <c r="S13" s="4" t="s">
        <v>235</v>
      </c>
      <c r="T13" s="4" t="s">
        <v>672</v>
      </c>
      <c r="U13" s="4" t="str">
        <f t="shared" si="1"/>
        <v>NOT AN ADD-ON</v>
      </c>
      <c r="V13" s="4" t="str">
        <f t="shared" si="2"/>
        <v>MANAGED SERVICE PROVIDERSMSPLIMITEDNOT AN ADD-ON</v>
      </c>
    </row>
    <row r="14" spans="1:22" ht="15" thickBot="1">
      <c r="A14" s="10" t="s">
        <v>21</v>
      </c>
      <c r="B14" s="10" t="s">
        <v>22</v>
      </c>
      <c r="C14" s="10" t="s">
        <v>230</v>
      </c>
      <c r="D14" s="10" t="s">
        <v>141</v>
      </c>
      <c r="E14" s="10" t="s">
        <v>142</v>
      </c>
      <c r="F14" s="10" t="s">
        <v>143</v>
      </c>
      <c r="G14" s="11">
        <v>1070</v>
      </c>
      <c r="H14" s="163" t="s">
        <v>293</v>
      </c>
      <c r="I14" s="166" t="s">
        <v>294</v>
      </c>
      <c r="J14" s="163" t="s">
        <v>291</v>
      </c>
      <c r="K14" s="10" t="s">
        <v>30</v>
      </c>
      <c r="L14" s="10">
        <v>0</v>
      </c>
      <c r="M14" s="10">
        <f t="shared" si="0"/>
        <v>0</v>
      </c>
      <c r="N14" s="10">
        <v>5</v>
      </c>
      <c r="O14" s="12">
        <v>1.6666666666666667</v>
      </c>
      <c r="P14" s="11">
        <v>1780</v>
      </c>
      <c r="Q14" s="10" t="s">
        <v>36</v>
      </c>
      <c r="R14" s="4" t="s">
        <v>234</v>
      </c>
      <c r="S14" s="4" t="s">
        <v>235</v>
      </c>
      <c r="T14" s="4" t="s">
        <v>672</v>
      </c>
      <c r="U14" s="4" t="str">
        <f t="shared" si="1"/>
        <v>NOT AN ADD-ON</v>
      </c>
      <c r="V14" s="4" t="str">
        <f t="shared" si="2"/>
        <v>MANAGED SERVICE PROVIDERSMSPLIMITEDNOT AN ADD-ON</v>
      </c>
    </row>
    <row r="15" spans="1:22" ht="29.25" customHeight="1" thickBot="1">
      <c r="A15" s="10" t="s">
        <v>21</v>
      </c>
      <c r="B15" s="10" t="s">
        <v>22</v>
      </c>
      <c r="C15" s="10" t="s">
        <v>230</v>
      </c>
      <c r="D15" s="10" t="s">
        <v>141</v>
      </c>
      <c r="E15" s="10" t="s">
        <v>142</v>
      </c>
      <c r="F15" s="10" t="s">
        <v>143</v>
      </c>
      <c r="G15" s="11">
        <v>3570</v>
      </c>
      <c r="H15" s="163" t="s">
        <v>279</v>
      </c>
      <c r="I15" s="158" t="s">
        <v>280</v>
      </c>
      <c r="J15" s="163" t="s">
        <v>279</v>
      </c>
      <c r="K15" s="10" t="s">
        <v>30</v>
      </c>
      <c r="L15" s="10">
        <v>5</v>
      </c>
      <c r="M15" s="10">
        <f t="shared" si="0"/>
        <v>1.67</v>
      </c>
      <c r="N15" s="10">
        <v>15</v>
      </c>
      <c r="O15" s="12">
        <v>5</v>
      </c>
      <c r="P15" s="11">
        <v>3570</v>
      </c>
      <c r="Q15" s="10" t="s">
        <v>33</v>
      </c>
      <c r="R15" s="4" t="s">
        <v>234</v>
      </c>
      <c r="S15" s="4" t="s">
        <v>235</v>
      </c>
      <c r="T15" s="4" t="s">
        <v>19</v>
      </c>
      <c r="U15" s="4" t="str">
        <f t="shared" si="1"/>
        <v>NOT AN ADD-ON</v>
      </c>
      <c r="V15" s="4" t="str">
        <f t="shared" si="2"/>
        <v>MANAGED SERVICE PROVIDERSMSPAUTHORIZEDNOT AN ADD-ON</v>
      </c>
    </row>
    <row r="16" spans="1:22" ht="15" thickBot="1">
      <c r="A16" s="10" t="s">
        <v>21</v>
      </c>
      <c r="B16" s="10" t="s">
        <v>22</v>
      </c>
      <c r="C16" s="10" t="s">
        <v>230</v>
      </c>
      <c r="D16" s="10" t="s">
        <v>141</v>
      </c>
      <c r="E16" s="10" t="s">
        <v>142</v>
      </c>
      <c r="F16" s="10" t="s">
        <v>143</v>
      </c>
      <c r="G16" s="11">
        <v>2140</v>
      </c>
      <c r="H16" s="163" t="s">
        <v>281</v>
      </c>
      <c r="I16" s="158" t="s">
        <v>282</v>
      </c>
      <c r="J16" s="163" t="s">
        <v>279</v>
      </c>
      <c r="K16" s="10" t="s">
        <v>30</v>
      </c>
      <c r="L16" s="10">
        <v>5</v>
      </c>
      <c r="M16" s="10">
        <f t="shared" si="0"/>
        <v>1.67</v>
      </c>
      <c r="N16" s="10">
        <v>15</v>
      </c>
      <c r="O16" s="12">
        <v>5</v>
      </c>
      <c r="P16" s="11">
        <v>3570</v>
      </c>
      <c r="Q16" s="10" t="s">
        <v>36</v>
      </c>
      <c r="R16" s="4" t="s">
        <v>234</v>
      </c>
      <c r="S16" s="4" t="s">
        <v>235</v>
      </c>
      <c r="T16" s="4" t="s">
        <v>19</v>
      </c>
      <c r="U16" s="4" t="str">
        <f t="shared" si="1"/>
        <v>NOT AN ADD-ON</v>
      </c>
      <c r="V16" s="4" t="str">
        <f t="shared" si="2"/>
        <v>MANAGED SERVICE PROVIDERSMSPAUTHORIZEDNOT AN ADD-ON</v>
      </c>
    </row>
    <row r="17" spans="1:22" ht="15" thickBot="1">
      <c r="A17" s="10" t="s">
        <v>21</v>
      </c>
      <c r="B17" s="10" t="s">
        <v>22</v>
      </c>
      <c r="C17" s="10" t="s">
        <v>204</v>
      </c>
      <c r="D17" s="10" t="s">
        <v>141</v>
      </c>
      <c r="E17" s="10" t="s">
        <v>142</v>
      </c>
      <c r="F17" s="10" t="s">
        <v>143</v>
      </c>
      <c r="G17" s="11">
        <v>1070</v>
      </c>
      <c r="H17" s="163" t="s">
        <v>251</v>
      </c>
      <c r="I17" s="158" t="s">
        <v>252</v>
      </c>
      <c r="J17" s="163" t="s">
        <v>251</v>
      </c>
      <c r="K17" s="10" t="s">
        <v>30</v>
      </c>
      <c r="L17" s="10">
        <v>5</v>
      </c>
      <c r="M17" s="10">
        <f t="shared" si="0"/>
        <v>1.67</v>
      </c>
      <c r="N17" s="10">
        <v>15</v>
      </c>
      <c r="O17" s="12">
        <v>5</v>
      </c>
      <c r="P17" s="11">
        <v>1070</v>
      </c>
      <c r="Q17" s="10" t="s">
        <v>33</v>
      </c>
      <c r="R17" s="4" t="s">
        <v>208</v>
      </c>
      <c r="S17" s="4" t="s">
        <v>507</v>
      </c>
      <c r="T17" s="4" t="s">
        <v>19</v>
      </c>
      <c r="U17" s="4" t="str">
        <f t="shared" si="1"/>
        <v>NOT AN ADD-ON</v>
      </c>
      <c r="V17" s="4" t="str">
        <f t="shared" si="2"/>
        <v>INTERNAL SERVICE PROVIDERSADD-ONAUTHORIZEDNOT AN ADD-ON</v>
      </c>
    </row>
    <row r="18" spans="1:22" ht="15" thickBot="1">
      <c r="A18" s="10" t="s">
        <v>21</v>
      </c>
      <c r="B18" s="10" t="s">
        <v>22</v>
      </c>
      <c r="C18" s="10" t="s">
        <v>204</v>
      </c>
      <c r="D18" s="10" t="s">
        <v>141</v>
      </c>
      <c r="E18" s="10" t="s">
        <v>142</v>
      </c>
      <c r="F18" s="10" t="s">
        <v>143</v>
      </c>
      <c r="G18" s="11">
        <v>643</v>
      </c>
      <c r="H18" s="163" t="s">
        <v>253</v>
      </c>
      <c r="I18" s="158" t="s">
        <v>254</v>
      </c>
      <c r="J18" s="163" t="s">
        <v>251</v>
      </c>
      <c r="K18" s="10" t="s">
        <v>30</v>
      </c>
      <c r="L18" s="10">
        <v>5</v>
      </c>
      <c r="M18" s="10">
        <f t="shared" si="0"/>
        <v>1.67</v>
      </c>
      <c r="N18" s="10">
        <v>15</v>
      </c>
      <c r="O18" s="12">
        <v>5</v>
      </c>
      <c r="P18" s="11">
        <v>1070</v>
      </c>
      <c r="Q18" s="10" t="s">
        <v>36</v>
      </c>
      <c r="R18" s="4" t="s">
        <v>208</v>
      </c>
      <c r="S18" s="4" t="s">
        <v>507</v>
      </c>
      <c r="T18" s="4" t="s">
        <v>19</v>
      </c>
      <c r="U18" s="4" t="str">
        <f t="shared" si="1"/>
        <v>NOT AN ADD-ON</v>
      </c>
      <c r="V18" s="4" t="str">
        <f t="shared" si="2"/>
        <v>INTERNAL SERVICE PROVIDERSADD-ONAUTHORIZEDNOT AN ADD-ON</v>
      </c>
    </row>
    <row r="19" spans="1:22" ht="29.25" customHeight="1" thickBot="1">
      <c r="A19" s="10" t="s">
        <v>21</v>
      </c>
      <c r="B19" s="10" t="s">
        <v>22</v>
      </c>
      <c r="C19" s="10" t="s">
        <v>230</v>
      </c>
      <c r="D19" s="10" t="s">
        <v>141</v>
      </c>
      <c r="E19" s="10" t="s">
        <v>142</v>
      </c>
      <c r="F19" s="10" t="s">
        <v>143</v>
      </c>
      <c r="G19" s="11">
        <v>3570</v>
      </c>
      <c r="H19" s="163" t="s">
        <v>285</v>
      </c>
      <c r="I19" s="166" t="s">
        <v>286</v>
      </c>
      <c r="J19" s="163" t="s">
        <v>285</v>
      </c>
      <c r="K19" s="10" t="s">
        <v>30</v>
      </c>
      <c r="L19" s="10">
        <v>5</v>
      </c>
      <c r="M19" s="10">
        <f t="shared" si="0"/>
        <v>1.67</v>
      </c>
      <c r="N19" s="10">
        <v>15</v>
      </c>
      <c r="O19" s="12">
        <v>5</v>
      </c>
      <c r="P19" s="11">
        <v>3570</v>
      </c>
      <c r="Q19" s="10" t="s">
        <v>33</v>
      </c>
      <c r="R19" s="4" t="s">
        <v>234</v>
      </c>
      <c r="S19" s="4" t="s">
        <v>235</v>
      </c>
      <c r="T19" s="4" t="s">
        <v>19</v>
      </c>
      <c r="U19" s="4" t="str">
        <f t="shared" si="1"/>
        <v>NOT AN ADD-ON</v>
      </c>
      <c r="V19" s="4" t="str">
        <f t="shared" si="2"/>
        <v>MANAGED SERVICE PROVIDERSMSPAUTHORIZEDNOT AN ADD-ON</v>
      </c>
    </row>
    <row r="20" spans="1:22" ht="15" thickBot="1">
      <c r="A20" s="10" t="s">
        <v>21</v>
      </c>
      <c r="B20" s="10" t="s">
        <v>22</v>
      </c>
      <c r="C20" s="10" t="s">
        <v>230</v>
      </c>
      <c r="D20" s="10" t="s">
        <v>141</v>
      </c>
      <c r="E20" s="10" t="s">
        <v>142</v>
      </c>
      <c r="F20" s="10" t="s">
        <v>143</v>
      </c>
      <c r="G20" s="11">
        <v>2140</v>
      </c>
      <c r="H20" s="163" t="s">
        <v>287</v>
      </c>
      <c r="I20" s="166" t="s">
        <v>288</v>
      </c>
      <c r="J20" s="163" t="s">
        <v>285</v>
      </c>
      <c r="K20" s="10" t="s">
        <v>30</v>
      </c>
      <c r="L20" s="10">
        <v>5</v>
      </c>
      <c r="M20" s="10">
        <f t="shared" si="0"/>
        <v>1.67</v>
      </c>
      <c r="N20" s="10">
        <v>15</v>
      </c>
      <c r="O20" s="12">
        <v>5</v>
      </c>
      <c r="P20" s="11">
        <v>3570</v>
      </c>
      <c r="Q20" s="10" t="s">
        <v>36</v>
      </c>
      <c r="R20" s="4" t="s">
        <v>234</v>
      </c>
      <c r="S20" s="4" t="s">
        <v>235</v>
      </c>
      <c r="T20" s="4" t="s">
        <v>19</v>
      </c>
      <c r="U20" s="4" t="str">
        <f t="shared" si="1"/>
        <v>NOT AN ADD-ON</v>
      </c>
      <c r="V20" s="4" t="str">
        <f t="shared" si="2"/>
        <v>MANAGED SERVICE PROVIDERSMSPAUTHORIZEDNOT AN ADD-ON</v>
      </c>
    </row>
    <row r="21" spans="1:22" ht="15" thickBot="1">
      <c r="A21" s="10" t="s">
        <v>21</v>
      </c>
      <c r="B21" s="10" t="s">
        <v>22</v>
      </c>
      <c r="C21" s="10" t="s">
        <v>1015</v>
      </c>
      <c r="D21" s="10" t="s">
        <v>141</v>
      </c>
      <c r="E21" s="10" t="s">
        <v>142</v>
      </c>
      <c r="F21" s="10" t="s">
        <v>143</v>
      </c>
      <c r="G21" s="11">
        <v>712</v>
      </c>
      <c r="H21" s="163" t="s">
        <v>1040</v>
      </c>
      <c r="I21" s="158" t="s">
        <v>1041</v>
      </c>
      <c r="J21" s="163" t="s">
        <v>1040</v>
      </c>
      <c r="K21" s="10" t="s">
        <v>30</v>
      </c>
      <c r="L21" s="10">
        <v>0</v>
      </c>
      <c r="M21" s="10">
        <f t="shared" si="0"/>
        <v>0</v>
      </c>
      <c r="N21" s="10">
        <v>5</v>
      </c>
      <c r="O21" s="12">
        <v>1.6666666666666667</v>
      </c>
      <c r="P21" s="11">
        <v>712</v>
      </c>
      <c r="Q21" s="10" t="s">
        <v>33</v>
      </c>
      <c r="R21" s="4" t="s">
        <v>1290</v>
      </c>
      <c r="S21" s="4" t="s">
        <v>507</v>
      </c>
      <c r="T21" s="4" t="s">
        <v>19</v>
      </c>
      <c r="U21" s="4" t="str">
        <f t="shared" si="1"/>
        <v>NOT AN ADD-ON</v>
      </c>
      <c r="V21" s="4" t="str">
        <f t="shared" si="2"/>
        <v>LINEARADD-ONAUTHORIZEDNOT AN ADD-ON</v>
      </c>
    </row>
    <row r="22" spans="1:22" ht="29.25" customHeight="1" thickBot="1">
      <c r="A22" s="10" t="s">
        <v>21</v>
      </c>
      <c r="B22" s="10" t="s">
        <v>22</v>
      </c>
      <c r="C22" s="10" t="s">
        <v>1015</v>
      </c>
      <c r="D22" s="10" t="s">
        <v>141</v>
      </c>
      <c r="E22" s="10" t="s">
        <v>142</v>
      </c>
      <c r="F22" s="10" t="s">
        <v>143</v>
      </c>
      <c r="G22" s="11">
        <v>427</v>
      </c>
      <c r="H22" s="163" t="s">
        <v>1042</v>
      </c>
      <c r="I22" s="158" t="s">
        <v>1043</v>
      </c>
      <c r="J22" s="163" t="s">
        <v>1040</v>
      </c>
      <c r="K22" s="10" t="s">
        <v>30</v>
      </c>
      <c r="L22" s="10">
        <v>0</v>
      </c>
      <c r="M22" s="10">
        <f t="shared" si="0"/>
        <v>0</v>
      </c>
      <c r="N22" s="10">
        <v>5</v>
      </c>
      <c r="O22" s="12">
        <v>1.6666666666666667</v>
      </c>
      <c r="P22" s="11">
        <v>712</v>
      </c>
      <c r="Q22" s="10" t="s">
        <v>36</v>
      </c>
      <c r="R22" s="4" t="s">
        <v>1290</v>
      </c>
      <c r="S22" s="4" t="s">
        <v>507</v>
      </c>
      <c r="T22" s="4" t="s">
        <v>19</v>
      </c>
      <c r="U22" s="4" t="str">
        <f t="shared" si="1"/>
        <v>NOT AN ADD-ON</v>
      </c>
      <c r="V22" s="4" t="str">
        <f t="shared" si="2"/>
        <v>LINEARADD-ONAUTHORIZEDNOT AN ADD-ON</v>
      </c>
    </row>
    <row r="23" spans="1:22" ht="15" thickBot="1">
      <c r="A23" s="10" t="s">
        <v>21</v>
      </c>
      <c r="B23" s="10" t="s">
        <v>22</v>
      </c>
      <c r="C23" s="10" t="s">
        <v>204</v>
      </c>
      <c r="D23" s="10" t="s">
        <v>141</v>
      </c>
      <c r="E23" s="10" t="s">
        <v>142</v>
      </c>
      <c r="F23" s="10" t="s">
        <v>143</v>
      </c>
      <c r="G23" s="11">
        <v>1070</v>
      </c>
      <c r="H23" s="163" t="s">
        <v>257</v>
      </c>
      <c r="I23" s="166" t="s">
        <v>258</v>
      </c>
      <c r="J23" s="163" t="s">
        <v>257</v>
      </c>
      <c r="K23" s="10" t="s">
        <v>30</v>
      </c>
      <c r="L23" s="10">
        <v>5</v>
      </c>
      <c r="M23" s="10">
        <f t="shared" si="0"/>
        <v>1.67</v>
      </c>
      <c r="N23" s="10">
        <v>15</v>
      </c>
      <c r="O23" s="12">
        <v>5</v>
      </c>
      <c r="P23" s="11">
        <v>1070</v>
      </c>
      <c r="Q23" s="10" t="s">
        <v>33</v>
      </c>
      <c r="R23" s="4" t="s">
        <v>208</v>
      </c>
      <c r="S23" s="4" t="s">
        <v>507</v>
      </c>
      <c r="T23" s="4" t="s">
        <v>19</v>
      </c>
      <c r="U23" s="4" t="str">
        <f t="shared" si="1"/>
        <v>NOT AN ADD-ON</v>
      </c>
      <c r="V23" s="4" t="str">
        <f t="shared" si="2"/>
        <v>INTERNAL SERVICE PROVIDERSADD-ONAUTHORIZEDNOT AN ADD-ON</v>
      </c>
    </row>
    <row r="24" spans="1:22" ht="15" thickBot="1">
      <c r="A24" s="10" t="s">
        <v>21</v>
      </c>
      <c r="B24" s="10" t="s">
        <v>22</v>
      </c>
      <c r="C24" s="10" t="s">
        <v>204</v>
      </c>
      <c r="D24" s="10" t="s">
        <v>141</v>
      </c>
      <c r="E24" s="10" t="s">
        <v>142</v>
      </c>
      <c r="F24" s="10" t="s">
        <v>143</v>
      </c>
      <c r="G24" s="11">
        <v>643</v>
      </c>
      <c r="H24" s="163" t="s">
        <v>259</v>
      </c>
      <c r="I24" s="166" t="s">
        <v>260</v>
      </c>
      <c r="J24" s="163" t="s">
        <v>257</v>
      </c>
      <c r="K24" s="10" t="s">
        <v>30</v>
      </c>
      <c r="L24" s="10">
        <v>5</v>
      </c>
      <c r="M24" s="10">
        <f t="shared" si="0"/>
        <v>1.67</v>
      </c>
      <c r="N24" s="10">
        <v>15</v>
      </c>
      <c r="O24" s="12">
        <v>5</v>
      </c>
      <c r="P24" s="11">
        <v>1070</v>
      </c>
      <c r="Q24" s="10" t="s">
        <v>36</v>
      </c>
      <c r="R24" s="4" t="s">
        <v>208</v>
      </c>
      <c r="S24" s="4" t="s">
        <v>507</v>
      </c>
      <c r="T24" s="4" t="s">
        <v>19</v>
      </c>
      <c r="U24" s="4" t="str">
        <f t="shared" si="1"/>
        <v>NOT AN ADD-ON</v>
      </c>
      <c r="V24" s="4" t="str">
        <f t="shared" si="2"/>
        <v>INTERNAL SERVICE PROVIDERSADD-ONAUTHORIZEDNOT AN ADD-ON</v>
      </c>
    </row>
    <row r="25" spans="1:22" ht="15" thickBot="1">
      <c r="A25" s="10" t="s">
        <v>21</v>
      </c>
      <c r="B25" s="10" t="s">
        <v>22</v>
      </c>
      <c r="C25" s="10" t="s">
        <v>230</v>
      </c>
      <c r="D25" s="10" t="s">
        <v>141</v>
      </c>
      <c r="E25" s="10" t="s">
        <v>142</v>
      </c>
      <c r="F25" s="10" t="s">
        <v>143</v>
      </c>
      <c r="G25" s="11">
        <v>1780</v>
      </c>
      <c r="H25" s="163" t="s">
        <v>297</v>
      </c>
      <c r="I25" s="166" t="s">
        <v>298</v>
      </c>
      <c r="J25" s="163" t="s">
        <v>297</v>
      </c>
      <c r="K25" s="10" t="s">
        <v>30</v>
      </c>
      <c r="L25" s="10">
        <v>0</v>
      </c>
      <c r="M25" s="10">
        <f t="shared" si="0"/>
        <v>0</v>
      </c>
      <c r="N25" s="10">
        <v>5</v>
      </c>
      <c r="O25" s="12">
        <v>1.6666666666666667</v>
      </c>
      <c r="P25" s="11">
        <v>1780</v>
      </c>
      <c r="Q25" s="10" t="s">
        <v>33</v>
      </c>
      <c r="R25" s="4" t="s">
        <v>234</v>
      </c>
      <c r="S25" s="4" t="s">
        <v>235</v>
      </c>
      <c r="T25" s="4" t="s">
        <v>672</v>
      </c>
      <c r="U25" s="4" t="str">
        <f t="shared" si="1"/>
        <v>NOT AN ADD-ON</v>
      </c>
      <c r="V25" s="4" t="str">
        <f t="shared" si="2"/>
        <v>MANAGED SERVICE PROVIDERSMSPLIMITEDNOT AN ADD-ON</v>
      </c>
    </row>
    <row r="26" spans="1:22" ht="15" thickBot="1">
      <c r="A26" s="10" t="s">
        <v>21</v>
      </c>
      <c r="B26" s="10" t="s">
        <v>22</v>
      </c>
      <c r="C26" s="10" t="s">
        <v>230</v>
      </c>
      <c r="D26" s="10" t="s">
        <v>141</v>
      </c>
      <c r="E26" s="10" t="s">
        <v>142</v>
      </c>
      <c r="F26" s="10" t="s">
        <v>143</v>
      </c>
      <c r="G26" s="11">
        <v>1070</v>
      </c>
      <c r="H26" s="163" t="s">
        <v>299</v>
      </c>
      <c r="I26" s="166" t="s">
        <v>300</v>
      </c>
      <c r="J26" s="163" t="s">
        <v>297</v>
      </c>
      <c r="K26" s="10" t="s">
        <v>30</v>
      </c>
      <c r="L26" s="10">
        <v>0</v>
      </c>
      <c r="M26" s="10">
        <f t="shared" si="0"/>
        <v>0</v>
      </c>
      <c r="N26" s="10">
        <v>5</v>
      </c>
      <c r="O26" s="12">
        <v>1.6666666666666667</v>
      </c>
      <c r="P26" s="11">
        <v>1780</v>
      </c>
      <c r="Q26" s="10" t="s">
        <v>36</v>
      </c>
      <c r="R26" s="4" t="s">
        <v>234</v>
      </c>
      <c r="S26" s="4" t="s">
        <v>235</v>
      </c>
      <c r="T26" s="4" t="s">
        <v>672</v>
      </c>
      <c r="U26" s="4" t="str">
        <f t="shared" si="1"/>
        <v>NOT AN ADD-ON</v>
      </c>
      <c r="V26" s="4" t="str">
        <f t="shared" si="2"/>
        <v>MANAGED SERVICE PROVIDERSMSPLIMITEDNOT AN ADD-ON</v>
      </c>
    </row>
    <row r="27" spans="1:22" ht="15" thickBot="1">
      <c r="A27" s="10" t="s">
        <v>21</v>
      </c>
      <c r="B27" s="10" t="s">
        <v>22</v>
      </c>
      <c r="C27" s="10" t="s">
        <v>94</v>
      </c>
      <c r="D27" s="10" t="s">
        <v>95</v>
      </c>
      <c r="E27" s="10" t="s">
        <v>96</v>
      </c>
      <c r="F27" s="10" t="s">
        <v>97</v>
      </c>
      <c r="G27" s="11">
        <v>8980</v>
      </c>
      <c r="H27" s="163" t="s">
        <v>130</v>
      </c>
      <c r="I27" s="158" t="s">
        <v>131</v>
      </c>
      <c r="J27" s="163" t="s">
        <v>130</v>
      </c>
      <c r="K27" s="10" t="s">
        <v>101</v>
      </c>
      <c r="L27" s="10" t="s">
        <v>102</v>
      </c>
      <c r="M27" s="10" t="e">
        <f t="shared" si="0"/>
        <v>#VALUE!</v>
      </c>
      <c r="N27" s="10">
        <v>15</v>
      </c>
      <c r="O27" s="12">
        <v>5</v>
      </c>
      <c r="P27" s="11">
        <v>8980</v>
      </c>
      <c r="Q27" s="10" t="s">
        <v>33</v>
      </c>
      <c r="R27" s="4" t="s">
        <v>1294</v>
      </c>
      <c r="S27" s="4" t="s">
        <v>1379</v>
      </c>
      <c r="T27" s="4" t="s">
        <v>1380</v>
      </c>
      <c r="U27" s="4" t="str">
        <f t="shared" si="1"/>
        <v>NOT AN ADD-ON</v>
      </c>
      <c r="V27" s="4" t="str">
        <f t="shared" si="2"/>
        <v>ASSET CONFIGURATION MANAGERACMASSETNOT AN ADD-ON</v>
      </c>
    </row>
    <row r="28" spans="1:22" ht="15" thickBot="1">
      <c r="A28" s="10" t="s">
        <v>21</v>
      </c>
      <c r="B28" s="10" t="s">
        <v>22</v>
      </c>
      <c r="C28" s="10" t="s">
        <v>94</v>
      </c>
      <c r="D28" s="10" t="s">
        <v>95</v>
      </c>
      <c r="E28" s="10" t="s">
        <v>96</v>
      </c>
      <c r="F28" s="10" t="s">
        <v>97</v>
      </c>
      <c r="G28" s="11">
        <v>5390</v>
      </c>
      <c r="H28" s="163" t="s">
        <v>132</v>
      </c>
      <c r="I28" s="158" t="s">
        <v>133</v>
      </c>
      <c r="J28" s="163" t="s">
        <v>130</v>
      </c>
      <c r="K28" s="10" t="s">
        <v>101</v>
      </c>
      <c r="L28" s="10" t="s">
        <v>102</v>
      </c>
      <c r="M28" s="10" t="e">
        <f t="shared" si="0"/>
        <v>#VALUE!</v>
      </c>
      <c r="N28" s="10">
        <v>15</v>
      </c>
      <c r="O28" s="12">
        <v>5</v>
      </c>
      <c r="P28" s="11">
        <v>8980</v>
      </c>
      <c r="Q28" s="10" t="s">
        <v>36</v>
      </c>
      <c r="R28" s="4" t="s">
        <v>1294</v>
      </c>
      <c r="S28" s="4" t="s">
        <v>1379</v>
      </c>
      <c r="T28" s="4" t="s">
        <v>1380</v>
      </c>
      <c r="U28" s="4" t="str">
        <f t="shared" si="1"/>
        <v>NOT AN ADD-ON</v>
      </c>
      <c r="V28" s="4" t="str">
        <f t="shared" si="2"/>
        <v>ASSET CONFIGURATION MANAGERACMASSETNOT AN ADD-ON</v>
      </c>
    </row>
    <row r="29" spans="1:22" ht="15" thickBot="1">
      <c r="A29" s="10" t="s">
        <v>21</v>
      </c>
      <c r="B29" s="10" t="s">
        <v>22</v>
      </c>
      <c r="C29" s="10" t="s">
        <v>94</v>
      </c>
      <c r="D29" s="10" t="s">
        <v>95</v>
      </c>
      <c r="E29" s="10" t="s">
        <v>96</v>
      </c>
      <c r="F29" s="10" t="s">
        <v>97</v>
      </c>
      <c r="G29" s="11">
        <v>5740</v>
      </c>
      <c r="H29" s="163" t="s">
        <v>136</v>
      </c>
      <c r="I29" s="158" t="s">
        <v>137</v>
      </c>
      <c r="J29" s="163" t="s">
        <v>136</v>
      </c>
      <c r="K29" s="10" t="s">
        <v>30</v>
      </c>
      <c r="L29" s="10">
        <v>15</v>
      </c>
      <c r="M29" s="10">
        <f t="shared" si="0"/>
        <v>5</v>
      </c>
      <c r="N29" s="10">
        <v>15</v>
      </c>
      <c r="O29" s="12">
        <v>5</v>
      </c>
      <c r="P29" s="11">
        <v>5740</v>
      </c>
      <c r="Q29" s="10" t="s">
        <v>33</v>
      </c>
      <c r="R29" s="4" t="s">
        <v>1294</v>
      </c>
      <c r="S29" s="4" t="s">
        <v>1379</v>
      </c>
      <c r="T29" s="4" t="s">
        <v>19</v>
      </c>
      <c r="U29" s="4" t="str">
        <f t="shared" si="1"/>
        <v>NOT AN ADD-ON</v>
      </c>
      <c r="V29" s="4" t="str">
        <f t="shared" si="2"/>
        <v>ASSET CONFIGURATION MANAGERACMAUTHORIZEDNOT AN ADD-ON</v>
      </c>
    </row>
    <row r="30" spans="1:22" ht="15" thickBot="1">
      <c r="A30" s="10" t="s">
        <v>21</v>
      </c>
      <c r="B30" s="10" t="s">
        <v>22</v>
      </c>
      <c r="C30" s="10" t="s">
        <v>94</v>
      </c>
      <c r="D30" s="10" t="s">
        <v>95</v>
      </c>
      <c r="E30" s="10" t="s">
        <v>96</v>
      </c>
      <c r="F30" s="10" t="s">
        <v>97</v>
      </c>
      <c r="G30" s="11">
        <v>3440</v>
      </c>
      <c r="H30" s="163" t="s">
        <v>138</v>
      </c>
      <c r="I30" s="158" t="s">
        <v>139</v>
      </c>
      <c r="J30" s="163" t="s">
        <v>136</v>
      </c>
      <c r="K30" s="10" t="s">
        <v>30</v>
      </c>
      <c r="L30" s="10">
        <v>15</v>
      </c>
      <c r="M30" s="10">
        <f t="shared" si="0"/>
        <v>5</v>
      </c>
      <c r="N30" s="10">
        <v>15</v>
      </c>
      <c r="O30" s="12">
        <v>5</v>
      </c>
      <c r="P30" s="11">
        <v>5740</v>
      </c>
      <c r="Q30" s="10" t="s">
        <v>36</v>
      </c>
      <c r="R30" s="4" t="s">
        <v>1294</v>
      </c>
      <c r="S30" s="4" t="s">
        <v>1379</v>
      </c>
      <c r="T30" s="4" t="s">
        <v>19</v>
      </c>
      <c r="U30" s="4" t="str">
        <f t="shared" si="1"/>
        <v>NOT AN ADD-ON</v>
      </c>
      <c r="V30" s="4" t="str">
        <f t="shared" si="2"/>
        <v>ASSET CONFIGURATION MANAGERACMAUTHORIZEDNOT AN ADD-ON</v>
      </c>
    </row>
    <row r="31" spans="1:22" ht="15" thickBot="1">
      <c r="A31" s="10" t="s">
        <v>21</v>
      </c>
      <c r="B31" s="10" t="s">
        <v>22</v>
      </c>
      <c r="C31" s="10" t="s">
        <v>417</v>
      </c>
      <c r="D31" s="10" t="s">
        <v>418</v>
      </c>
      <c r="E31" s="10" t="s">
        <v>419</v>
      </c>
      <c r="F31" s="10" t="s">
        <v>420</v>
      </c>
      <c r="G31" s="11">
        <v>161000</v>
      </c>
      <c r="H31" s="163" t="s">
        <v>423</v>
      </c>
      <c r="I31" s="158" t="s">
        <v>425</v>
      </c>
      <c r="J31" s="163" t="s">
        <v>423</v>
      </c>
      <c r="K31" s="10" t="s">
        <v>424</v>
      </c>
      <c r="L31" s="10">
        <v>80</v>
      </c>
      <c r="M31" s="10">
        <f t="shared" si="0"/>
        <v>80</v>
      </c>
      <c r="N31" s="10">
        <v>80</v>
      </c>
      <c r="O31" s="12">
        <v>1</v>
      </c>
      <c r="P31" s="11">
        <v>161000</v>
      </c>
      <c r="Q31" s="10" t="s">
        <v>33</v>
      </c>
      <c r="R31" s="4" t="s">
        <v>1296</v>
      </c>
      <c r="S31" s="4" t="s">
        <v>1295</v>
      </c>
      <c r="T31" s="4" t="s">
        <v>1295</v>
      </c>
      <c r="U31" s="4" t="str">
        <f t="shared" si="1"/>
        <v>NOT AN ADD-ON</v>
      </c>
      <c r="V31" s="4" t="str">
        <f t="shared" si="2"/>
        <v>ADAPTER FOR ORACLEADAPTERADAPTERNOT AN ADD-ON</v>
      </c>
    </row>
    <row r="32" spans="1:22" ht="15" thickBot="1">
      <c r="A32" s="10" t="s">
        <v>21</v>
      </c>
      <c r="B32" s="10" t="s">
        <v>22</v>
      </c>
      <c r="C32" s="10" t="s">
        <v>417</v>
      </c>
      <c r="D32" s="10" t="s">
        <v>418</v>
      </c>
      <c r="E32" s="10" t="s">
        <v>419</v>
      </c>
      <c r="F32" s="10" t="s">
        <v>420</v>
      </c>
      <c r="G32" s="11">
        <v>96300</v>
      </c>
      <c r="H32" s="163" t="s">
        <v>426</v>
      </c>
      <c r="I32" s="166" t="s">
        <v>427</v>
      </c>
      <c r="J32" s="163" t="s">
        <v>423</v>
      </c>
      <c r="K32" s="10" t="s">
        <v>424</v>
      </c>
      <c r="L32" s="10">
        <v>80</v>
      </c>
      <c r="M32" s="10">
        <f t="shared" si="0"/>
        <v>80</v>
      </c>
      <c r="N32" s="10">
        <v>80</v>
      </c>
      <c r="O32" s="12">
        <v>1</v>
      </c>
      <c r="P32" s="11">
        <v>161000</v>
      </c>
      <c r="Q32" s="10" t="s">
        <v>36</v>
      </c>
      <c r="R32" s="4" t="s">
        <v>1296</v>
      </c>
      <c r="S32" s="4" t="s">
        <v>1295</v>
      </c>
      <c r="T32" s="4" t="s">
        <v>1295</v>
      </c>
      <c r="U32" s="4" t="str">
        <f t="shared" si="1"/>
        <v>NOT AN ADD-ON</v>
      </c>
      <c r="V32" s="4" t="str">
        <f t="shared" si="2"/>
        <v>ADAPTER FOR ORACLEADAPTERADAPTERNOT AN ADD-ON</v>
      </c>
    </row>
    <row r="33" spans="1:22" ht="15" thickBot="1">
      <c r="A33" s="10" t="s">
        <v>21</v>
      </c>
      <c r="B33" s="10" t="s">
        <v>22</v>
      </c>
      <c r="C33" s="10" t="s">
        <v>435</v>
      </c>
      <c r="D33" s="10" t="s">
        <v>418</v>
      </c>
      <c r="E33" s="10" t="s">
        <v>419</v>
      </c>
      <c r="F33" s="10" t="s">
        <v>420</v>
      </c>
      <c r="G33" s="11">
        <v>161000</v>
      </c>
      <c r="H33" s="163" t="s">
        <v>438</v>
      </c>
      <c r="I33" s="158" t="s">
        <v>439</v>
      </c>
      <c r="J33" s="163" t="s">
        <v>438</v>
      </c>
      <c r="K33" s="10" t="s">
        <v>424</v>
      </c>
      <c r="L33" s="10">
        <v>80</v>
      </c>
      <c r="M33" s="10">
        <f t="shared" si="0"/>
        <v>80</v>
      </c>
      <c r="N33" s="10">
        <v>80</v>
      </c>
      <c r="O33" s="12">
        <v>1</v>
      </c>
      <c r="P33" s="11">
        <v>161000</v>
      </c>
      <c r="Q33" s="10" t="s">
        <v>33</v>
      </c>
      <c r="R33" s="4" t="s">
        <v>1297</v>
      </c>
      <c r="S33" s="4" t="s">
        <v>1295</v>
      </c>
      <c r="T33" s="4" t="s">
        <v>1295</v>
      </c>
      <c r="U33" s="4" t="str">
        <f t="shared" si="1"/>
        <v>NOT AN ADD-ON</v>
      </c>
      <c r="V33" s="4" t="str">
        <f t="shared" si="2"/>
        <v>ADAPTER FOR SAPADAPTERADAPTERNOT AN ADD-ON</v>
      </c>
    </row>
    <row r="34" spans="1:22" ht="15" thickBot="1">
      <c r="A34" s="10" t="s">
        <v>21</v>
      </c>
      <c r="B34" s="10" t="s">
        <v>22</v>
      </c>
      <c r="C34" s="10" t="s">
        <v>435</v>
      </c>
      <c r="D34" s="10" t="s">
        <v>418</v>
      </c>
      <c r="E34" s="10" t="s">
        <v>419</v>
      </c>
      <c r="F34" s="10" t="s">
        <v>420</v>
      </c>
      <c r="G34" s="11">
        <v>96300</v>
      </c>
      <c r="H34" s="163" t="s">
        <v>440</v>
      </c>
      <c r="I34" s="158" t="s">
        <v>441</v>
      </c>
      <c r="J34" s="163" t="s">
        <v>438</v>
      </c>
      <c r="K34" s="10" t="s">
        <v>424</v>
      </c>
      <c r="L34" s="10">
        <v>80</v>
      </c>
      <c r="M34" s="10">
        <f t="shared" si="0"/>
        <v>80</v>
      </c>
      <c r="N34" s="10">
        <v>80</v>
      </c>
      <c r="O34" s="12">
        <v>1</v>
      </c>
      <c r="P34" s="11">
        <v>161000</v>
      </c>
      <c r="Q34" s="10" t="s">
        <v>36</v>
      </c>
      <c r="R34" s="4" t="s">
        <v>1297</v>
      </c>
      <c r="S34" s="4" t="s">
        <v>1295</v>
      </c>
      <c r="T34" s="4" t="s">
        <v>1295</v>
      </c>
      <c r="U34" s="4" t="str">
        <f t="shared" si="1"/>
        <v>NOT AN ADD-ON</v>
      </c>
      <c r="V34" s="4" t="str">
        <f t="shared" si="2"/>
        <v>ADAPTER FOR SAPADAPTERADAPTERNOT AN ADD-ON</v>
      </c>
    </row>
    <row r="35" spans="1:22" ht="15" thickBot="1">
      <c r="A35" s="10" t="s">
        <v>21</v>
      </c>
      <c r="B35" s="10" t="s">
        <v>22</v>
      </c>
      <c r="C35" s="10" t="s">
        <v>385</v>
      </c>
      <c r="D35" s="10" t="s">
        <v>386</v>
      </c>
      <c r="E35" s="10" t="s">
        <v>387</v>
      </c>
      <c r="F35" s="10" t="s">
        <v>388</v>
      </c>
      <c r="G35" s="11">
        <v>584</v>
      </c>
      <c r="H35" s="163" t="s">
        <v>413</v>
      </c>
      <c r="I35" s="158" t="s">
        <v>414</v>
      </c>
      <c r="J35" s="163" t="s">
        <v>413</v>
      </c>
      <c r="K35" s="10" t="s">
        <v>30</v>
      </c>
      <c r="L35" s="10">
        <v>0</v>
      </c>
      <c r="M35" s="10">
        <f t="shared" si="0"/>
        <v>0</v>
      </c>
      <c r="N35" s="15">
        <v>5</v>
      </c>
      <c r="O35" s="16">
        <v>1.67</v>
      </c>
      <c r="P35" s="11">
        <v>584</v>
      </c>
      <c r="Q35" s="10" t="s">
        <v>33</v>
      </c>
      <c r="R35" s="4" t="s">
        <v>1288</v>
      </c>
      <c r="S35" s="4" t="s">
        <v>507</v>
      </c>
      <c r="T35" s="4" t="s">
        <v>19</v>
      </c>
      <c r="U35" s="4" t="str">
        <f t="shared" ref="U35:U52" si="3">IF(ISNUMBER(SEARCH("ADD-ON",$I35)),"ADD-ON","NOT AN ADD-ON")</f>
        <v>NOT AN ADD-ON</v>
      </c>
      <c r="V35" s="4" t="str">
        <f t="shared" si="2"/>
        <v>CALIBRATIONADD-ONAUTHORIZEDNOT AN ADD-ON</v>
      </c>
    </row>
    <row r="36" spans="1:22" ht="15" thickBot="1">
      <c r="A36" s="10" t="s">
        <v>21</v>
      </c>
      <c r="B36" s="10" t="s">
        <v>22</v>
      </c>
      <c r="C36" s="10" t="s">
        <v>385</v>
      </c>
      <c r="D36" s="10" t="s">
        <v>386</v>
      </c>
      <c r="E36" s="10" t="s">
        <v>387</v>
      </c>
      <c r="F36" s="10" t="s">
        <v>388</v>
      </c>
      <c r="G36" s="11">
        <v>350</v>
      </c>
      <c r="H36" s="163" t="s">
        <v>415</v>
      </c>
      <c r="I36" s="158" t="s">
        <v>416</v>
      </c>
      <c r="J36" s="163" t="s">
        <v>413</v>
      </c>
      <c r="K36" s="10" t="s">
        <v>30</v>
      </c>
      <c r="L36" s="10">
        <v>0</v>
      </c>
      <c r="M36" s="10">
        <f t="shared" si="0"/>
        <v>0</v>
      </c>
      <c r="N36" s="15">
        <v>5</v>
      </c>
      <c r="O36" s="16">
        <v>1.67</v>
      </c>
      <c r="P36" s="11">
        <v>584</v>
      </c>
      <c r="Q36" s="10" t="s">
        <v>36</v>
      </c>
      <c r="R36" s="4" t="s">
        <v>1288</v>
      </c>
      <c r="S36" s="4" t="s">
        <v>507</v>
      </c>
      <c r="T36" s="4" t="s">
        <v>19</v>
      </c>
      <c r="U36" s="4" t="str">
        <f t="shared" si="3"/>
        <v>NOT AN ADD-ON</v>
      </c>
      <c r="V36" s="4" t="str">
        <f t="shared" si="2"/>
        <v>CALIBRATIONADD-ONAUTHORIZEDNOT AN ADD-ON</v>
      </c>
    </row>
    <row r="37" spans="1:22" ht="15" thickBot="1">
      <c r="A37" s="10" t="s">
        <v>21</v>
      </c>
      <c r="B37" s="10" t="s">
        <v>22</v>
      </c>
      <c r="C37" s="10" t="s">
        <v>301</v>
      </c>
      <c r="D37" s="10" t="s">
        <v>141</v>
      </c>
      <c r="E37" s="10" t="s">
        <v>142</v>
      </c>
      <c r="F37" s="10" t="s">
        <v>143</v>
      </c>
      <c r="G37" s="11">
        <v>2020</v>
      </c>
      <c r="H37" s="163" t="s">
        <v>304</v>
      </c>
      <c r="I37" s="158" t="s">
        <v>309</v>
      </c>
      <c r="J37" s="163" t="s">
        <v>304</v>
      </c>
      <c r="K37" s="10" t="s">
        <v>30</v>
      </c>
      <c r="L37" s="10">
        <v>0</v>
      </c>
      <c r="M37" s="10">
        <f t="shared" si="0"/>
        <v>0</v>
      </c>
      <c r="N37" s="10">
        <v>10</v>
      </c>
      <c r="O37" s="12">
        <v>3.3333333333333335</v>
      </c>
      <c r="P37" s="11">
        <v>2020</v>
      </c>
      <c r="Q37" s="10" t="s">
        <v>33</v>
      </c>
      <c r="R37" s="4" t="s">
        <v>1285</v>
      </c>
      <c r="S37" s="4" t="s">
        <v>507</v>
      </c>
      <c r="T37" s="4" t="s">
        <v>19</v>
      </c>
      <c r="U37" s="4" t="str">
        <f t="shared" si="3"/>
        <v>NOT AN ADD-ON</v>
      </c>
      <c r="V37" s="4" t="str">
        <f t="shared" si="2"/>
        <v>SCHEDULERADD-ONAUTHORIZEDNOT AN ADD-ON</v>
      </c>
    </row>
    <row r="38" spans="1:22" ht="15" thickBot="1">
      <c r="A38" s="10" t="s">
        <v>21</v>
      </c>
      <c r="B38" s="10" t="s">
        <v>22</v>
      </c>
      <c r="C38" s="10" t="s">
        <v>301</v>
      </c>
      <c r="D38" s="10" t="s">
        <v>141</v>
      </c>
      <c r="E38" s="10" t="s">
        <v>142</v>
      </c>
      <c r="F38" s="10" t="s">
        <v>143</v>
      </c>
      <c r="G38" s="11">
        <v>1190</v>
      </c>
      <c r="H38" s="163" t="s">
        <v>310</v>
      </c>
      <c r="I38" s="158" t="s">
        <v>311</v>
      </c>
      <c r="J38" s="163" t="s">
        <v>304</v>
      </c>
      <c r="K38" s="10" t="s">
        <v>30</v>
      </c>
      <c r="L38" s="10">
        <v>0</v>
      </c>
      <c r="M38" s="10">
        <f t="shared" si="0"/>
        <v>0</v>
      </c>
      <c r="N38" s="10">
        <v>10</v>
      </c>
      <c r="O38" s="12">
        <v>3.3333333333333335</v>
      </c>
      <c r="P38" s="11">
        <v>2020</v>
      </c>
      <c r="Q38" s="10" t="s">
        <v>36</v>
      </c>
      <c r="R38" s="4" t="s">
        <v>1285</v>
      </c>
      <c r="S38" s="4" t="s">
        <v>507</v>
      </c>
      <c r="T38" s="4" t="s">
        <v>19</v>
      </c>
      <c r="U38" s="4" t="str">
        <f t="shared" si="3"/>
        <v>NOT AN ADD-ON</v>
      </c>
      <c r="V38" s="4" t="str">
        <f t="shared" si="2"/>
        <v>SCHEDULERADD-ONAUTHORIZEDNOT AN ADD-ON</v>
      </c>
    </row>
    <row r="39" spans="1:22" ht="15" thickBot="1">
      <c r="A39" s="10" t="s">
        <v>21</v>
      </c>
      <c r="B39" s="10" t="s">
        <v>22</v>
      </c>
      <c r="C39" s="10" t="s">
        <v>301</v>
      </c>
      <c r="D39" s="10" t="s">
        <v>141</v>
      </c>
      <c r="E39" s="10" t="s">
        <v>142</v>
      </c>
      <c r="F39" s="10" t="s">
        <v>143</v>
      </c>
      <c r="G39" s="11">
        <v>2020</v>
      </c>
      <c r="H39" s="163" t="s">
        <v>330</v>
      </c>
      <c r="I39" s="158" t="s">
        <v>335</v>
      </c>
      <c r="J39" s="163" t="s">
        <v>330</v>
      </c>
      <c r="K39" s="10" t="s">
        <v>30</v>
      </c>
      <c r="L39" s="10">
        <v>0</v>
      </c>
      <c r="M39" s="10">
        <f t="shared" si="0"/>
        <v>0</v>
      </c>
      <c r="N39" s="10">
        <v>10</v>
      </c>
      <c r="O39" s="12">
        <v>3.3333333333333335</v>
      </c>
      <c r="P39" s="11">
        <v>2020</v>
      </c>
      <c r="Q39" s="10" t="s">
        <v>33</v>
      </c>
      <c r="R39" s="4" t="s">
        <v>1285</v>
      </c>
      <c r="S39" s="4" t="s">
        <v>507</v>
      </c>
      <c r="T39" s="4" t="s">
        <v>19</v>
      </c>
      <c r="U39" s="4" t="str">
        <f t="shared" si="3"/>
        <v>NOT AN ADD-ON</v>
      </c>
      <c r="V39" s="4" t="str">
        <f t="shared" si="2"/>
        <v>SCHEDULERADD-ONAUTHORIZEDNOT AN ADD-ON</v>
      </c>
    </row>
    <row r="40" spans="1:22" ht="15" thickBot="1">
      <c r="A40" s="10" t="s">
        <v>21</v>
      </c>
      <c r="B40" s="10" t="s">
        <v>22</v>
      </c>
      <c r="C40" s="10" t="s">
        <v>301</v>
      </c>
      <c r="D40" s="10" t="s">
        <v>141</v>
      </c>
      <c r="E40" s="10" t="s">
        <v>142</v>
      </c>
      <c r="F40" s="10" t="s">
        <v>143</v>
      </c>
      <c r="G40" s="11">
        <v>1190</v>
      </c>
      <c r="H40" s="163" t="s">
        <v>336</v>
      </c>
      <c r="I40" s="158" t="s">
        <v>337</v>
      </c>
      <c r="J40" s="163" t="s">
        <v>330</v>
      </c>
      <c r="K40" s="10" t="s">
        <v>30</v>
      </c>
      <c r="L40" s="10">
        <v>0</v>
      </c>
      <c r="M40" s="10">
        <f t="shared" si="0"/>
        <v>0</v>
      </c>
      <c r="N40" s="10">
        <v>10</v>
      </c>
      <c r="O40" s="12">
        <v>3.3333333333333335</v>
      </c>
      <c r="P40" s="11">
        <v>2020</v>
      </c>
      <c r="Q40" s="10" t="s">
        <v>36</v>
      </c>
      <c r="R40" s="4" t="s">
        <v>1285</v>
      </c>
      <c r="S40" s="4" t="s">
        <v>507</v>
      </c>
      <c r="T40" s="4" t="s">
        <v>19</v>
      </c>
      <c r="U40" s="4" t="str">
        <f t="shared" si="3"/>
        <v>NOT AN ADD-ON</v>
      </c>
      <c r="V40" s="4" t="str">
        <f t="shared" si="2"/>
        <v>SCHEDULERADD-ONAUTHORIZEDNOT AN ADD-ON</v>
      </c>
    </row>
    <row r="41" spans="1:22" ht="15" thickBot="1">
      <c r="A41" s="10" t="s">
        <v>21</v>
      </c>
      <c r="B41" s="10" t="s">
        <v>22</v>
      </c>
      <c r="C41" s="10" t="s">
        <v>140</v>
      </c>
      <c r="D41" s="10" t="s">
        <v>141</v>
      </c>
      <c r="E41" s="10" t="s">
        <v>142</v>
      </c>
      <c r="F41" s="10" t="s">
        <v>143</v>
      </c>
      <c r="G41" s="11">
        <v>3200</v>
      </c>
      <c r="H41" s="163" t="s">
        <v>263</v>
      </c>
      <c r="I41" s="158" t="s">
        <v>266</v>
      </c>
      <c r="J41" s="163" t="s">
        <v>263</v>
      </c>
      <c r="K41" s="10" t="s">
        <v>30</v>
      </c>
      <c r="L41" s="10">
        <v>5</v>
      </c>
      <c r="M41" s="10">
        <f t="shared" si="0"/>
        <v>1.67</v>
      </c>
      <c r="N41" s="10">
        <v>5</v>
      </c>
      <c r="O41" s="12">
        <v>1.6666666666666667</v>
      </c>
      <c r="P41" s="11">
        <v>3200</v>
      </c>
      <c r="Q41" s="10" t="s">
        <v>33</v>
      </c>
      <c r="R41" s="4" t="s">
        <v>1278</v>
      </c>
      <c r="S41" s="4" t="s">
        <v>1278</v>
      </c>
      <c r="T41" s="4" t="s">
        <v>672</v>
      </c>
      <c r="U41" s="4" t="str">
        <f t="shared" si="3"/>
        <v>NOT AN ADD-ON</v>
      </c>
      <c r="V41" s="4" t="str">
        <f t="shared" si="2"/>
        <v>ASSET MANAGEMENT (CORE)ASSET MANAGEMENT (CORE)LIMITEDNOT AN ADD-ON</v>
      </c>
    </row>
    <row r="42" spans="1:22" ht="15" thickBot="1">
      <c r="A42" s="10" t="s">
        <v>21</v>
      </c>
      <c r="B42" s="10" t="s">
        <v>22</v>
      </c>
      <c r="C42" s="10" t="s">
        <v>140</v>
      </c>
      <c r="D42" s="10" t="s">
        <v>141</v>
      </c>
      <c r="E42" s="10" t="s">
        <v>142</v>
      </c>
      <c r="F42" s="10" t="s">
        <v>143</v>
      </c>
      <c r="G42" s="11">
        <v>1920</v>
      </c>
      <c r="H42" s="163" t="s">
        <v>267</v>
      </c>
      <c r="I42" s="158" t="s">
        <v>268</v>
      </c>
      <c r="J42" s="163" t="s">
        <v>263</v>
      </c>
      <c r="K42" s="10" t="s">
        <v>30</v>
      </c>
      <c r="L42" s="10">
        <v>5</v>
      </c>
      <c r="M42" s="10">
        <f t="shared" si="0"/>
        <v>1.67</v>
      </c>
      <c r="N42" s="10">
        <v>5</v>
      </c>
      <c r="O42" s="12">
        <v>1.6666666666666667</v>
      </c>
      <c r="P42" s="11">
        <v>3200</v>
      </c>
      <c r="Q42" s="10" t="s">
        <v>36</v>
      </c>
      <c r="R42" s="4" t="s">
        <v>1278</v>
      </c>
      <c r="S42" s="4" t="s">
        <v>1278</v>
      </c>
      <c r="T42" s="4" t="s">
        <v>672</v>
      </c>
      <c r="U42" s="4" t="str">
        <f t="shared" si="3"/>
        <v>NOT AN ADD-ON</v>
      </c>
      <c r="V42" s="4" t="str">
        <f t="shared" si="2"/>
        <v>ASSET MANAGEMENT (CORE)ASSET MANAGEMENT (CORE)LIMITEDNOT AN ADD-ON</v>
      </c>
    </row>
    <row r="43" spans="1:22" ht="15" thickBot="1">
      <c r="A43" s="10" t="s">
        <v>21</v>
      </c>
      <c r="B43" s="10" t="s">
        <v>22</v>
      </c>
      <c r="C43" s="10" t="s">
        <v>140</v>
      </c>
      <c r="D43" s="10" t="s">
        <v>141</v>
      </c>
      <c r="E43" s="10" t="s">
        <v>142</v>
      </c>
      <c r="F43" s="10" t="s">
        <v>143</v>
      </c>
      <c r="G43" s="11">
        <v>6390</v>
      </c>
      <c r="H43" s="163" t="s">
        <v>146</v>
      </c>
      <c r="I43" s="158" t="s">
        <v>149</v>
      </c>
      <c r="J43" s="163" t="s">
        <v>146</v>
      </c>
      <c r="K43" s="10" t="s">
        <v>30</v>
      </c>
      <c r="L43" s="10">
        <v>10</v>
      </c>
      <c r="M43" s="10">
        <f t="shared" si="0"/>
        <v>3.33</v>
      </c>
      <c r="N43" s="10">
        <v>10</v>
      </c>
      <c r="O43" s="12">
        <v>3.3333333333333335</v>
      </c>
      <c r="P43" s="11">
        <v>6390</v>
      </c>
      <c r="Q43" s="10" t="s">
        <v>33</v>
      </c>
      <c r="R43" s="4" t="s">
        <v>1278</v>
      </c>
      <c r="S43" s="4" t="s">
        <v>1278</v>
      </c>
      <c r="T43" s="4" t="s">
        <v>19</v>
      </c>
      <c r="U43" s="4" t="str">
        <f t="shared" si="3"/>
        <v>NOT AN ADD-ON</v>
      </c>
      <c r="V43" s="4" t="str">
        <f t="shared" si="2"/>
        <v>ASSET MANAGEMENT (CORE)ASSET MANAGEMENT (CORE)AUTHORIZEDNOT AN ADD-ON</v>
      </c>
    </row>
    <row r="44" spans="1:22" ht="15" thickBot="1">
      <c r="A44" s="10" t="s">
        <v>21</v>
      </c>
      <c r="B44" s="10" t="s">
        <v>22</v>
      </c>
      <c r="C44" s="10" t="s">
        <v>140</v>
      </c>
      <c r="D44" s="10" t="s">
        <v>141</v>
      </c>
      <c r="E44" s="10" t="s">
        <v>142</v>
      </c>
      <c r="F44" s="10" t="s">
        <v>143</v>
      </c>
      <c r="G44" s="11">
        <v>3830</v>
      </c>
      <c r="H44" s="163" t="s">
        <v>150</v>
      </c>
      <c r="I44" s="158" t="s">
        <v>151</v>
      </c>
      <c r="J44" s="163" t="s">
        <v>146</v>
      </c>
      <c r="K44" s="10" t="s">
        <v>30</v>
      </c>
      <c r="L44" s="10">
        <v>10</v>
      </c>
      <c r="M44" s="10">
        <f t="shared" si="0"/>
        <v>3.33</v>
      </c>
      <c r="N44" s="10">
        <v>10</v>
      </c>
      <c r="O44" s="12">
        <v>3.3333333333333335</v>
      </c>
      <c r="P44" s="11">
        <v>6390</v>
      </c>
      <c r="Q44" s="10" t="s">
        <v>36</v>
      </c>
      <c r="R44" s="4" t="s">
        <v>1278</v>
      </c>
      <c r="S44" s="4" t="s">
        <v>1278</v>
      </c>
      <c r="T44" s="4" t="s">
        <v>19</v>
      </c>
      <c r="U44" s="4" t="str">
        <f t="shared" si="3"/>
        <v>NOT AN ADD-ON</v>
      </c>
      <c r="V44" s="4" t="str">
        <f t="shared" si="2"/>
        <v>ASSET MANAGEMENT (CORE)ASSET MANAGEMENT (CORE)AUTHORIZEDNOT AN ADD-ON</v>
      </c>
    </row>
    <row r="45" spans="1:22" ht="15" thickBot="1">
      <c r="A45" s="10" t="s">
        <v>21</v>
      </c>
      <c r="B45" s="10" t="s">
        <v>22</v>
      </c>
      <c r="C45" s="10" t="s">
        <v>140</v>
      </c>
      <c r="D45" s="10" t="s">
        <v>141</v>
      </c>
      <c r="E45" s="10" t="s">
        <v>142</v>
      </c>
      <c r="F45" s="10" t="s">
        <v>143</v>
      </c>
      <c r="G45" s="11">
        <v>6390</v>
      </c>
      <c r="H45" s="163" t="s">
        <v>224</v>
      </c>
      <c r="I45" s="158" t="s">
        <v>227</v>
      </c>
      <c r="J45" s="163" t="s">
        <v>224</v>
      </c>
      <c r="K45" s="10" t="s">
        <v>30</v>
      </c>
      <c r="L45" s="10">
        <v>10</v>
      </c>
      <c r="M45" s="10">
        <f t="shared" si="0"/>
        <v>3.33</v>
      </c>
      <c r="N45" s="10">
        <v>10</v>
      </c>
      <c r="O45" s="12">
        <v>3.3333333333333335</v>
      </c>
      <c r="P45" s="11">
        <v>6390</v>
      </c>
      <c r="Q45" s="10" t="s">
        <v>33</v>
      </c>
      <c r="R45" s="4" t="s">
        <v>1278</v>
      </c>
      <c r="S45" s="4" t="s">
        <v>1278</v>
      </c>
      <c r="T45" s="4" t="s">
        <v>19</v>
      </c>
      <c r="U45" s="4" t="str">
        <f t="shared" si="3"/>
        <v>NOT AN ADD-ON</v>
      </c>
      <c r="V45" s="4" t="str">
        <f t="shared" si="2"/>
        <v>ASSET MANAGEMENT (CORE)ASSET MANAGEMENT (CORE)AUTHORIZEDNOT AN ADD-ON</v>
      </c>
    </row>
    <row r="46" spans="1:22" ht="15" thickBot="1">
      <c r="A46" s="10" t="s">
        <v>21</v>
      </c>
      <c r="B46" s="10" t="s">
        <v>22</v>
      </c>
      <c r="C46" s="10" t="s">
        <v>140</v>
      </c>
      <c r="D46" s="10" t="s">
        <v>141</v>
      </c>
      <c r="E46" s="10" t="s">
        <v>142</v>
      </c>
      <c r="F46" s="10" t="s">
        <v>143</v>
      </c>
      <c r="G46" s="11">
        <v>3830</v>
      </c>
      <c r="H46" s="163" t="s">
        <v>228</v>
      </c>
      <c r="I46" s="158" t="s">
        <v>229</v>
      </c>
      <c r="J46" s="163" t="s">
        <v>224</v>
      </c>
      <c r="K46" s="10" t="s">
        <v>30</v>
      </c>
      <c r="L46" s="10">
        <v>10</v>
      </c>
      <c r="M46" s="10">
        <f t="shared" si="0"/>
        <v>3.33</v>
      </c>
      <c r="N46" s="10">
        <v>10</v>
      </c>
      <c r="O46" s="12">
        <v>3.3333333333333335</v>
      </c>
      <c r="P46" s="11">
        <v>6390</v>
      </c>
      <c r="Q46" s="10" t="s">
        <v>36</v>
      </c>
      <c r="R46" s="4" t="s">
        <v>1278</v>
      </c>
      <c r="S46" s="4" t="s">
        <v>1278</v>
      </c>
      <c r="T46" s="4" t="s">
        <v>19</v>
      </c>
      <c r="U46" s="4" t="str">
        <f t="shared" si="3"/>
        <v>NOT AN ADD-ON</v>
      </c>
      <c r="V46" s="4" t="str">
        <f t="shared" si="2"/>
        <v>ASSET MANAGEMENT (CORE)ASSET MANAGEMENT (CORE)AUTHORIZEDNOT AN ADD-ON</v>
      </c>
    </row>
    <row r="47" spans="1:22" ht="15" thickBot="1">
      <c r="A47" s="10" t="s">
        <v>21</v>
      </c>
      <c r="B47" s="10" t="s">
        <v>22</v>
      </c>
      <c r="C47" s="10" t="s">
        <v>140</v>
      </c>
      <c r="D47" s="10" t="s">
        <v>141</v>
      </c>
      <c r="E47" s="10" t="s">
        <v>142</v>
      </c>
      <c r="F47" s="10" t="s">
        <v>143</v>
      </c>
      <c r="G47" s="11">
        <v>3200</v>
      </c>
      <c r="H47" s="163" t="s">
        <v>271</v>
      </c>
      <c r="I47" s="158" t="s">
        <v>274</v>
      </c>
      <c r="J47" s="163" t="s">
        <v>271</v>
      </c>
      <c r="K47" s="10" t="s">
        <v>30</v>
      </c>
      <c r="L47" s="10">
        <v>5</v>
      </c>
      <c r="M47" s="10">
        <f t="shared" si="0"/>
        <v>1.67</v>
      </c>
      <c r="N47" s="10">
        <v>5</v>
      </c>
      <c r="O47" s="12">
        <v>1.6666666666666667</v>
      </c>
      <c r="P47" s="11">
        <v>3200</v>
      </c>
      <c r="Q47" s="10" t="s">
        <v>33</v>
      </c>
      <c r="R47" s="4" t="s">
        <v>1278</v>
      </c>
      <c r="S47" s="4" t="s">
        <v>1278</v>
      </c>
      <c r="T47" s="4" t="s">
        <v>672</v>
      </c>
      <c r="U47" s="4" t="str">
        <f t="shared" si="3"/>
        <v>NOT AN ADD-ON</v>
      </c>
      <c r="V47" s="4" t="str">
        <f t="shared" si="2"/>
        <v>ASSET MANAGEMENT (CORE)ASSET MANAGEMENT (CORE)LIMITEDNOT AN ADD-ON</v>
      </c>
    </row>
    <row r="48" spans="1:22" ht="15" thickBot="1">
      <c r="A48" s="10" t="s">
        <v>21</v>
      </c>
      <c r="B48" s="10" t="s">
        <v>22</v>
      </c>
      <c r="C48" s="10" t="s">
        <v>140</v>
      </c>
      <c r="D48" s="10" t="s">
        <v>141</v>
      </c>
      <c r="E48" s="10" t="s">
        <v>142</v>
      </c>
      <c r="F48" s="10" t="s">
        <v>143</v>
      </c>
      <c r="G48" s="11">
        <v>1920</v>
      </c>
      <c r="H48" s="163" t="s">
        <v>275</v>
      </c>
      <c r="I48" s="158" t="s">
        <v>276</v>
      </c>
      <c r="J48" s="163" t="s">
        <v>271</v>
      </c>
      <c r="K48" s="10" t="s">
        <v>30</v>
      </c>
      <c r="L48" s="10">
        <v>5</v>
      </c>
      <c r="M48" s="10">
        <f t="shared" si="0"/>
        <v>1.67</v>
      </c>
      <c r="N48" s="10">
        <v>5</v>
      </c>
      <c r="O48" s="12">
        <v>1.6666666666666667</v>
      </c>
      <c r="P48" s="11">
        <v>3200</v>
      </c>
      <c r="Q48" s="10" t="s">
        <v>36</v>
      </c>
      <c r="R48" s="4" t="s">
        <v>1278</v>
      </c>
      <c r="S48" s="4" t="s">
        <v>1278</v>
      </c>
      <c r="T48" s="4" t="s">
        <v>672</v>
      </c>
      <c r="U48" s="4" t="str">
        <f t="shared" si="3"/>
        <v>NOT AN ADD-ON</v>
      </c>
      <c r="V48" s="4" t="str">
        <f t="shared" si="2"/>
        <v>ASSET MANAGEMENT (CORE)ASSET MANAGEMENT (CORE)LIMITEDNOT AN ADD-ON</v>
      </c>
    </row>
    <row r="49" spans="1:22" ht="15" thickBot="1">
      <c r="A49" s="10" t="s">
        <v>21</v>
      </c>
      <c r="B49" s="10" t="s">
        <v>22</v>
      </c>
      <c r="C49" s="10" t="s">
        <v>593</v>
      </c>
      <c r="D49" s="10" t="s">
        <v>594</v>
      </c>
      <c r="E49" s="10" t="s">
        <v>595</v>
      </c>
      <c r="F49" s="10" t="s">
        <v>596</v>
      </c>
      <c r="G49" s="11">
        <v>7660</v>
      </c>
      <c r="H49" s="163" t="s">
        <v>621</v>
      </c>
      <c r="I49" s="158" t="s">
        <v>628</v>
      </c>
      <c r="J49" s="163" t="s">
        <v>621</v>
      </c>
      <c r="K49" s="10" t="s">
        <v>30</v>
      </c>
      <c r="L49" s="10">
        <v>15</v>
      </c>
      <c r="M49" s="10">
        <f t="shared" si="0"/>
        <v>5</v>
      </c>
      <c r="N49" s="10">
        <v>15</v>
      </c>
      <c r="O49" s="12">
        <v>5</v>
      </c>
      <c r="P49" s="11">
        <v>7660</v>
      </c>
      <c r="Q49" s="10" t="s">
        <v>33</v>
      </c>
      <c r="R49" s="4" t="s">
        <v>1281</v>
      </c>
      <c r="S49" s="4" t="s">
        <v>1279</v>
      </c>
      <c r="T49" s="4" t="s">
        <v>19</v>
      </c>
      <c r="U49" s="4" t="str">
        <f t="shared" si="3"/>
        <v>NOT AN ADD-ON</v>
      </c>
      <c r="V49" s="4" t="str">
        <f t="shared" si="2"/>
        <v>NUCLEAR POWERINDUSTRY SOLUTIONAUTHORIZEDNOT AN ADD-ON</v>
      </c>
    </row>
    <row r="50" spans="1:22" ht="15" thickBot="1">
      <c r="A50" s="10" t="s">
        <v>21</v>
      </c>
      <c r="B50" s="10" t="s">
        <v>22</v>
      </c>
      <c r="C50" s="10" t="s">
        <v>593</v>
      </c>
      <c r="D50" s="10" t="s">
        <v>594</v>
      </c>
      <c r="E50" s="10" t="s">
        <v>595</v>
      </c>
      <c r="F50" s="10" t="s">
        <v>596</v>
      </c>
      <c r="G50" s="11">
        <v>4600</v>
      </c>
      <c r="H50" s="163" t="s">
        <v>629</v>
      </c>
      <c r="I50" s="158" t="s">
        <v>630</v>
      </c>
      <c r="J50" s="163" t="s">
        <v>621</v>
      </c>
      <c r="K50" s="10" t="s">
        <v>30</v>
      </c>
      <c r="L50" s="10">
        <v>15</v>
      </c>
      <c r="M50" s="10">
        <f t="shared" si="0"/>
        <v>5</v>
      </c>
      <c r="N50" s="10">
        <v>15</v>
      </c>
      <c r="O50" s="12">
        <v>5</v>
      </c>
      <c r="P50" s="11">
        <v>7660</v>
      </c>
      <c r="Q50" s="10" t="s">
        <v>36</v>
      </c>
      <c r="R50" s="4" t="s">
        <v>1281</v>
      </c>
      <c r="S50" s="4" t="s">
        <v>1279</v>
      </c>
      <c r="T50" s="4" t="s">
        <v>19</v>
      </c>
      <c r="U50" s="4" t="str">
        <f t="shared" si="3"/>
        <v>NOT AN ADD-ON</v>
      </c>
      <c r="V50" s="4" t="str">
        <f t="shared" si="2"/>
        <v>NUCLEAR POWERINDUSTRY SOLUTIONAUTHORIZEDNOT AN ADD-ON</v>
      </c>
    </row>
    <row r="51" spans="1:22" ht="15" thickBot="1">
      <c r="A51" s="10" t="s">
        <v>21</v>
      </c>
      <c r="B51" s="10" t="s">
        <v>22</v>
      </c>
      <c r="C51" s="10" t="s">
        <v>593</v>
      </c>
      <c r="D51" s="10" t="s">
        <v>594</v>
      </c>
      <c r="E51" s="10" t="s">
        <v>595</v>
      </c>
      <c r="F51" s="10" t="s">
        <v>596</v>
      </c>
      <c r="G51" s="11">
        <v>2680</v>
      </c>
      <c r="H51" s="163" t="s">
        <v>619</v>
      </c>
      <c r="I51" s="166" t="s">
        <v>620</v>
      </c>
      <c r="J51" s="163" t="s">
        <v>621</v>
      </c>
      <c r="K51" s="10" t="s">
        <v>30</v>
      </c>
      <c r="L51" s="10">
        <v>15</v>
      </c>
      <c r="M51" s="10">
        <f t="shared" si="0"/>
        <v>5</v>
      </c>
      <c r="N51" s="10">
        <v>15</v>
      </c>
      <c r="O51" s="12">
        <v>5</v>
      </c>
      <c r="P51" s="11">
        <v>7660</v>
      </c>
      <c r="Q51" s="10" t="s">
        <v>48</v>
      </c>
      <c r="R51" s="4" t="s">
        <v>1281</v>
      </c>
      <c r="S51" s="4" t="s">
        <v>1279</v>
      </c>
      <c r="T51" s="4" t="s">
        <v>19</v>
      </c>
      <c r="U51" s="4" t="str">
        <f t="shared" si="3"/>
        <v>NOT AN ADD-ON</v>
      </c>
      <c r="V51" s="4" t="str">
        <f t="shared" si="2"/>
        <v>NUCLEAR POWERINDUSTRY SOLUTIONAUTHORIZEDNOT AN ADD-ON</v>
      </c>
    </row>
    <row r="52" spans="1:22" ht="15" thickBot="1">
      <c r="A52" s="10" t="s">
        <v>21</v>
      </c>
      <c r="B52" s="10" t="s">
        <v>22</v>
      </c>
      <c r="C52" s="10" t="s">
        <v>593</v>
      </c>
      <c r="D52" s="10" t="s">
        <v>594</v>
      </c>
      <c r="E52" s="10" t="s">
        <v>595</v>
      </c>
      <c r="F52" s="10" t="s">
        <v>596</v>
      </c>
      <c r="G52" s="11">
        <v>5470</v>
      </c>
      <c r="H52" s="163" t="s">
        <v>622</v>
      </c>
      <c r="I52" s="166" t="s">
        <v>623</v>
      </c>
      <c r="J52" s="163" t="s">
        <v>621</v>
      </c>
      <c r="K52" s="10" t="s">
        <v>30</v>
      </c>
      <c r="L52" s="10">
        <v>15</v>
      </c>
      <c r="M52" s="10">
        <f t="shared" si="0"/>
        <v>5</v>
      </c>
      <c r="N52" s="10">
        <v>15</v>
      </c>
      <c r="O52" s="12">
        <v>5</v>
      </c>
      <c r="P52" s="11">
        <v>7660</v>
      </c>
      <c r="Q52" s="10" t="s">
        <v>48</v>
      </c>
      <c r="R52" s="4" t="s">
        <v>1281</v>
      </c>
      <c r="S52" s="4" t="s">
        <v>1279</v>
      </c>
      <c r="T52" s="4" t="s">
        <v>19</v>
      </c>
      <c r="U52" s="4" t="str">
        <f t="shared" si="3"/>
        <v>NOT AN ADD-ON</v>
      </c>
      <c r="V52" s="4" t="str">
        <f t="shared" si="2"/>
        <v>NUCLEAR POWERINDUSTRY SOLUTIONAUTHORIZEDNOT AN ADD-ON</v>
      </c>
    </row>
    <row r="53" spans="1:22" ht="15" thickBot="1">
      <c r="A53" s="10" t="s">
        <v>21</v>
      </c>
      <c r="B53" s="10" t="s">
        <v>22</v>
      </c>
      <c r="C53" s="10" t="s">
        <v>593</v>
      </c>
      <c r="D53" s="10" t="s">
        <v>594</v>
      </c>
      <c r="E53" s="10" t="s">
        <v>595</v>
      </c>
      <c r="F53" s="10" t="s">
        <v>596</v>
      </c>
      <c r="G53" s="11">
        <v>2150</v>
      </c>
      <c r="H53" s="163" t="s">
        <v>599</v>
      </c>
      <c r="I53" s="158" t="s">
        <v>600</v>
      </c>
      <c r="J53" s="163" t="s">
        <v>599</v>
      </c>
      <c r="K53" s="10" t="s">
        <v>30</v>
      </c>
      <c r="L53" s="10">
        <v>5</v>
      </c>
      <c r="M53" s="10">
        <f t="shared" si="0"/>
        <v>1.67</v>
      </c>
      <c r="N53" s="10">
        <v>15</v>
      </c>
      <c r="O53" s="12">
        <v>5</v>
      </c>
      <c r="P53" s="11">
        <v>2150</v>
      </c>
      <c r="Q53" s="10" t="s">
        <v>33</v>
      </c>
      <c r="R53" s="4" t="s">
        <v>1281</v>
      </c>
      <c r="S53" s="4" t="s">
        <v>1279</v>
      </c>
      <c r="T53" s="4" t="s">
        <v>19</v>
      </c>
      <c r="U53" s="4" t="s">
        <v>507</v>
      </c>
      <c r="V53" s="4" t="str">
        <f t="shared" si="2"/>
        <v>NUCLEAR POWERINDUSTRY SOLUTIONAUTHORIZEDADD-ON</v>
      </c>
    </row>
    <row r="54" spans="1:22" ht="15" thickBot="1">
      <c r="A54" s="10" t="s">
        <v>21</v>
      </c>
      <c r="B54" s="10" t="s">
        <v>22</v>
      </c>
      <c r="C54" s="10" t="s">
        <v>593</v>
      </c>
      <c r="D54" s="10" t="s">
        <v>594</v>
      </c>
      <c r="E54" s="10" t="s">
        <v>595</v>
      </c>
      <c r="F54" s="10" t="s">
        <v>596</v>
      </c>
      <c r="G54" s="11">
        <v>1300</v>
      </c>
      <c r="H54" s="163" t="s">
        <v>601</v>
      </c>
      <c r="I54" s="158" t="s">
        <v>602</v>
      </c>
      <c r="J54" s="163" t="s">
        <v>599</v>
      </c>
      <c r="K54" s="10" t="s">
        <v>30</v>
      </c>
      <c r="L54" s="10">
        <v>5</v>
      </c>
      <c r="M54" s="10">
        <f t="shared" si="0"/>
        <v>1.67</v>
      </c>
      <c r="N54" s="10">
        <v>15</v>
      </c>
      <c r="O54" s="12">
        <v>5</v>
      </c>
      <c r="P54" s="11">
        <v>2150</v>
      </c>
      <c r="Q54" s="10" t="s">
        <v>36</v>
      </c>
      <c r="R54" s="4" t="s">
        <v>1281</v>
      </c>
      <c r="S54" s="4" t="s">
        <v>1279</v>
      </c>
      <c r="T54" s="4" t="s">
        <v>19</v>
      </c>
      <c r="U54" s="4" t="s">
        <v>507</v>
      </c>
      <c r="V54" s="4" t="str">
        <f t="shared" si="2"/>
        <v>NUCLEAR POWERINDUSTRY SOLUTIONAUTHORIZEDADD-ON</v>
      </c>
    </row>
    <row r="55" spans="1:22" ht="15" thickBot="1">
      <c r="A55" s="10" t="s">
        <v>21</v>
      </c>
      <c r="B55" s="10" t="s">
        <v>22</v>
      </c>
      <c r="C55" s="10" t="s">
        <v>593</v>
      </c>
      <c r="D55" s="10" t="s">
        <v>594</v>
      </c>
      <c r="E55" s="10" t="s">
        <v>595</v>
      </c>
      <c r="F55" s="10" t="s">
        <v>596</v>
      </c>
      <c r="G55" s="11">
        <v>7660</v>
      </c>
      <c r="H55" s="163" t="s">
        <v>659</v>
      </c>
      <c r="I55" s="158" t="s">
        <v>666</v>
      </c>
      <c r="J55" s="163" t="s">
        <v>659</v>
      </c>
      <c r="K55" s="10" t="s">
        <v>30</v>
      </c>
      <c r="L55" s="10">
        <v>15</v>
      </c>
      <c r="M55" s="10">
        <f t="shared" si="0"/>
        <v>5</v>
      </c>
      <c r="N55" s="10">
        <v>15</v>
      </c>
      <c r="O55" s="12">
        <v>5</v>
      </c>
      <c r="P55" s="11">
        <v>7660</v>
      </c>
      <c r="Q55" s="10" t="s">
        <v>33</v>
      </c>
      <c r="R55" s="4" t="s">
        <v>1281</v>
      </c>
      <c r="S55" s="4" t="s">
        <v>1279</v>
      </c>
      <c r="T55" s="4" t="s">
        <v>19</v>
      </c>
      <c r="U55" s="4" t="str">
        <f>IF(ISNUMBER(SEARCH("ADD-ON",$I55)),"ADD-ON","NOT AN ADD-ON")</f>
        <v>NOT AN ADD-ON</v>
      </c>
      <c r="V55" s="4" t="str">
        <f t="shared" si="2"/>
        <v>NUCLEAR POWERINDUSTRY SOLUTIONAUTHORIZEDNOT AN ADD-ON</v>
      </c>
    </row>
    <row r="56" spans="1:22" ht="15" thickBot="1">
      <c r="A56" s="10" t="s">
        <v>21</v>
      </c>
      <c r="B56" s="10" t="s">
        <v>22</v>
      </c>
      <c r="C56" s="10" t="s">
        <v>593</v>
      </c>
      <c r="D56" s="10" t="s">
        <v>594</v>
      </c>
      <c r="E56" s="10" t="s">
        <v>595</v>
      </c>
      <c r="F56" s="10" t="s">
        <v>596</v>
      </c>
      <c r="G56" s="11">
        <v>4600</v>
      </c>
      <c r="H56" s="163" t="s">
        <v>667</v>
      </c>
      <c r="I56" s="158" t="s">
        <v>668</v>
      </c>
      <c r="J56" s="163" t="s">
        <v>659</v>
      </c>
      <c r="K56" s="10" t="s">
        <v>30</v>
      </c>
      <c r="L56" s="10">
        <v>15</v>
      </c>
      <c r="M56" s="10">
        <f t="shared" si="0"/>
        <v>5</v>
      </c>
      <c r="N56" s="10">
        <v>15</v>
      </c>
      <c r="O56" s="12">
        <v>5</v>
      </c>
      <c r="P56" s="11">
        <v>7660</v>
      </c>
      <c r="Q56" s="10" t="s">
        <v>36</v>
      </c>
      <c r="R56" s="4" t="s">
        <v>1281</v>
      </c>
      <c r="S56" s="4" t="s">
        <v>1279</v>
      </c>
      <c r="T56" s="4" t="s">
        <v>19</v>
      </c>
      <c r="U56" s="4" t="str">
        <f>IF(ISNUMBER(SEARCH("ADD-ON",$I56)),"ADD-ON","NOT AN ADD-ON")</f>
        <v>NOT AN ADD-ON</v>
      </c>
      <c r="V56" s="4" t="str">
        <f t="shared" si="2"/>
        <v>NUCLEAR POWERINDUSTRY SOLUTIONAUTHORIZEDNOT AN ADD-ON</v>
      </c>
    </row>
    <row r="57" spans="1:22" ht="27" thickBot="1">
      <c r="A57" s="10" t="s">
        <v>21</v>
      </c>
      <c r="B57" s="10" t="s">
        <v>22</v>
      </c>
      <c r="C57" s="10" t="s">
        <v>593</v>
      </c>
      <c r="D57" s="10" t="s">
        <v>594</v>
      </c>
      <c r="E57" s="10" t="s">
        <v>595</v>
      </c>
      <c r="F57" s="10" t="s">
        <v>596</v>
      </c>
      <c r="G57" s="11">
        <v>5470</v>
      </c>
      <c r="H57" s="163" t="s">
        <v>660</v>
      </c>
      <c r="I57" s="166" t="s">
        <v>661</v>
      </c>
      <c r="J57" s="163" t="s">
        <v>659</v>
      </c>
      <c r="K57" s="10" t="s">
        <v>30</v>
      </c>
      <c r="L57" s="10">
        <v>15</v>
      </c>
      <c r="M57" s="10">
        <f t="shared" si="0"/>
        <v>5</v>
      </c>
      <c r="N57" s="10">
        <v>15</v>
      </c>
      <c r="O57" s="12">
        <v>5</v>
      </c>
      <c r="P57" s="11">
        <v>7660</v>
      </c>
      <c r="Q57" s="10" t="s">
        <v>48</v>
      </c>
      <c r="R57" s="4" t="s">
        <v>1281</v>
      </c>
      <c r="S57" s="4" t="s">
        <v>1279</v>
      </c>
      <c r="T57" s="4" t="s">
        <v>19</v>
      </c>
      <c r="U57" s="4" t="str">
        <f>IF(ISNUMBER(SEARCH("ADD-ON",$I57)),"ADD-ON","NOT AN ADD-ON")</f>
        <v>NOT AN ADD-ON</v>
      </c>
      <c r="V57" s="4" t="str">
        <f t="shared" si="2"/>
        <v>NUCLEAR POWERINDUSTRY SOLUTIONAUTHORIZEDNOT AN ADD-ON</v>
      </c>
    </row>
    <row r="58" spans="1:22" ht="29.25" customHeight="1" thickBot="1">
      <c r="A58" s="10" t="s">
        <v>21</v>
      </c>
      <c r="B58" s="10" t="s">
        <v>22</v>
      </c>
      <c r="C58" s="10" t="s">
        <v>593</v>
      </c>
      <c r="D58" s="10" t="s">
        <v>594</v>
      </c>
      <c r="E58" s="10" t="s">
        <v>595</v>
      </c>
      <c r="F58" s="10" t="s">
        <v>596</v>
      </c>
      <c r="G58" s="11">
        <v>2680</v>
      </c>
      <c r="H58" s="163" t="s">
        <v>657</v>
      </c>
      <c r="I58" s="166" t="s">
        <v>658</v>
      </c>
      <c r="J58" s="163" t="s">
        <v>659</v>
      </c>
      <c r="K58" s="10" t="s">
        <v>30</v>
      </c>
      <c r="L58" s="10">
        <v>15</v>
      </c>
      <c r="M58" s="10">
        <f t="shared" si="0"/>
        <v>5</v>
      </c>
      <c r="N58" s="10">
        <v>15</v>
      </c>
      <c r="O58" s="12">
        <v>5</v>
      </c>
      <c r="P58" s="11">
        <v>7660</v>
      </c>
      <c r="Q58" s="10" t="s">
        <v>48</v>
      </c>
      <c r="R58" s="4" t="s">
        <v>1281</v>
      </c>
      <c r="S58" s="4" t="s">
        <v>1279</v>
      </c>
      <c r="T58" s="4" t="s">
        <v>19</v>
      </c>
      <c r="U58" s="4" t="str">
        <f>IF(ISNUMBER(SEARCH("ADD-ON",$I58)),"ADD-ON","NOT AN ADD-ON")</f>
        <v>NOT AN ADD-ON</v>
      </c>
      <c r="V58" s="4" t="str">
        <f t="shared" si="2"/>
        <v>NUCLEAR POWERINDUSTRY SOLUTIONAUTHORIZEDNOT AN ADD-ON</v>
      </c>
    </row>
    <row r="59" spans="1:22" ht="29.25" customHeight="1" thickBot="1">
      <c r="A59" s="10" t="s">
        <v>21</v>
      </c>
      <c r="B59" s="10" t="s">
        <v>22</v>
      </c>
      <c r="C59" s="10" t="s">
        <v>593</v>
      </c>
      <c r="D59" s="10" t="s">
        <v>594</v>
      </c>
      <c r="E59" s="10" t="s">
        <v>595</v>
      </c>
      <c r="F59" s="10" t="s">
        <v>596</v>
      </c>
      <c r="G59" s="11">
        <v>2150</v>
      </c>
      <c r="H59" s="163" t="s">
        <v>653</v>
      </c>
      <c r="I59" s="158" t="s">
        <v>654</v>
      </c>
      <c r="J59" s="163" t="s">
        <v>653</v>
      </c>
      <c r="K59" s="10" t="s">
        <v>30</v>
      </c>
      <c r="L59" s="10">
        <v>5</v>
      </c>
      <c r="M59" s="10">
        <f t="shared" si="0"/>
        <v>1.67</v>
      </c>
      <c r="N59" s="10">
        <v>15</v>
      </c>
      <c r="O59" s="12">
        <v>5</v>
      </c>
      <c r="P59" s="11">
        <v>2150</v>
      </c>
      <c r="Q59" s="10" t="s">
        <v>33</v>
      </c>
      <c r="R59" s="4" t="s">
        <v>1281</v>
      </c>
      <c r="S59" s="4" t="s">
        <v>1279</v>
      </c>
      <c r="T59" s="4" t="s">
        <v>19</v>
      </c>
      <c r="U59" s="4" t="s">
        <v>507</v>
      </c>
      <c r="V59" s="4" t="str">
        <f t="shared" si="2"/>
        <v>NUCLEAR POWERINDUSTRY SOLUTIONAUTHORIZEDADD-ON</v>
      </c>
    </row>
    <row r="60" spans="1:22" ht="29.25" customHeight="1" thickBot="1">
      <c r="A60" s="10" t="s">
        <v>21</v>
      </c>
      <c r="B60" s="10" t="s">
        <v>22</v>
      </c>
      <c r="C60" s="10" t="s">
        <v>593</v>
      </c>
      <c r="D60" s="10" t="s">
        <v>594</v>
      </c>
      <c r="E60" s="10" t="s">
        <v>595</v>
      </c>
      <c r="F60" s="10" t="s">
        <v>596</v>
      </c>
      <c r="G60" s="11">
        <v>1300</v>
      </c>
      <c r="H60" s="163" t="s">
        <v>655</v>
      </c>
      <c r="I60" s="158" t="s">
        <v>656</v>
      </c>
      <c r="J60" s="163" t="s">
        <v>653</v>
      </c>
      <c r="K60" s="10" t="s">
        <v>30</v>
      </c>
      <c r="L60" s="10">
        <v>5</v>
      </c>
      <c r="M60" s="10">
        <f t="shared" si="0"/>
        <v>1.67</v>
      </c>
      <c r="N60" s="10">
        <v>15</v>
      </c>
      <c r="O60" s="12">
        <v>5</v>
      </c>
      <c r="P60" s="11">
        <v>2150</v>
      </c>
      <c r="Q60" s="10" t="s">
        <v>36</v>
      </c>
      <c r="R60" s="4" t="s">
        <v>1281</v>
      </c>
      <c r="S60" s="4" t="s">
        <v>1279</v>
      </c>
      <c r="T60" s="4" t="s">
        <v>19</v>
      </c>
      <c r="U60" s="4" t="s">
        <v>507</v>
      </c>
      <c r="V60" s="4" t="str">
        <f t="shared" si="2"/>
        <v>NUCLEAR POWERINDUSTRY SOLUTIONAUTHORIZEDADD-ON</v>
      </c>
    </row>
    <row r="61" spans="1:22" ht="15" thickBot="1">
      <c r="A61" s="10" t="s">
        <v>21</v>
      </c>
      <c r="B61" s="10" t="s">
        <v>22</v>
      </c>
      <c r="C61" s="10" t="s">
        <v>686</v>
      </c>
      <c r="D61" s="10" t="s">
        <v>687</v>
      </c>
      <c r="E61" s="10" t="s">
        <v>688</v>
      </c>
      <c r="F61" s="10" t="s">
        <v>689</v>
      </c>
      <c r="G61" s="11">
        <v>7660</v>
      </c>
      <c r="H61" s="163" t="s">
        <v>714</v>
      </c>
      <c r="I61" s="158" t="s">
        <v>721</v>
      </c>
      <c r="J61" s="163" t="s">
        <v>714</v>
      </c>
      <c r="K61" s="10" t="s">
        <v>30</v>
      </c>
      <c r="L61" s="10">
        <v>15</v>
      </c>
      <c r="M61" s="10">
        <f t="shared" si="0"/>
        <v>5</v>
      </c>
      <c r="N61" s="10">
        <v>15</v>
      </c>
      <c r="O61" s="12">
        <v>5</v>
      </c>
      <c r="P61" s="11">
        <v>7660</v>
      </c>
      <c r="Q61" s="10" t="s">
        <v>33</v>
      </c>
      <c r="R61" s="4" t="s">
        <v>1282</v>
      </c>
      <c r="S61" s="4" t="s">
        <v>1279</v>
      </c>
      <c r="T61" s="4" t="s">
        <v>19</v>
      </c>
      <c r="U61" s="4" t="str">
        <f>IF(ISNUMBER(SEARCH("ADD-ON",$I61)),"ADD-ON","NOT AN ADD-ON")</f>
        <v>NOT AN ADD-ON</v>
      </c>
      <c r="V61" s="4" t="str">
        <f t="shared" si="2"/>
        <v>OIL AND GASINDUSTRY SOLUTIONAUTHORIZEDNOT AN ADD-ON</v>
      </c>
    </row>
    <row r="62" spans="1:22" ht="15" thickBot="1">
      <c r="A62" s="10" t="s">
        <v>21</v>
      </c>
      <c r="B62" s="10" t="s">
        <v>22</v>
      </c>
      <c r="C62" s="10" t="s">
        <v>686</v>
      </c>
      <c r="D62" s="10" t="s">
        <v>687</v>
      </c>
      <c r="E62" s="10" t="s">
        <v>688</v>
      </c>
      <c r="F62" s="10" t="s">
        <v>689</v>
      </c>
      <c r="G62" s="11">
        <v>4600</v>
      </c>
      <c r="H62" s="163" t="s">
        <v>722</v>
      </c>
      <c r="I62" s="158" t="s">
        <v>723</v>
      </c>
      <c r="J62" s="163" t="s">
        <v>714</v>
      </c>
      <c r="K62" s="10" t="s">
        <v>30</v>
      </c>
      <c r="L62" s="10">
        <v>15</v>
      </c>
      <c r="M62" s="10">
        <f t="shared" si="0"/>
        <v>5</v>
      </c>
      <c r="N62" s="10">
        <v>15</v>
      </c>
      <c r="O62" s="12">
        <v>5</v>
      </c>
      <c r="P62" s="11">
        <v>7660</v>
      </c>
      <c r="Q62" s="10" t="s">
        <v>36</v>
      </c>
      <c r="R62" s="4" t="s">
        <v>1282</v>
      </c>
      <c r="S62" s="4" t="s">
        <v>1279</v>
      </c>
      <c r="T62" s="4" t="s">
        <v>19</v>
      </c>
      <c r="U62" s="4" t="str">
        <f>IF(ISNUMBER(SEARCH("ADD-ON",$I62)),"ADD-ON","NOT AN ADD-ON")</f>
        <v>NOT AN ADD-ON</v>
      </c>
      <c r="V62" s="4" t="str">
        <f t="shared" si="2"/>
        <v>OIL AND GASINDUSTRY SOLUTIONAUTHORIZEDNOT AN ADD-ON</v>
      </c>
    </row>
    <row r="63" spans="1:22" ht="15" thickBot="1">
      <c r="A63" s="10" t="s">
        <v>21</v>
      </c>
      <c r="B63" s="10" t="s">
        <v>22</v>
      </c>
      <c r="C63" s="10" t="s">
        <v>686</v>
      </c>
      <c r="D63" s="10" t="s">
        <v>687</v>
      </c>
      <c r="E63" s="10" t="s">
        <v>688</v>
      </c>
      <c r="F63" s="10" t="s">
        <v>689</v>
      </c>
      <c r="G63" s="11">
        <v>5470</v>
      </c>
      <c r="H63" s="163" t="s">
        <v>715</v>
      </c>
      <c r="I63" s="166" t="s">
        <v>716</v>
      </c>
      <c r="J63" s="163" t="s">
        <v>714</v>
      </c>
      <c r="K63" s="10" t="s">
        <v>30</v>
      </c>
      <c r="L63" s="10">
        <v>15</v>
      </c>
      <c r="M63" s="10">
        <f t="shared" si="0"/>
        <v>5</v>
      </c>
      <c r="N63" s="10">
        <v>15</v>
      </c>
      <c r="O63" s="12">
        <v>5</v>
      </c>
      <c r="P63" s="11">
        <v>7660</v>
      </c>
      <c r="Q63" s="10" t="s">
        <v>48</v>
      </c>
      <c r="R63" s="4" t="s">
        <v>1282</v>
      </c>
      <c r="S63" s="4" t="s">
        <v>1279</v>
      </c>
      <c r="T63" s="4" t="s">
        <v>19</v>
      </c>
      <c r="U63" s="4" t="str">
        <f>IF(ISNUMBER(SEARCH("ADD-ON",$I63)),"ADD-ON","NOT AN ADD-ON")</f>
        <v>NOT AN ADD-ON</v>
      </c>
      <c r="V63" s="4" t="str">
        <f t="shared" si="2"/>
        <v>OIL AND GASINDUSTRY SOLUTIONAUTHORIZEDNOT AN ADD-ON</v>
      </c>
    </row>
    <row r="64" spans="1:22" ht="15" thickBot="1">
      <c r="A64" s="10" t="s">
        <v>21</v>
      </c>
      <c r="B64" s="10" t="s">
        <v>22</v>
      </c>
      <c r="C64" s="10" t="s">
        <v>686</v>
      </c>
      <c r="D64" s="10" t="s">
        <v>687</v>
      </c>
      <c r="E64" s="10" t="s">
        <v>688</v>
      </c>
      <c r="F64" s="10" t="s">
        <v>689</v>
      </c>
      <c r="G64" s="11">
        <v>2680</v>
      </c>
      <c r="H64" s="163" t="s">
        <v>712</v>
      </c>
      <c r="I64" s="166" t="s">
        <v>713</v>
      </c>
      <c r="J64" s="163" t="s">
        <v>714</v>
      </c>
      <c r="K64" s="10" t="s">
        <v>30</v>
      </c>
      <c r="L64" s="10">
        <v>15</v>
      </c>
      <c r="M64" s="10">
        <f t="shared" si="0"/>
        <v>5</v>
      </c>
      <c r="N64" s="10">
        <v>15</v>
      </c>
      <c r="O64" s="12">
        <v>5</v>
      </c>
      <c r="P64" s="11">
        <v>7660</v>
      </c>
      <c r="Q64" s="10" t="s">
        <v>48</v>
      </c>
      <c r="R64" s="4" t="s">
        <v>1282</v>
      </c>
      <c r="S64" s="4" t="s">
        <v>1279</v>
      </c>
      <c r="T64" s="4" t="s">
        <v>19</v>
      </c>
      <c r="U64" s="4" t="str">
        <f>IF(ISNUMBER(SEARCH("ADD-ON",$I64)),"ADD-ON","NOT AN ADD-ON")</f>
        <v>NOT AN ADD-ON</v>
      </c>
      <c r="V64" s="4" t="str">
        <f t="shared" si="2"/>
        <v>OIL AND GASINDUSTRY SOLUTIONAUTHORIZEDNOT AN ADD-ON</v>
      </c>
    </row>
    <row r="65" spans="1:22" ht="29.25" customHeight="1" thickBot="1">
      <c r="A65" s="10" t="s">
        <v>21</v>
      </c>
      <c r="B65" s="10" t="s">
        <v>22</v>
      </c>
      <c r="C65" s="10" t="s">
        <v>686</v>
      </c>
      <c r="D65" s="10" t="s">
        <v>687</v>
      </c>
      <c r="E65" s="10" t="s">
        <v>688</v>
      </c>
      <c r="F65" s="10" t="s">
        <v>689</v>
      </c>
      <c r="G65" s="11">
        <v>2150</v>
      </c>
      <c r="H65" s="163" t="s">
        <v>692</v>
      </c>
      <c r="I65" s="158" t="s">
        <v>693</v>
      </c>
      <c r="J65" s="163" t="s">
        <v>692</v>
      </c>
      <c r="K65" s="10" t="s">
        <v>30</v>
      </c>
      <c r="L65" s="10">
        <v>5</v>
      </c>
      <c r="M65" s="10">
        <f t="shared" si="0"/>
        <v>1.67</v>
      </c>
      <c r="N65" s="10">
        <v>15</v>
      </c>
      <c r="O65" s="12">
        <v>5</v>
      </c>
      <c r="P65" s="11">
        <v>2150</v>
      </c>
      <c r="Q65" s="10" t="s">
        <v>33</v>
      </c>
      <c r="R65" s="4" t="s">
        <v>1282</v>
      </c>
      <c r="S65" s="4" t="s">
        <v>1279</v>
      </c>
      <c r="T65" s="4" t="s">
        <v>19</v>
      </c>
      <c r="U65" s="4" t="s">
        <v>507</v>
      </c>
      <c r="V65" s="4" t="str">
        <f t="shared" si="2"/>
        <v>OIL AND GASINDUSTRY SOLUTIONAUTHORIZEDADD-ON</v>
      </c>
    </row>
    <row r="66" spans="1:22" ht="15" thickBot="1">
      <c r="A66" s="10" t="s">
        <v>21</v>
      </c>
      <c r="B66" s="10" t="s">
        <v>22</v>
      </c>
      <c r="C66" s="10" t="s">
        <v>686</v>
      </c>
      <c r="D66" s="10" t="s">
        <v>687</v>
      </c>
      <c r="E66" s="10" t="s">
        <v>688</v>
      </c>
      <c r="F66" s="10" t="s">
        <v>689</v>
      </c>
      <c r="G66" s="11">
        <v>1300</v>
      </c>
      <c r="H66" s="163" t="s">
        <v>694</v>
      </c>
      <c r="I66" s="158" t="s">
        <v>695</v>
      </c>
      <c r="J66" s="163" t="s">
        <v>692</v>
      </c>
      <c r="K66" s="10" t="s">
        <v>30</v>
      </c>
      <c r="L66" s="10">
        <v>5</v>
      </c>
      <c r="M66" s="10">
        <f t="shared" si="0"/>
        <v>1.67</v>
      </c>
      <c r="N66" s="10">
        <v>15</v>
      </c>
      <c r="O66" s="12">
        <v>5</v>
      </c>
      <c r="P66" s="11">
        <v>2150</v>
      </c>
      <c r="Q66" s="10" t="s">
        <v>36</v>
      </c>
      <c r="R66" s="4" t="s">
        <v>1282</v>
      </c>
      <c r="S66" s="4" t="s">
        <v>1279</v>
      </c>
      <c r="T66" s="4" t="s">
        <v>19</v>
      </c>
      <c r="U66" s="4" t="s">
        <v>507</v>
      </c>
      <c r="V66" s="4" t="str">
        <f t="shared" si="2"/>
        <v>OIL AND GASINDUSTRY SOLUTIONAUTHORIZEDADD-ON</v>
      </c>
    </row>
    <row r="67" spans="1:22" ht="15" thickBot="1">
      <c r="A67" s="10" t="s">
        <v>21</v>
      </c>
      <c r="B67" s="10" t="s">
        <v>22</v>
      </c>
      <c r="C67" s="10" t="s">
        <v>686</v>
      </c>
      <c r="D67" s="10" t="s">
        <v>687</v>
      </c>
      <c r="E67" s="10" t="s">
        <v>688</v>
      </c>
      <c r="F67" s="10" t="s">
        <v>689</v>
      </c>
      <c r="G67" s="11">
        <v>7660</v>
      </c>
      <c r="H67" s="163" t="s">
        <v>758</v>
      </c>
      <c r="I67" s="158" t="s">
        <v>759</v>
      </c>
      <c r="J67" s="163" t="s">
        <v>758</v>
      </c>
      <c r="K67" s="10" t="s">
        <v>30</v>
      </c>
      <c r="L67" s="10">
        <v>15</v>
      </c>
      <c r="M67" s="10">
        <f t="shared" ref="M67:M130" si="4">ROUND(IF(K67="Authorized User",L67/3,L67),2)</f>
        <v>5</v>
      </c>
      <c r="N67" s="10">
        <v>15</v>
      </c>
      <c r="O67" s="12">
        <v>5</v>
      </c>
      <c r="P67" s="11">
        <v>7660</v>
      </c>
      <c r="Q67" s="10" t="s">
        <v>33</v>
      </c>
      <c r="R67" s="4" t="s">
        <v>1282</v>
      </c>
      <c r="S67" s="4" t="s">
        <v>1279</v>
      </c>
      <c r="T67" s="4" t="s">
        <v>19</v>
      </c>
      <c r="U67" s="4" t="str">
        <f>IF(ISNUMBER(SEARCH("ADD-ON",$I67)),"ADD-ON","NOT AN ADD-ON")</f>
        <v>NOT AN ADD-ON</v>
      </c>
      <c r="V67" s="4" t="str">
        <f t="shared" ref="V67:V130" si="5">CONCATENATE(R67,S67,T67,U67)</f>
        <v>OIL AND GASINDUSTRY SOLUTIONAUTHORIZEDNOT AN ADD-ON</v>
      </c>
    </row>
    <row r="68" spans="1:22" ht="15" thickBot="1">
      <c r="A68" s="10" t="s">
        <v>21</v>
      </c>
      <c r="B68" s="10" t="s">
        <v>22</v>
      </c>
      <c r="C68" s="10" t="s">
        <v>686</v>
      </c>
      <c r="D68" s="10" t="s">
        <v>687</v>
      </c>
      <c r="E68" s="10" t="s">
        <v>688</v>
      </c>
      <c r="F68" s="10" t="s">
        <v>689</v>
      </c>
      <c r="G68" s="11">
        <v>4600</v>
      </c>
      <c r="H68" s="163" t="s">
        <v>760</v>
      </c>
      <c r="I68" s="158" t="s">
        <v>761</v>
      </c>
      <c r="J68" s="163" t="s">
        <v>758</v>
      </c>
      <c r="K68" s="10" t="s">
        <v>30</v>
      </c>
      <c r="L68" s="10">
        <v>15</v>
      </c>
      <c r="M68" s="10">
        <f t="shared" si="4"/>
        <v>5</v>
      </c>
      <c r="N68" s="10">
        <v>15</v>
      </c>
      <c r="O68" s="12">
        <v>5</v>
      </c>
      <c r="P68" s="11">
        <v>7660</v>
      </c>
      <c r="Q68" s="10" t="s">
        <v>36</v>
      </c>
      <c r="R68" s="4" t="s">
        <v>1282</v>
      </c>
      <c r="S68" s="4" t="s">
        <v>1279</v>
      </c>
      <c r="T68" s="4" t="s">
        <v>19</v>
      </c>
      <c r="U68" s="4" t="str">
        <f>IF(ISNUMBER(SEARCH("ADD-ON",$I68)),"ADD-ON","NOT AN ADD-ON")</f>
        <v>NOT AN ADD-ON</v>
      </c>
      <c r="V68" s="4" t="str">
        <f t="shared" si="5"/>
        <v>OIL AND GASINDUSTRY SOLUTIONAUTHORIZEDNOT AN ADD-ON</v>
      </c>
    </row>
    <row r="69" spans="1:22" ht="29.25" customHeight="1" thickBot="1">
      <c r="A69" s="10" t="s">
        <v>21</v>
      </c>
      <c r="B69" s="10" t="s">
        <v>22</v>
      </c>
      <c r="C69" s="10" t="s">
        <v>686</v>
      </c>
      <c r="D69" s="10" t="s">
        <v>687</v>
      </c>
      <c r="E69" s="10" t="s">
        <v>688</v>
      </c>
      <c r="F69" s="10" t="s">
        <v>689</v>
      </c>
      <c r="G69" s="11">
        <v>2680</v>
      </c>
      <c r="H69" s="163" t="s">
        <v>750</v>
      </c>
      <c r="I69" s="166" t="s">
        <v>751</v>
      </c>
      <c r="J69" s="163" t="s">
        <v>746</v>
      </c>
      <c r="K69" s="10" t="s">
        <v>30</v>
      </c>
      <c r="L69" s="10">
        <v>15</v>
      </c>
      <c r="M69" s="10">
        <f t="shared" si="4"/>
        <v>5</v>
      </c>
      <c r="N69" s="10">
        <v>15</v>
      </c>
      <c r="O69" s="12">
        <v>5</v>
      </c>
      <c r="P69" s="11">
        <v>7660</v>
      </c>
      <c r="Q69" s="10" t="s">
        <v>48</v>
      </c>
      <c r="R69" s="4" t="s">
        <v>1282</v>
      </c>
      <c r="S69" s="4" t="s">
        <v>1279</v>
      </c>
      <c r="T69" s="4" t="s">
        <v>19</v>
      </c>
      <c r="U69" s="4" t="str">
        <f>IF(ISNUMBER(SEARCH("ADD-ON",$I69)),"ADD-ON","NOT AN ADD-ON")</f>
        <v>NOT AN ADD-ON</v>
      </c>
      <c r="V69" s="4" t="str">
        <f t="shared" si="5"/>
        <v>OIL AND GASINDUSTRY SOLUTIONAUTHORIZEDNOT AN ADD-ON</v>
      </c>
    </row>
    <row r="70" spans="1:22" ht="29.25" customHeight="1" thickBot="1">
      <c r="A70" s="10" t="s">
        <v>21</v>
      </c>
      <c r="B70" s="10" t="s">
        <v>22</v>
      </c>
      <c r="C70" s="10" t="s">
        <v>686</v>
      </c>
      <c r="D70" s="10" t="s">
        <v>687</v>
      </c>
      <c r="E70" s="10" t="s">
        <v>688</v>
      </c>
      <c r="F70" s="10" t="s">
        <v>689</v>
      </c>
      <c r="G70" s="11">
        <v>5470</v>
      </c>
      <c r="H70" s="163" t="s">
        <v>752</v>
      </c>
      <c r="I70" s="166" t="s">
        <v>753</v>
      </c>
      <c r="J70" s="163" t="s">
        <v>746</v>
      </c>
      <c r="K70" s="10" t="s">
        <v>30</v>
      </c>
      <c r="L70" s="10">
        <v>15</v>
      </c>
      <c r="M70" s="10">
        <f t="shared" si="4"/>
        <v>5</v>
      </c>
      <c r="N70" s="10">
        <v>15</v>
      </c>
      <c r="O70" s="12">
        <v>5</v>
      </c>
      <c r="P70" s="11">
        <v>7660</v>
      </c>
      <c r="Q70" s="10" t="s">
        <v>48</v>
      </c>
      <c r="R70" s="4" t="s">
        <v>1282</v>
      </c>
      <c r="S70" s="4" t="s">
        <v>1279</v>
      </c>
      <c r="T70" s="4" t="s">
        <v>19</v>
      </c>
      <c r="U70" s="4" t="str">
        <f>IF(ISNUMBER(SEARCH("ADD-ON",$I70)),"ADD-ON","NOT AN ADD-ON")</f>
        <v>NOT AN ADD-ON</v>
      </c>
      <c r="V70" s="4" t="str">
        <f t="shared" si="5"/>
        <v>OIL AND GASINDUSTRY SOLUTIONAUTHORIZEDNOT AN ADD-ON</v>
      </c>
    </row>
    <row r="71" spans="1:22" ht="15" thickBot="1">
      <c r="A71" s="10" t="s">
        <v>21</v>
      </c>
      <c r="B71" s="10" t="s">
        <v>22</v>
      </c>
      <c r="C71" s="10" t="s">
        <v>686</v>
      </c>
      <c r="D71" s="10" t="s">
        <v>687</v>
      </c>
      <c r="E71" s="10" t="s">
        <v>688</v>
      </c>
      <c r="F71" s="10" t="s">
        <v>689</v>
      </c>
      <c r="G71" s="11">
        <v>2150</v>
      </c>
      <c r="H71" s="163" t="s">
        <v>746</v>
      </c>
      <c r="I71" s="158" t="s">
        <v>747</v>
      </c>
      <c r="J71" s="163" t="s">
        <v>746</v>
      </c>
      <c r="K71" s="10" t="s">
        <v>30</v>
      </c>
      <c r="L71" s="10">
        <v>5</v>
      </c>
      <c r="M71" s="10">
        <f t="shared" si="4"/>
        <v>1.67</v>
      </c>
      <c r="N71" s="10">
        <v>15</v>
      </c>
      <c r="O71" s="12">
        <v>5</v>
      </c>
      <c r="P71" s="11">
        <v>2150</v>
      </c>
      <c r="Q71" s="10" t="s">
        <v>33</v>
      </c>
      <c r="R71" s="4" t="s">
        <v>1282</v>
      </c>
      <c r="S71" s="4" t="s">
        <v>1279</v>
      </c>
      <c r="T71" s="4" t="s">
        <v>19</v>
      </c>
      <c r="U71" s="4" t="s">
        <v>507</v>
      </c>
      <c r="V71" s="4" t="str">
        <f t="shared" si="5"/>
        <v>OIL AND GASINDUSTRY SOLUTIONAUTHORIZEDADD-ON</v>
      </c>
    </row>
    <row r="72" spans="1:22" ht="15" thickBot="1">
      <c r="A72" s="10" t="s">
        <v>21</v>
      </c>
      <c r="B72" s="10" t="s">
        <v>22</v>
      </c>
      <c r="C72" s="10" t="s">
        <v>686</v>
      </c>
      <c r="D72" s="10" t="s">
        <v>687</v>
      </c>
      <c r="E72" s="10" t="s">
        <v>688</v>
      </c>
      <c r="F72" s="10" t="s">
        <v>689</v>
      </c>
      <c r="G72" s="11">
        <v>1300</v>
      </c>
      <c r="H72" s="163" t="s">
        <v>748</v>
      </c>
      <c r="I72" s="158" t="s">
        <v>749</v>
      </c>
      <c r="J72" s="163" t="s">
        <v>746</v>
      </c>
      <c r="K72" s="10" t="s">
        <v>30</v>
      </c>
      <c r="L72" s="10">
        <v>5</v>
      </c>
      <c r="M72" s="10">
        <f t="shared" si="4"/>
        <v>1.67</v>
      </c>
      <c r="N72" s="10">
        <v>15</v>
      </c>
      <c r="O72" s="12">
        <v>5</v>
      </c>
      <c r="P72" s="11">
        <v>2150</v>
      </c>
      <c r="Q72" s="10" t="s">
        <v>36</v>
      </c>
      <c r="R72" s="4" t="s">
        <v>1282</v>
      </c>
      <c r="S72" s="4" t="s">
        <v>1279</v>
      </c>
      <c r="T72" s="4" t="s">
        <v>19</v>
      </c>
      <c r="U72" s="4" t="s">
        <v>507</v>
      </c>
      <c r="V72" s="4" t="str">
        <f t="shared" si="5"/>
        <v>OIL AND GASINDUSTRY SOLUTIONAUTHORIZEDADD-ON</v>
      </c>
    </row>
    <row r="73" spans="1:22" ht="29.25" customHeight="1" thickBot="1">
      <c r="A73" s="10" t="s">
        <v>21</v>
      </c>
      <c r="B73" s="10" t="s">
        <v>22</v>
      </c>
      <c r="C73" s="10" t="s">
        <v>778</v>
      </c>
      <c r="D73" s="10" t="s">
        <v>779</v>
      </c>
      <c r="E73" s="10" t="s">
        <v>780</v>
      </c>
      <c r="F73" s="10" t="s">
        <v>781</v>
      </c>
      <c r="G73" s="11">
        <v>7660</v>
      </c>
      <c r="H73" s="163" t="s">
        <v>806</v>
      </c>
      <c r="I73" s="158" t="s">
        <v>813</v>
      </c>
      <c r="J73" s="163" t="s">
        <v>806</v>
      </c>
      <c r="K73" s="10" t="s">
        <v>30</v>
      </c>
      <c r="L73" s="10">
        <v>15</v>
      </c>
      <c r="M73" s="10">
        <f t="shared" si="4"/>
        <v>5</v>
      </c>
      <c r="N73" s="10">
        <v>15</v>
      </c>
      <c r="O73" s="12">
        <v>5</v>
      </c>
      <c r="P73" s="11">
        <v>7660</v>
      </c>
      <c r="Q73" s="10" t="s">
        <v>33</v>
      </c>
      <c r="R73" s="4" t="s">
        <v>1283</v>
      </c>
      <c r="S73" s="4" t="s">
        <v>1279</v>
      </c>
      <c r="T73" s="4" t="s">
        <v>19</v>
      </c>
      <c r="U73" s="4" t="str">
        <f>IF(ISNUMBER(SEARCH("ADD-ON",$I73)),"ADD-ON","NOT AN ADD-ON")</f>
        <v>NOT AN ADD-ON</v>
      </c>
      <c r="V73" s="4" t="str">
        <f t="shared" si="5"/>
        <v>TRANSPORATIONINDUSTRY SOLUTIONAUTHORIZEDNOT AN ADD-ON</v>
      </c>
    </row>
    <row r="74" spans="1:22" ht="15" thickBot="1">
      <c r="A74" s="10" t="s">
        <v>21</v>
      </c>
      <c r="B74" s="10" t="s">
        <v>22</v>
      </c>
      <c r="C74" s="10" t="s">
        <v>778</v>
      </c>
      <c r="D74" s="10" t="s">
        <v>779</v>
      </c>
      <c r="E74" s="10" t="s">
        <v>780</v>
      </c>
      <c r="F74" s="10" t="s">
        <v>781</v>
      </c>
      <c r="G74" s="11">
        <v>4600</v>
      </c>
      <c r="H74" s="163" t="s">
        <v>814</v>
      </c>
      <c r="I74" s="158" t="s">
        <v>815</v>
      </c>
      <c r="J74" s="163" t="s">
        <v>806</v>
      </c>
      <c r="K74" s="10" t="s">
        <v>30</v>
      </c>
      <c r="L74" s="10">
        <v>15</v>
      </c>
      <c r="M74" s="10">
        <f t="shared" si="4"/>
        <v>5</v>
      </c>
      <c r="N74" s="10">
        <v>15</v>
      </c>
      <c r="O74" s="12">
        <v>5</v>
      </c>
      <c r="P74" s="11">
        <v>7660</v>
      </c>
      <c r="Q74" s="10" t="s">
        <v>36</v>
      </c>
      <c r="R74" s="4" t="s">
        <v>1283</v>
      </c>
      <c r="S74" s="4" t="s">
        <v>1279</v>
      </c>
      <c r="T74" s="4" t="s">
        <v>19</v>
      </c>
      <c r="U74" s="4" t="str">
        <f>IF(ISNUMBER(SEARCH("ADD-ON",$I74)),"ADD-ON","NOT AN ADD-ON")</f>
        <v>NOT AN ADD-ON</v>
      </c>
      <c r="V74" s="4" t="str">
        <f t="shared" si="5"/>
        <v>TRANSPORATIONINDUSTRY SOLUTIONAUTHORIZEDNOT AN ADD-ON</v>
      </c>
    </row>
    <row r="75" spans="1:22" ht="29.25" customHeight="1" thickBot="1">
      <c r="A75" s="10" t="s">
        <v>21</v>
      </c>
      <c r="B75" s="10" t="s">
        <v>22</v>
      </c>
      <c r="C75" s="10" t="s">
        <v>778</v>
      </c>
      <c r="D75" s="10" t="s">
        <v>779</v>
      </c>
      <c r="E75" s="10" t="s">
        <v>780</v>
      </c>
      <c r="F75" s="10" t="s">
        <v>781</v>
      </c>
      <c r="G75" s="11">
        <v>2680</v>
      </c>
      <c r="H75" s="163" t="s">
        <v>804</v>
      </c>
      <c r="I75" s="166" t="s">
        <v>805</v>
      </c>
      <c r="J75" s="163" t="s">
        <v>806</v>
      </c>
      <c r="K75" s="10" t="s">
        <v>30</v>
      </c>
      <c r="L75" s="10">
        <v>15</v>
      </c>
      <c r="M75" s="10">
        <f t="shared" si="4"/>
        <v>5</v>
      </c>
      <c r="N75" s="10">
        <v>15</v>
      </c>
      <c r="O75" s="12">
        <v>5</v>
      </c>
      <c r="P75" s="11">
        <v>7660</v>
      </c>
      <c r="Q75" s="10" t="s">
        <v>48</v>
      </c>
      <c r="R75" s="4" t="s">
        <v>1283</v>
      </c>
      <c r="S75" s="4" t="s">
        <v>1279</v>
      </c>
      <c r="T75" s="4" t="s">
        <v>19</v>
      </c>
      <c r="U75" s="4" t="str">
        <f>IF(ISNUMBER(SEARCH("ADD-ON",$I75)),"ADD-ON","NOT AN ADD-ON")</f>
        <v>NOT AN ADD-ON</v>
      </c>
      <c r="V75" s="4" t="str">
        <f t="shared" si="5"/>
        <v>TRANSPORATIONINDUSTRY SOLUTIONAUTHORIZEDNOT AN ADD-ON</v>
      </c>
    </row>
    <row r="76" spans="1:22" ht="15" thickBot="1">
      <c r="A76" s="10" t="s">
        <v>21</v>
      </c>
      <c r="B76" s="10" t="s">
        <v>22</v>
      </c>
      <c r="C76" s="10" t="s">
        <v>778</v>
      </c>
      <c r="D76" s="10" t="s">
        <v>779</v>
      </c>
      <c r="E76" s="10" t="s">
        <v>780</v>
      </c>
      <c r="F76" s="10" t="s">
        <v>781</v>
      </c>
      <c r="G76" s="11">
        <v>5470</v>
      </c>
      <c r="H76" s="163" t="s">
        <v>807</v>
      </c>
      <c r="I76" s="166" t="s">
        <v>808</v>
      </c>
      <c r="J76" s="163" t="s">
        <v>806</v>
      </c>
      <c r="K76" s="10" t="s">
        <v>30</v>
      </c>
      <c r="L76" s="10">
        <v>15</v>
      </c>
      <c r="M76" s="10">
        <f t="shared" si="4"/>
        <v>5</v>
      </c>
      <c r="N76" s="10">
        <v>15</v>
      </c>
      <c r="O76" s="12">
        <v>5</v>
      </c>
      <c r="P76" s="11">
        <v>7660</v>
      </c>
      <c r="Q76" s="10" t="s">
        <v>48</v>
      </c>
      <c r="R76" s="4" t="s">
        <v>1283</v>
      </c>
      <c r="S76" s="4" t="s">
        <v>1279</v>
      </c>
      <c r="T76" s="4" t="s">
        <v>19</v>
      </c>
      <c r="U76" s="4" t="str">
        <f>IF(ISNUMBER(SEARCH("ADD-ON",$I76)),"ADD-ON","NOT AN ADD-ON")</f>
        <v>NOT AN ADD-ON</v>
      </c>
      <c r="V76" s="4" t="str">
        <f t="shared" si="5"/>
        <v>TRANSPORATIONINDUSTRY SOLUTIONAUTHORIZEDNOT AN ADD-ON</v>
      </c>
    </row>
    <row r="77" spans="1:22" ht="29.25" customHeight="1" thickBot="1">
      <c r="A77" s="10" t="s">
        <v>21</v>
      </c>
      <c r="B77" s="10" t="s">
        <v>22</v>
      </c>
      <c r="C77" s="10" t="s">
        <v>778</v>
      </c>
      <c r="D77" s="10" t="s">
        <v>779</v>
      </c>
      <c r="E77" s="10" t="s">
        <v>780</v>
      </c>
      <c r="F77" s="10" t="s">
        <v>781</v>
      </c>
      <c r="G77" s="11">
        <v>2150</v>
      </c>
      <c r="H77" s="163" t="s">
        <v>784</v>
      </c>
      <c r="I77" s="158" t="s">
        <v>785</v>
      </c>
      <c r="J77" s="163" t="s">
        <v>784</v>
      </c>
      <c r="K77" s="10" t="s">
        <v>30</v>
      </c>
      <c r="L77" s="10">
        <v>5</v>
      </c>
      <c r="M77" s="10">
        <f t="shared" si="4"/>
        <v>1.67</v>
      </c>
      <c r="N77" s="10">
        <v>15</v>
      </c>
      <c r="O77" s="12">
        <v>5</v>
      </c>
      <c r="P77" s="11">
        <v>2150</v>
      </c>
      <c r="Q77" s="10" t="s">
        <v>33</v>
      </c>
      <c r="R77" s="4" t="s">
        <v>1283</v>
      </c>
      <c r="S77" s="4" t="s">
        <v>1279</v>
      </c>
      <c r="T77" s="4" t="s">
        <v>19</v>
      </c>
      <c r="U77" s="4" t="s">
        <v>507</v>
      </c>
      <c r="V77" s="4" t="str">
        <f t="shared" si="5"/>
        <v>TRANSPORATIONINDUSTRY SOLUTIONAUTHORIZEDADD-ON</v>
      </c>
    </row>
    <row r="78" spans="1:22" ht="29.25" customHeight="1" thickBot="1">
      <c r="A78" s="10" t="s">
        <v>21</v>
      </c>
      <c r="B78" s="10" t="s">
        <v>22</v>
      </c>
      <c r="C78" s="10" t="s">
        <v>778</v>
      </c>
      <c r="D78" s="10" t="s">
        <v>779</v>
      </c>
      <c r="E78" s="10" t="s">
        <v>780</v>
      </c>
      <c r="F78" s="10" t="s">
        <v>781</v>
      </c>
      <c r="G78" s="11">
        <v>1300</v>
      </c>
      <c r="H78" s="163" t="s">
        <v>786</v>
      </c>
      <c r="I78" s="158" t="s">
        <v>787</v>
      </c>
      <c r="J78" s="163" t="s">
        <v>784</v>
      </c>
      <c r="K78" s="10" t="s">
        <v>30</v>
      </c>
      <c r="L78" s="10">
        <v>5</v>
      </c>
      <c r="M78" s="10">
        <f t="shared" si="4"/>
        <v>1.67</v>
      </c>
      <c r="N78" s="10">
        <v>15</v>
      </c>
      <c r="O78" s="12">
        <v>5</v>
      </c>
      <c r="P78" s="11">
        <v>2150</v>
      </c>
      <c r="Q78" s="10" t="s">
        <v>36</v>
      </c>
      <c r="R78" s="4" t="s">
        <v>1283</v>
      </c>
      <c r="S78" s="4" t="s">
        <v>1279</v>
      </c>
      <c r="T78" s="4" t="s">
        <v>19</v>
      </c>
      <c r="U78" s="4" t="s">
        <v>507</v>
      </c>
      <c r="V78" s="4" t="str">
        <f t="shared" si="5"/>
        <v>TRANSPORATIONINDUSTRY SOLUTIONAUTHORIZEDADD-ON</v>
      </c>
    </row>
    <row r="79" spans="1:22" ht="29.25" customHeight="1" thickBot="1">
      <c r="A79" s="10" t="s">
        <v>21</v>
      </c>
      <c r="B79" s="10" t="s">
        <v>22</v>
      </c>
      <c r="C79" s="10" t="s">
        <v>778</v>
      </c>
      <c r="D79" s="10" t="s">
        <v>779</v>
      </c>
      <c r="E79" s="10" t="s">
        <v>780</v>
      </c>
      <c r="F79" s="10" t="s">
        <v>781</v>
      </c>
      <c r="G79" s="11">
        <v>7660</v>
      </c>
      <c r="H79" s="163" t="s">
        <v>844</v>
      </c>
      <c r="I79" s="158" t="s">
        <v>851</v>
      </c>
      <c r="J79" s="163" t="s">
        <v>844</v>
      </c>
      <c r="K79" s="10" t="s">
        <v>30</v>
      </c>
      <c r="L79" s="10">
        <v>15</v>
      </c>
      <c r="M79" s="10">
        <f t="shared" si="4"/>
        <v>5</v>
      </c>
      <c r="N79" s="10">
        <v>15</v>
      </c>
      <c r="O79" s="12">
        <v>5</v>
      </c>
      <c r="P79" s="11">
        <v>7660</v>
      </c>
      <c r="Q79" s="10" t="s">
        <v>33</v>
      </c>
      <c r="R79" s="4" t="s">
        <v>1283</v>
      </c>
      <c r="S79" s="4" t="s">
        <v>1279</v>
      </c>
      <c r="T79" s="4" t="s">
        <v>19</v>
      </c>
      <c r="U79" s="4" t="str">
        <f>IF(ISNUMBER(SEARCH("ADD-ON",$I79)),"ADD-ON","NOT AN ADD-ON")</f>
        <v>NOT AN ADD-ON</v>
      </c>
      <c r="V79" s="4" t="str">
        <f t="shared" si="5"/>
        <v>TRANSPORATIONINDUSTRY SOLUTIONAUTHORIZEDNOT AN ADD-ON</v>
      </c>
    </row>
    <row r="80" spans="1:22" ht="15" thickBot="1">
      <c r="A80" s="10" t="s">
        <v>21</v>
      </c>
      <c r="B80" s="10" t="s">
        <v>22</v>
      </c>
      <c r="C80" s="10" t="s">
        <v>778</v>
      </c>
      <c r="D80" s="10" t="s">
        <v>779</v>
      </c>
      <c r="E80" s="10" t="s">
        <v>780</v>
      </c>
      <c r="F80" s="10" t="s">
        <v>781</v>
      </c>
      <c r="G80" s="11">
        <v>4600</v>
      </c>
      <c r="H80" s="163" t="s">
        <v>852</v>
      </c>
      <c r="I80" s="158" t="s">
        <v>853</v>
      </c>
      <c r="J80" s="163" t="s">
        <v>844</v>
      </c>
      <c r="K80" s="10" t="s">
        <v>30</v>
      </c>
      <c r="L80" s="10">
        <v>15</v>
      </c>
      <c r="M80" s="10">
        <f t="shared" si="4"/>
        <v>5</v>
      </c>
      <c r="N80" s="10">
        <v>15</v>
      </c>
      <c r="O80" s="12">
        <v>5</v>
      </c>
      <c r="P80" s="11">
        <v>7660</v>
      </c>
      <c r="Q80" s="10" t="s">
        <v>36</v>
      </c>
      <c r="R80" s="4" t="s">
        <v>1283</v>
      </c>
      <c r="S80" s="4" t="s">
        <v>1279</v>
      </c>
      <c r="T80" s="4" t="s">
        <v>19</v>
      </c>
      <c r="U80" s="4" t="str">
        <f>IF(ISNUMBER(SEARCH("ADD-ON",$I80)),"ADD-ON","NOT AN ADD-ON")</f>
        <v>NOT AN ADD-ON</v>
      </c>
      <c r="V80" s="4" t="str">
        <f t="shared" si="5"/>
        <v>TRANSPORATIONINDUSTRY SOLUTIONAUTHORIZEDNOT AN ADD-ON</v>
      </c>
    </row>
    <row r="81" spans="1:22" ht="29.25" customHeight="1" thickBot="1">
      <c r="A81" s="10" t="s">
        <v>21</v>
      </c>
      <c r="B81" s="10" t="s">
        <v>22</v>
      </c>
      <c r="C81" s="10" t="s">
        <v>778</v>
      </c>
      <c r="D81" s="10" t="s">
        <v>779</v>
      </c>
      <c r="E81" s="10" t="s">
        <v>780</v>
      </c>
      <c r="F81" s="10" t="s">
        <v>781</v>
      </c>
      <c r="G81" s="11">
        <v>2680</v>
      </c>
      <c r="H81" s="163" t="s">
        <v>842</v>
      </c>
      <c r="I81" s="166" t="s">
        <v>843</v>
      </c>
      <c r="J81" s="163" t="s">
        <v>844</v>
      </c>
      <c r="K81" s="10" t="s">
        <v>30</v>
      </c>
      <c r="L81" s="10">
        <v>15</v>
      </c>
      <c r="M81" s="10">
        <f t="shared" si="4"/>
        <v>5</v>
      </c>
      <c r="N81" s="10">
        <v>15</v>
      </c>
      <c r="O81" s="12">
        <v>5</v>
      </c>
      <c r="P81" s="11">
        <v>7660</v>
      </c>
      <c r="Q81" s="10" t="s">
        <v>48</v>
      </c>
      <c r="R81" s="4" t="s">
        <v>1283</v>
      </c>
      <c r="S81" s="4" t="s">
        <v>1279</v>
      </c>
      <c r="T81" s="4" t="s">
        <v>19</v>
      </c>
      <c r="U81" s="4" t="str">
        <f>IF(ISNUMBER(SEARCH("ADD-ON",$I81)),"ADD-ON","NOT AN ADD-ON")</f>
        <v>NOT AN ADD-ON</v>
      </c>
      <c r="V81" s="4" t="str">
        <f t="shared" si="5"/>
        <v>TRANSPORATIONINDUSTRY SOLUTIONAUTHORIZEDNOT AN ADD-ON</v>
      </c>
    </row>
    <row r="82" spans="1:22" ht="27" thickBot="1">
      <c r="A82" s="10" t="s">
        <v>21</v>
      </c>
      <c r="B82" s="10" t="s">
        <v>22</v>
      </c>
      <c r="C82" s="10" t="s">
        <v>778</v>
      </c>
      <c r="D82" s="10" t="s">
        <v>779</v>
      </c>
      <c r="E82" s="10" t="s">
        <v>780</v>
      </c>
      <c r="F82" s="10" t="s">
        <v>781</v>
      </c>
      <c r="G82" s="11">
        <v>5470</v>
      </c>
      <c r="H82" s="163" t="s">
        <v>845</v>
      </c>
      <c r="I82" s="166" t="s">
        <v>846</v>
      </c>
      <c r="J82" s="163" t="s">
        <v>844</v>
      </c>
      <c r="K82" s="10" t="s">
        <v>30</v>
      </c>
      <c r="L82" s="10">
        <v>15</v>
      </c>
      <c r="M82" s="10">
        <f t="shared" si="4"/>
        <v>5</v>
      </c>
      <c r="N82" s="10">
        <v>15</v>
      </c>
      <c r="O82" s="12">
        <v>5</v>
      </c>
      <c r="P82" s="11">
        <v>7660</v>
      </c>
      <c r="Q82" s="10" t="s">
        <v>48</v>
      </c>
      <c r="R82" s="4" t="s">
        <v>1283</v>
      </c>
      <c r="S82" s="4" t="s">
        <v>1279</v>
      </c>
      <c r="T82" s="4" t="s">
        <v>19</v>
      </c>
      <c r="U82" s="4" t="str">
        <f>IF(ISNUMBER(SEARCH("ADD-ON",$I82)),"ADD-ON","NOT AN ADD-ON")</f>
        <v>NOT AN ADD-ON</v>
      </c>
      <c r="V82" s="4" t="str">
        <f t="shared" si="5"/>
        <v>TRANSPORATIONINDUSTRY SOLUTIONAUTHORIZEDNOT AN ADD-ON</v>
      </c>
    </row>
    <row r="83" spans="1:22" ht="15" thickBot="1">
      <c r="A83" s="10" t="s">
        <v>21</v>
      </c>
      <c r="B83" s="10" t="s">
        <v>22</v>
      </c>
      <c r="C83" s="10" t="s">
        <v>778</v>
      </c>
      <c r="D83" s="10" t="s">
        <v>779</v>
      </c>
      <c r="E83" s="10" t="s">
        <v>780</v>
      </c>
      <c r="F83" s="10" t="s">
        <v>781</v>
      </c>
      <c r="G83" s="11">
        <v>2150</v>
      </c>
      <c r="H83" s="163" t="s">
        <v>838</v>
      </c>
      <c r="I83" s="158" t="s">
        <v>839</v>
      </c>
      <c r="J83" s="163" t="s">
        <v>838</v>
      </c>
      <c r="K83" s="10" t="s">
        <v>30</v>
      </c>
      <c r="L83" s="10">
        <v>5</v>
      </c>
      <c r="M83" s="10">
        <f t="shared" si="4"/>
        <v>1.67</v>
      </c>
      <c r="N83" s="10">
        <v>15</v>
      </c>
      <c r="O83" s="12">
        <v>5</v>
      </c>
      <c r="P83" s="11">
        <v>2150</v>
      </c>
      <c r="Q83" s="10" t="s">
        <v>33</v>
      </c>
      <c r="R83" s="4" t="s">
        <v>1283</v>
      </c>
      <c r="S83" s="4" t="s">
        <v>1279</v>
      </c>
      <c r="T83" s="4" t="s">
        <v>19</v>
      </c>
      <c r="U83" s="4" t="s">
        <v>507</v>
      </c>
      <c r="V83" s="4" t="str">
        <f t="shared" si="5"/>
        <v>TRANSPORATIONINDUSTRY SOLUTIONAUTHORIZEDADD-ON</v>
      </c>
    </row>
    <row r="84" spans="1:22" ht="29.25" customHeight="1" thickBot="1">
      <c r="A84" s="10" t="s">
        <v>21</v>
      </c>
      <c r="B84" s="10" t="s">
        <v>22</v>
      </c>
      <c r="C84" s="10" t="s">
        <v>778</v>
      </c>
      <c r="D84" s="10" t="s">
        <v>779</v>
      </c>
      <c r="E84" s="10" t="s">
        <v>780</v>
      </c>
      <c r="F84" s="10" t="s">
        <v>781</v>
      </c>
      <c r="G84" s="11">
        <v>1300</v>
      </c>
      <c r="H84" s="163" t="s">
        <v>840</v>
      </c>
      <c r="I84" s="158" t="s">
        <v>841</v>
      </c>
      <c r="J84" s="163" t="s">
        <v>838</v>
      </c>
      <c r="K84" s="10" t="s">
        <v>30</v>
      </c>
      <c r="L84" s="10">
        <v>5</v>
      </c>
      <c r="M84" s="10">
        <f t="shared" si="4"/>
        <v>1.67</v>
      </c>
      <c r="N84" s="10">
        <v>15</v>
      </c>
      <c r="O84" s="12">
        <v>5</v>
      </c>
      <c r="P84" s="11">
        <v>2150</v>
      </c>
      <c r="Q84" s="10" t="s">
        <v>36</v>
      </c>
      <c r="R84" s="4" t="s">
        <v>1283</v>
      </c>
      <c r="S84" s="4" t="s">
        <v>1279</v>
      </c>
      <c r="T84" s="4" t="s">
        <v>19</v>
      </c>
      <c r="U84" s="4" t="s">
        <v>507</v>
      </c>
      <c r="V84" s="4" t="str">
        <f t="shared" si="5"/>
        <v>TRANSPORATIONINDUSTRY SOLUTIONAUTHORIZEDADD-ON</v>
      </c>
    </row>
    <row r="85" spans="1:22" ht="29.25" customHeight="1" thickBot="1">
      <c r="A85" s="10" t="s">
        <v>21</v>
      </c>
      <c r="B85" s="10" t="s">
        <v>22</v>
      </c>
      <c r="C85" s="10" t="s">
        <v>870</v>
      </c>
      <c r="D85" s="10" t="s">
        <v>871</v>
      </c>
      <c r="E85" s="10" t="s">
        <v>872</v>
      </c>
      <c r="F85" s="10" t="s">
        <v>873</v>
      </c>
      <c r="G85" s="11">
        <v>7660</v>
      </c>
      <c r="H85" s="163" t="s">
        <v>898</v>
      </c>
      <c r="I85" s="158" t="s">
        <v>905</v>
      </c>
      <c r="J85" s="163" t="s">
        <v>898</v>
      </c>
      <c r="K85" s="10" t="s">
        <v>30</v>
      </c>
      <c r="L85" s="10">
        <v>15</v>
      </c>
      <c r="M85" s="10">
        <f t="shared" si="4"/>
        <v>5</v>
      </c>
      <c r="N85" s="10">
        <v>15</v>
      </c>
      <c r="O85" s="12">
        <v>5</v>
      </c>
      <c r="P85" s="11">
        <v>7660</v>
      </c>
      <c r="Q85" s="10" t="s">
        <v>33</v>
      </c>
      <c r="R85" s="4" t="s">
        <v>1284</v>
      </c>
      <c r="S85" s="4" t="s">
        <v>1279</v>
      </c>
      <c r="T85" s="4" t="s">
        <v>19</v>
      </c>
      <c r="U85" s="4" t="str">
        <f>IF(ISNUMBER(SEARCH("ADD-ON",$I85)),"ADD-ON","NOT AN ADD-ON")</f>
        <v>NOT AN ADD-ON</v>
      </c>
      <c r="V85" s="4" t="str">
        <f t="shared" si="5"/>
        <v>UTILITIESINDUSTRY SOLUTIONAUTHORIZEDNOT AN ADD-ON</v>
      </c>
    </row>
    <row r="86" spans="1:22" ht="15" thickBot="1">
      <c r="A86" s="10" t="s">
        <v>21</v>
      </c>
      <c r="B86" s="10" t="s">
        <v>22</v>
      </c>
      <c r="C86" s="10" t="s">
        <v>870</v>
      </c>
      <c r="D86" s="10" t="s">
        <v>871</v>
      </c>
      <c r="E86" s="10" t="s">
        <v>872</v>
      </c>
      <c r="F86" s="10" t="s">
        <v>873</v>
      </c>
      <c r="G86" s="11">
        <v>4600</v>
      </c>
      <c r="H86" s="163" t="s">
        <v>906</v>
      </c>
      <c r="I86" s="158" t="s">
        <v>907</v>
      </c>
      <c r="J86" s="163" t="s">
        <v>898</v>
      </c>
      <c r="K86" s="10" t="s">
        <v>30</v>
      </c>
      <c r="L86" s="10">
        <v>15</v>
      </c>
      <c r="M86" s="10">
        <f t="shared" si="4"/>
        <v>5</v>
      </c>
      <c r="N86" s="10">
        <v>15</v>
      </c>
      <c r="O86" s="12">
        <v>5</v>
      </c>
      <c r="P86" s="11">
        <v>7660</v>
      </c>
      <c r="Q86" s="10" t="s">
        <v>36</v>
      </c>
      <c r="R86" s="4" t="s">
        <v>1284</v>
      </c>
      <c r="S86" s="4" t="s">
        <v>1279</v>
      </c>
      <c r="T86" s="4" t="s">
        <v>19</v>
      </c>
      <c r="U86" s="4" t="str">
        <f>IF(ISNUMBER(SEARCH("ADD-ON",$I86)),"ADD-ON","NOT AN ADD-ON")</f>
        <v>NOT AN ADD-ON</v>
      </c>
      <c r="V86" s="4" t="str">
        <f t="shared" si="5"/>
        <v>UTILITIESINDUSTRY SOLUTIONAUTHORIZEDNOT AN ADD-ON</v>
      </c>
    </row>
    <row r="87" spans="1:22" ht="15" thickBot="1">
      <c r="A87" s="10" t="s">
        <v>21</v>
      </c>
      <c r="B87" s="10" t="s">
        <v>22</v>
      </c>
      <c r="C87" s="10" t="s">
        <v>870</v>
      </c>
      <c r="D87" s="10" t="s">
        <v>871</v>
      </c>
      <c r="E87" s="10" t="s">
        <v>872</v>
      </c>
      <c r="F87" s="10" t="s">
        <v>873</v>
      </c>
      <c r="G87" s="11">
        <v>2680</v>
      </c>
      <c r="H87" s="163" t="s">
        <v>896</v>
      </c>
      <c r="I87" s="166" t="s">
        <v>897</v>
      </c>
      <c r="J87" s="163" t="s">
        <v>898</v>
      </c>
      <c r="K87" s="10" t="s">
        <v>30</v>
      </c>
      <c r="L87" s="10">
        <v>15</v>
      </c>
      <c r="M87" s="10">
        <f t="shared" si="4"/>
        <v>5</v>
      </c>
      <c r="N87" s="10">
        <v>15</v>
      </c>
      <c r="O87" s="12">
        <v>5</v>
      </c>
      <c r="P87" s="11">
        <v>7660</v>
      </c>
      <c r="Q87" s="10" t="s">
        <v>48</v>
      </c>
      <c r="R87" s="4" t="s">
        <v>1284</v>
      </c>
      <c r="S87" s="4" t="s">
        <v>1279</v>
      </c>
      <c r="T87" s="4" t="s">
        <v>19</v>
      </c>
      <c r="U87" s="4" t="str">
        <f>IF(ISNUMBER(SEARCH("ADD-ON",$I87)),"ADD-ON","NOT AN ADD-ON")</f>
        <v>NOT AN ADD-ON</v>
      </c>
      <c r="V87" s="4" t="str">
        <f t="shared" si="5"/>
        <v>UTILITIESINDUSTRY SOLUTIONAUTHORIZEDNOT AN ADD-ON</v>
      </c>
    </row>
    <row r="88" spans="1:22" ht="29.25" customHeight="1" thickBot="1">
      <c r="A88" s="10" t="s">
        <v>21</v>
      </c>
      <c r="B88" s="10" t="s">
        <v>22</v>
      </c>
      <c r="C88" s="10" t="s">
        <v>870</v>
      </c>
      <c r="D88" s="10" t="s">
        <v>871</v>
      </c>
      <c r="E88" s="10" t="s">
        <v>872</v>
      </c>
      <c r="F88" s="10" t="s">
        <v>873</v>
      </c>
      <c r="G88" s="11">
        <v>5470</v>
      </c>
      <c r="H88" s="163" t="s">
        <v>899</v>
      </c>
      <c r="I88" s="166" t="s">
        <v>900</v>
      </c>
      <c r="J88" s="163" t="s">
        <v>898</v>
      </c>
      <c r="K88" s="10" t="s">
        <v>30</v>
      </c>
      <c r="L88" s="10">
        <v>15</v>
      </c>
      <c r="M88" s="10">
        <f t="shared" si="4"/>
        <v>5</v>
      </c>
      <c r="N88" s="10">
        <v>15</v>
      </c>
      <c r="O88" s="12">
        <v>5</v>
      </c>
      <c r="P88" s="11">
        <v>7660</v>
      </c>
      <c r="Q88" s="10" t="s">
        <v>48</v>
      </c>
      <c r="R88" s="4" t="s">
        <v>1284</v>
      </c>
      <c r="S88" s="4" t="s">
        <v>1279</v>
      </c>
      <c r="T88" s="4" t="s">
        <v>19</v>
      </c>
      <c r="U88" s="4" t="str">
        <f>IF(ISNUMBER(SEARCH("ADD-ON",$I88)),"ADD-ON","NOT AN ADD-ON")</f>
        <v>NOT AN ADD-ON</v>
      </c>
      <c r="V88" s="4" t="str">
        <f t="shared" si="5"/>
        <v>UTILITIESINDUSTRY SOLUTIONAUTHORIZEDNOT AN ADD-ON</v>
      </c>
    </row>
    <row r="89" spans="1:22" ht="29.25" customHeight="1" thickBot="1">
      <c r="A89" s="10" t="s">
        <v>21</v>
      </c>
      <c r="B89" s="10" t="s">
        <v>22</v>
      </c>
      <c r="C89" s="10" t="s">
        <v>870</v>
      </c>
      <c r="D89" s="10" t="s">
        <v>871</v>
      </c>
      <c r="E89" s="10" t="s">
        <v>872</v>
      </c>
      <c r="F89" s="10" t="s">
        <v>873</v>
      </c>
      <c r="G89" s="11">
        <v>2150</v>
      </c>
      <c r="H89" s="163" t="s">
        <v>876</v>
      </c>
      <c r="I89" s="158" t="s">
        <v>877</v>
      </c>
      <c r="J89" s="163" t="s">
        <v>876</v>
      </c>
      <c r="K89" s="10" t="s">
        <v>30</v>
      </c>
      <c r="L89" s="10">
        <v>5</v>
      </c>
      <c r="M89" s="10">
        <f t="shared" si="4"/>
        <v>1.67</v>
      </c>
      <c r="N89" s="10">
        <v>15</v>
      </c>
      <c r="O89" s="12">
        <v>5</v>
      </c>
      <c r="P89" s="11">
        <v>2150</v>
      </c>
      <c r="Q89" s="10" t="s">
        <v>33</v>
      </c>
      <c r="R89" s="4" t="s">
        <v>1284</v>
      </c>
      <c r="S89" s="4" t="s">
        <v>1279</v>
      </c>
      <c r="T89" s="4" t="s">
        <v>19</v>
      </c>
      <c r="U89" s="4" t="s">
        <v>507</v>
      </c>
      <c r="V89" s="4" t="str">
        <f t="shared" si="5"/>
        <v>UTILITIESINDUSTRY SOLUTIONAUTHORIZEDADD-ON</v>
      </c>
    </row>
    <row r="90" spans="1:22" ht="15" thickBot="1">
      <c r="A90" s="10" t="s">
        <v>21</v>
      </c>
      <c r="B90" s="10" t="s">
        <v>22</v>
      </c>
      <c r="C90" s="10" t="s">
        <v>870</v>
      </c>
      <c r="D90" s="10" t="s">
        <v>871</v>
      </c>
      <c r="E90" s="10" t="s">
        <v>872</v>
      </c>
      <c r="F90" s="10" t="s">
        <v>873</v>
      </c>
      <c r="G90" s="11">
        <v>1300</v>
      </c>
      <c r="H90" s="163" t="s">
        <v>878</v>
      </c>
      <c r="I90" s="158" t="s">
        <v>879</v>
      </c>
      <c r="J90" s="163" t="s">
        <v>876</v>
      </c>
      <c r="K90" s="10" t="s">
        <v>30</v>
      </c>
      <c r="L90" s="10">
        <v>5</v>
      </c>
      <c r="M90" s="10">
        <f t="shared" si="4"/>
        <v>1.67</v>
      </c>
      <c r="N90" s="10">
        <v>15</v>
      </c>
      <c r="O90" s="12">
        <v>5</v>
      </c>
      <c r="P90" s="11">
        <v>2150</v>
      </c>
      <c r="Q90" s="10" t="s">
        <v>36</v>
      </c>
      <c r="R90" s="4" t="s">
        <v>1284</v>
      </c>
      <c r="S90" s="4" t="s">
        <v>1279</v>
      </c>
      <c r="T90" s="4" t="s">
        <v>19</v>
      </c>
      <c r="U90" s="4" t="s">
        <v>507</v>
      </c>
      <c r="V90" s="4" t="str">
        <f t="shared" si="5"/>
        <v>UTILITIESINDUSTRY SOLUTIONAUTHORIZEDADD-ON</v>
      </c>
    </row>
    <row r="91" spans="1:22" ht="29.25" customHeight="1" thickBot="1">
      <c r="A91" s="10" t="s">
        <v>21</v>
      </c>
      <c r="B91" s="10" t="s">
        <v>22</v>
      </c>
      <c r="C91" s="10" t="s">
        <v>870</v>
      </c>
      <c r="D91" s="10" t="s">
        <v>871</v>
      </c>
      <c r="E91" s="10" t="s">
        <v>872</v>
      </c>
      <c r="F91" s="10" t="s">
        <v>873</v>
      </c>
      <c r="G91" s="11">
        <v>7660</v>
      </c>
      <c r="H91" s="163" t="s">
        <v>932</v>
      </c>
      <c r="I91" s="158" t="s">
        <v>939</v>
      </c>
      <c r="J91" s="163" t="s">
        <v>932</v>
      </c>
      <c r="K91" s="10" t="s">
        <v>30</v>
      </c>
      <c r="L91" s="10">
        <v>15</v>
      </c>
      <c r="M91" s="10">
        <f t="shared" si="4"/>
        <v>5</v>
      </c>
      <c r="N91" s="10">
        <v>15</v>
      </c>
      <c r="O91" s="12">
        <v>5</v>
      </c>
      <c r="P91" s="11">
        <v>7660</v>
      </c>
      <c r="Q91" s="10" t="s">
        <v>33</v>
      </c>
      <c r="R91" s="4" t="s">
        <v>1284</v>
      </c>
      <c r="S91" s="4" t="s">
        <v>1279</v>
      </c>
      <c r="T91" s="4" t="s">
        <v>19</v>
      </c>
      <c r="U91" s="4" t="str">
        <f t="shared" ref="U91:U100" si="6">IF(ISNUMBER(SEARCH("ADD-ON",$I91)),"ADD-ON","NOT AN ADD-ON")</f>
        <v>NOT AN ADD-ON</v>
      </c>
      <c r="V91" s="4" t="str">
        <f t="shared" si="5"/>
        <v>UTILITIESINDUSTRY SOLUTIONAUTHORIZEDNOT AN ADD-ON</v>
      </c>
    </row>
    <row r="92" spans="1:22" ht="29.25" customHeight="1" thickBot="1">
      <c r="A92" s="10" t="s">
        <v>21</v>
      </c>
      <c r="B92" s="10" t="s">
        <v>22</v>
      </c>
      <c r="C92" s="10" t="s">
        <v>870</v>
      </c>
      <c r="D92" s="10" t="s">
        <v>871</v>
      </c>
      <c r="E92" s="10" t="s">
        <v>872</v>
      </c>
      <c r="F92" s="10" t="s">
        <v>873</v>
      </c>
      <c r="G92" s="11">
        <v>4600</v>
      </c>
      <c r="H92" s="163" t="s">
        <v>940</v>
      </c>
      <c r="I92" s="158" t="s">
        <v>941</v>
      </c>
      <c r="J92" s="163" t="s">
        <v>932</v>
      </c>
      <c r="K92" s="10" t="s">
        <v>30</v>
      </c>
      <c r="L92" s="10">
        <v>15</v>
      </c>
      <c r="M92" s="10">
        <f t="shared" si="4"/>
        <v>5</v>
      </c>
      <c r="N92" s="10">
        <v>15</v>
      </c>
      <c r="O92" s="12">
        <v>5</v>
      </c>
      <c r="P92" s="11">
        <v>7660</v>
      </c>
      <c r="Q92" s="10" t="s">
        <v>36</v>
      </c>
      <c r="R92" s="4" t="s">
        <v>1284</v>
      </c>
      <c r="S92" s="4" t="s">
        <v>1279</v>
      </c>
      <c r="T92" s="4" t="s">
        <v>19</v>
      </c>
      <c r="U92" s="4" t="str">
        <f t="shared" si="6"/>
        <v>NOT AN ADD-ON</v>
      </c>
      <c r="V92" s="4" t="str">
        <f t="shared" si="5"/>
        <v>UTILITIESINDUSTRY SOLUTIONAUTHORIZEDNOT AN ADD-ON</v>
      </c>
    </row>
    <row r="93" spans="1:22" ht="27" thickBot="1">
      <c r="A93" s="10" t="s">
        <v>21</v>
      </c>
      <c r="B93" s="10" t="s">
        <v>22</v>
      </c>
      <c r="C93" s="10" t="s">
        <v>870</v>
      </c>
      <c r="D93" s="10" t="s">
        <v>871</v>
      </c>
      <c r="E93" s="10" t="s">
        <v>872</v>
      </c>
      <c r="F93" s="10" t="s">
        <v>873</v>
      </c>
      <c r="G93" s="11">
        <v>5470</v>
      </c>
      <c r="H93" s="163" t="s">
        <v>933</v>
      </c>
      <c r="I93" s="166" t="s">
        <v>934</v>
      </c>
      <c r="J93" s="163" t="s">
        <v>932</v>
      </c>
      <c r="K93" s="10" t="s">
        <v>30</v>
      </c>
      <c r="L93" s="10">
        <v>15</v>
      </c>
      <c r="M93" s="10">
        <f t="shared" si="4"/>
        <v>5</v>
      </c>
      <c r="N93" s="10">
        <v>15</v>
      </c>
      <c r="O93" s="12">
        <v>5</v>
      </c>
      <c r="P93" s="11">
        <v>7660</v>
      </c>
      <c r="Q93" s="10" t="s">
        <v>48</v>
      </c>
      <c r="R93" s="4" t="s">
        <v>1284</v>
      </c>
      <c r="S93" s="4" t="s">
        <v>1279</v>
      </c>
      <c r="T93" s="4" t="s">
        <v>19</v>
      </c>
      <c r="U93" s="4" t="str">
        <f t="shared" si="6"/>
        <v>NOT AN ADD-ON</v>
      </c>
      <c r="V93" s="4" t="str">
        <f t="shared" si="5"/>
        <v>UTILITIESINDUSTRY SOLUTIONAUTHORIZEDNOT AN ADD-ON</v>
      </c>
    </row>
    <row r="94" spans="1:22" ht="27" thickBot="1">
      <c r="A94" s="10" t="s">
        <v>21</v>
      </c>
      <c r="B94" s="10" t="s">
        <v>22</v>
      </c>
      <c r="C94" s="10" t="s">
        <v>870</v>
      </c>
      <c r="D94" s="10" t="s">
        <v>871</v>
      </c>
      <c r="E94" s="10" t="s">
        <v>872</v>
      </c>
      <c r="F94" s="10" t="s">
        <v>873</v>
      </c>
      <c r="G94" s="11">
        <v>2680</v>
      </c>
      <c r="H94" s="163" t="s">
        <v>930</v>
      </c>
      <c r="I94" s="166" t="s">
        <v>931</v>
      </c>
      <c r="J94" s="163" t="s">
        <v>932</v>
      </c>
      <c r="K94" s="10" t="s">
        <v>30</v>
      </c>
      <c r="L94" s="10">
        <v>15</v>
      </c>
      <c r="M94" s="10">
        <f t="shared" si="4"/>
        <v>5</v>
      </c>
      <c r="N94" s="10">
        <v>15</v>
      </c>
      <c r="O94" s="12">
        <v>5</v>
      </c>
      <c r="P94" s="11">
        <v>7660</v>
      </c>
      <c r="Q94" s="10" t="s">
        <v>48</v>
      </c>
      <c r="R94" s="4" t="s">
        <v>1284</v>
      </c>
      <c r="S94" s="4" t="s">
        <v>1279</v>
      </c>
      <c r="T94" s="4" t="s">
        <v>19</v>
      </c>
      <c r="U94" s="4" t="str">
        <f t="shared" si="6"/>
        <v>NOT AN ADD-ON</v>
      </c>
      <c r="V94" s="4" t="str">
        <f t="shared" si="5"/>
        <v>UTILITIESINDUSTRY SOLUTIONAUTHORIZEDNOT AN ADD-ON</v>
      </c>
    </row>
    <row r="95" spans="1:22" ht="29.25" customHeight="1" thickBot="1">
      <c r="A95" s="10" t="s">
        <v>21</v>
      </c>
      <c r="B95" s="10" t="s">
        <v>22</v>
      </c>
      <c r="C95" s="10" t="s">
        <v>870</v>
      </c>
      <c r="D95" s="10" t="s">
        <v>871</v>
      </c>
      <c r="E95" s="10" t="s">
        <v>872</v>
      </c>
      <c r="F95" s="10" t="s">
        <v>873</v>
      </c>
      <c r="G95" s="11">
        <v>2150</v>
      </c>
      <c r="H95" s="163" t="s">
        <v>926</v>
      </c>
      <c r="I95" s="158" t="s">
        <v>927</v>
      </c>
      <c r="J95" s="163" t="s">
        <v>926</v>
      </c>
      <c r="K95" s="10" t="s">
        <v>30</v>
      </c>
      <c r="L95" s="10">
        <v>15</v>
      </c>
      <c r="M95" s="10">
        <f t="shared" si="4"/>
        <v>5</v>
      </c>
      <c r="N95" s="10">
        <v>15</v>
      </c>
      <c r="O95" s="12">
        <v>5</v>
      </c>
      <c r="P95" s="11">
        <v>2150</v>
      </c>
      <c r="Q95" s="10" t="s">
        <v>33</v>
      </c>
      <c r="R95" s="4" t="s">
        <v>1284</v>
      </c>
      <c r="S95" s="4" t="s">
        <v>1279</v>
      </c>
      <c r="T95" s="4" t="s">
        <v>19</v>
      </c>
      <c r="U95" s="4" t="str">
        <f t="shared" si="6"/>
        <v>NOT AN ADD-ON</v>
      </c>
      <c r="V95" s="4" t="str">
        <f t="shared" si="5"/>
        <v>UTILITIESINDUSTRY SOLUTIONAUTHORIZEDNOT AN ADD-ON</v>
      </c>
    </row>
    <row r="96" spans="1:22" ht="15" thickBot="1">
      <c r="A96" s="10" t="s">
        <v>21</v>
      </c>
      <c r="B96" s="10" t="s">
        <v>22</v>
      </c>
      <c r="C96" s="10" t="s">
        <v>870</v>
      </c>
      <c r="D96" s="10" t="s">
        <v>871</v>
      </c>
      <c r="E96" s="10" t="s">
        <v>872</v>
      </c>
      <c r="F96" s="10" t="s">
        <v>873</v>
      </c>
      <c r="G96" s="11">
        <v>1300</v>
      </c>
      <c r="H96" s="163" t="s">
        <v>928</v>
      </c>
      <c r="I96" s="158" t="s">
        <v>929</v>
      </c>
      <c r="J96" s="163" t="s">
        <v>926</v>
      </c>
      <c r="K96" s="10" t="s">
        <v>30</v>
      </c>
      <c r="L96" s="10">
        <v>15</v>
      </c>
      <c r="M96" s="10">
        <f t="shared" si="4"/>
        <v>5</v>
      </c>
      <c r="N96" s="10">
        <v>15</v>
      </c>
      <c r="O96" s="12">
        <v>5</v>
      </c>
      <c r="P96" s="11">
        <v>2150</v>
      </c>
      <c r="Q96" s="10" t="s">
        <v>36</v>
      </c>
      <c r="R96" s="4" t="s">
        <v>1284</v>
      </c>
      <c r="S96" s="4" t="s">
        <v>1279</v>
      </c>
      <c r="T96" s="4" t="s">
        <v>19</v>
      </c>
      <c r="U96" s="4" t="str">
        <f t="shared" si="6"/>
        <v>NOT AN ADD-ON</v>
      </c>
      <c r="V96" s="4" t="str">
        <f t="shared" si="5"/>
        <v>UTILITIESINDUSTRY SOLUTIONAUTHORIZEDNOT AN ADD-ON</v>
      </c>
    </row>
    <row r="97" spans="1:22" ht="15" thickBot="1">
      <c r="A97" s="10" t="s">
        <v>21</v>
      </c>
      <c r="B97" s="10" t="s">
        <v>22</v>
      </c>
      <c r="C97" s="10" t="s">
        <v>500</v>
      </c>
      <c r="D97" s="10" t="s">
        <v>501</v>
      </c>
      <c r="E97" s="10" t="s">
        <v>502</v>
      </c>
      <c r="F97" s="10" t="s">
        <v>503</v>
      </c>
      <c r="G97" s="11">
        <v>6980</v>
      </c>
      <c r="H97" s="163" t="s">
        <v>529</v>
      </c>
      <c r="I97" s="158" t="s">
        <v>536</v>
      </c>
      <c r="J97" s="163" t="s">
        <v>529</v>
      </c>
      <c r="K97" s="10" t="s">
        <v>30</v>
      </c>
      <c r="L97" s="10">
        <v>10</v>
      </c>
      <c r="M97" s="10">
        <f t="shared" si="4"/>
        <v>3.33</v>
      </c>
      <c r="N97" s="15">
        <v>5</v>
      </c>
      <c r="O97" s="16">
        <v>1.67</v>
      </c>
      <c r="P97" s="11">
        <v>6980</v>
      </c>
      <c r="Q97" s="10" t="s">
        <v>33</v>
      </c>
      <c r="R97" s="4" t="s">
        <v>1292</v>
      </c>
      <c r="S97" s="4" t="s">
        <v>1292</v>
      </c>
      <c r="T97" s="4" t="s">
        <v>19</v>
      </c>
      <c r="U97" s="4" t="str">
        <f t="shared" si="6"/>
        <v>NOT AN ADD-ON</v>
      </c>
      <c r="V97" s="4" t="str">
        <f t="shared" si="5"/>
        <v>LIFE SCIENCESLIFE SCIENCESAUTHORIZEDNOT AN ADD-ON</v>
      </c>
    </row>
    <row r="98" spans="1:22" ht="29.25" customHeight="1" thickBot="1">
      <c r="A98" s="10" t="s">
        <v>21</v>
      </c>
      <c r="B98" s="10" t="s">
        <v>22</v>
      </c>
      <c r="C98" s="10" t="s">
        <v>500</v>
      </c>
      <c r="D98" s="10" t="s">
        <v>501</v>
      </c>
      <c r="E98" s="10" t="s">
        <v>502</v>
      </c>
      <c r="F98" s="10" t="s">
        <v>503</v>
      </c>
      <c r="G98" s="11">
        <v>4180</v>
      </c>
      <c r="H98" s="163" t="s">
        <v>537</v>
      </c>
      <c r="I98" s="158" t="s">
        <v>538</v>
      </c>
      <c r="J98" s="163" t="s">
        <v>529</v>
      </c>
      <c r="K98" s="10" t="s">
        <v>30</v>
      </c>
      <c r="L98" s="10">
        <v>10</v>
      </c>
      <c r="M98" s="10">
        <f t="shared" si="4"/>
        <v>3.33</v>
      </c>
      <c r="N98" s="15">
        <v>5</v>
      </c>
      <c r="O98" s="16">
        <v>1.67</v>
      </c>
      <c r="P98" s="11">
        <v>6980</v>
      </c>
      <c r="Q98" s="10" t="s">
        <v>36</v>
      </c>
      <c r="R98" s="4" t="s">
        <v>1292</v>
      </c>
      <c r="S98" s="4" t="s">
        <v>1292</v>
      </c>
      <c r="T98" s="4" t="s">
        <v>19</v>
      </c>
      <c r="U98" s="4" t="str">
        <f t="shared" si="6"/>
        <v>NOT AN ADD-ON</v>
      </c>
      <c r="V98" s="4" t="str">
        <f t="shared" si="5"/>
        <v>LIFE SCIENCESLIFE SCIENCESAUTHORIZEDNOT AN ADD-ON</v>
      </c>
    </row>
    <row r="99" spans="1:22" ht="29.25" customHeight="1" thickBot="1">
      <c r="A99" s="10" t="s">
        <v>21</v>
      </c>
      <c r="B99" s="10" t="s">
        <v>22</v>
      </c>
      <c r="C99" s="10" t="s">
        <v>500</v>
      </c>
      <c r="D99" s="10" t="s">
        <v>501</v>
      </c>
      <c r="E99" s="10" t="s">
        <v>502</v>
      </c>
      <c r="F99" s="10" t="s">
        <v>503</v>
      </c>
      <c r="G99" s="11">
        <v>4710</v>
      </c>
      <c r="H99" s="163" t="s">
        <v>530</v>
      </c>
      <c r="I99" s="166" t="s">
        <v>531</v>
      </c>
      <c r="J99" s="163" t="s">
        <v>529</v>
      </c>
      <c r="K99" s="10" t="s">
        <v>30</v>
      </c>
      <c r="L99" s="10">
        <v>10</v>
      </c>
      <c r="M99" s="10">
        <f t="shared" si="4"/>
        <v>3.33</v>
      </c>
      <c r="N99" s="15">
        <v>5</v>
      </c>
      <c r="O99" s="16">
        <v>1.67</v>
      </c>
      <c r="P99" s="11">
        <v>6980</v>
      </c>
      <c r="Q99" s="10" t="s">
        <v>48</v>
      </c>
      <c r="R99" s="4" t="s">
        <v>1292</v>
      </c>
      <c r="S99" s="4" t="s">
        <v>1292</v>
      </c>
      <c r="T99" s="4" t="s">
        <v>19</v>
      </c>
      <c r="U99" s="4" t="str">
        <f t="shared" si="6"/>
        <v>NOT AN ADD-ON</v>
      </c>
      <c r="V99" s="4" t="str">
        <f t="shared" si="5"/>
        <v>LIFE SCIENCESLIFE SCIENCESAUTHORIZEDNOT AN ADD-ON</v>
      </c>
    </row>
    <row r="100" spans="1:22" ht="15" thickBot="1">
      <c r="A100" s="10" t="s">
        <v>21</v>
      </c>
      <c r="B100" s="10" t="s">
        <v>22</v>
      </c>
      <c r="C100" s="10" t="s">
        <v>500</v>
      </c>
      <c r="D100" s="10" t="s">
        <v>501</v>
      </c>
      <c r="E100" s="10" t="s">
        <v>502</v>
      </c>
      <c r="F100" s="10" t="s">
        <v>503</v>
      </c>
      <c r="G100" s="11">
        <v>1920</v>
      </c>
      <c r="H100" s="163" t="s">
        <v>527</v>
      </c>
      <c r="I100" s="166" t="s">
        <v>528</v>
      </c>
      <c r="J100" s="163" t="s">
        <v>529</v>
      </c>
      <c r="K100" s="10" t="s">
        <v>30</v>
      </c>
      <c r="L100" s="10">
        <v>10</v>
      </c>
      <c r="M100" s="10">
        <f t="shared" si="4"/>
        <v>3.33</v>
      </c>
      <c r="N100" s="15">
        <v>5</v>
      </c>
      <c r="O100" s="16">
        <v>1.67</v>
      </c>
      <c r="P100" s="11">
        <v>6980</v>
      </c>
      <c r="Q100" s="10" t="s">
        <v>48</v>
      </c>
      <c r="R100" s="4" t="s">
        <v>1292</v>
      </c>
      <c r="S100" s="4" t="s">
        <v>1292</v>
      </c>
      <c r="T100" s="4" t="s">
        <v>19</v>
      </c>
      <c r="U100" s="4" t="str">
        <f t="shared" si="6"/>
        <v>NOT AN ADD-ON</v>
      </c>
      <c r="V100" s="4" t="str">
        <f t="shared" si="5"/>
        <v>LIFE SCIENCESLIFE SCIENCESAUTHORIZEDNOT AN ADD-ON</v>
      </c>
    </row>
    <row r="101" spans="1:22" ht="15" thickBot="1">
      <c r="A101" s="10" t="s">
        <v>21</v>
      </c>
      <c r="B101" s="10" t="s">
        <v>22</v>
      </c>
      <c r="C101" s="10" t="s">
        <v>500</v>
      </c>
      <c r="D101" s="10" t="s">
        <v>501</v>
      </c>
      <c r="E101" s="10" t="s">
        <v>502</v>
      </c>
      <c r="F101" s="10" t="s">
        <v>503</v>
      </c>
      <c r="G101" s="11">
        <v>712</v>
      </c>
      <c r="H101" s="163" t="s">
        <v>506</v>
      </c>
      <c r="I101" s="158" t="s">
        <v>508</v>
      </c>
      <c r="J101" s="163" t="s">
        <v>506</v>
      </c>
      <c r="K101" s="10" t="s">
        <v>30</v>
      </c>
      <c r="L101" s="10">
        <v>0</v>
      </c>
      <c r="M101" s="10">
        <f t="shared" si="4"/>
        <v>0</v>
      </c>
      <c r="N101" s="15">
        <v>5</v>
      </c>
      <c r="O101" s="16">
        <v>1.67</v>
      </c>
      <c r="P101" s="11">
        <v>712</v>
      </c>
      <c r="Q101" s="10" t="s">
        <v>33</v>
      </c>
      <c r="R101" s="4" t="s">
        <v>1292</v>
      </c>
      <c r="S101" s="4" t="s">
        <v>1292</v>
      </c>
      <c r="T101" s="4" t="s">
        <v>19</v>
      </c>
      <c r="U101" s="4" t="s">
        <v>507</v>
      </c>
      <c r="V101" s="4" t="str">
        <f t="shared" si="5"/>
        <v>LIFE SCIENCESLIFE SCIENCESAUTHORIZEDADD-ON</v>
      </c>
    </row>
    <row r="102" spans="1:22" ht="29.25" customHeight="1" thickBot="1">
      <c r="A102" s="10" t="s">
        <v>21</v>
      </c>
      <c r="B102" s="10" t="s">
        <v>22</v>
      </c>
      <c r="C102" s="10" t="s">
        <v>500</v>
      </c>
      <c r="D102" s="10" t="s">
        <v>501</v>
      </c>
      <c r="E102" s="10" t="s">
        <v>502</v>
      </c>
      <c r="F102" s="10" t="s">
        <v>503</v>
      </c>
      <c r="G102" s="11">
        <v>427</v>
      </c>
      <c r="H102" s="163" t="s">
        <v>509</v>
      </c>
      <c r="I102" s="158" t="s">
        <v>510</v>
      </c>
      <c r="J102" s="163" t="s">
        <v>506</v>
      </c>
      <c r="K102" s="10" t="s">
        <v>30</v>
      </c>
      <c r="L102" s="10">
        <v>0</v>
      </c>
      <c r="M102" s="10">
        <f t="shared" si="4"/>
        <v>0</v>
      </c>
      <c r="N102" s="15">
        <v>5</v>
      </c>
      <c r="O102" s="16">
        <v>1.67</v>
      </c>
      <c r="P102" s="11">
        <v>712</v>
      </c>
      <c r="Q102" s="10" t="s">
        <v>36</v>
      </c>
      <c r="R102" s="4" t="s">
        <v>1292</v>
      </c>
      <c r="S102" s="4" t="s">
        <v>1292</v>
      </c>
      <c r="T102" s="4" t="s">
        <v>19</v>
      </c>
      <c r="U102" s="4" t="s">
        <v>507</v>
      </c>
      <c r="V102" s="4" t="str">
        <f t="shared" si="5"/>
        <v>LIFE SCIENCESLIFE SCIENCESAUTHORIZEDADD-ON</v>
      </c>
    </row>
    <row r="103" spans="1:22" ht="15" thickBot="1">
      <c r="A103" s="10" t="s">
        <v>21</v>
      </c>
      <c r="B103" s="10" t="s">
        <v>22</v>
      </c>
      <c r="C103" s="10" t="s">
        <v>500</v>
      </c>
      <c r="D103" s="10" t="s">
        <v>501</v>
      </c>
      <c r="E103" s="10" t="s">
        <v>502</v>
      </c>
      <c r="F103" s="10" t="s">
        <v>503</v>
      </c>
      <c r="G103" s="11">
        <v>6980</v>
      </c>
      <c r="H103" s="163" t="s">
        <v>573</v>
      </c>
      <c r="I103" s="158" t="s">
        <v>574</v>
      </c>
      <c r="J103" s="163" t="s">
        <v>573</v>
      </c>
      <c r="K103" s="10" t="s">
        <v>30</v>
      </c>
      <c r="L103" s="10">
        <v>10</v>
      </c>
      <c r="M103" s="10">
        <f t="shared" si="4"/>
        <v>3.33</v>
      </c>
      <c r="N103" s="10">
        <v>5</v>
      </c>
      <c r="O103" s="12">
        <v>1.6666666666666667</v>
      </c>
      <c r="P103" s="11">
        <v>6980</v>
      </c>
      <c r="Q103" s="10" t="s">
        <v>33</v>
      </c>
      <c r="R103" s="4" t="s">
        <v>1292</v>
      </c>
      <c r="S103" s="4" t="s">
        <v>1292</v>
      </c>
      <c r="T103" s="4" t="s">
        <v>19</v>
      </c>
      <c r="U103" s="4" t="str">
        <f>IF(ISNUMBER(SEARCH("ADD-ON",$I103)),"ADD-ON","NOT AN ADD-ON")</f>
        <v>NOT AN ADD-ON</v>
      </c>
      <c r="V103" s="4" t="str">
        <f t="shared" si="5"/>
        <v>LIFE SCIENCESLIFE SCIENCESAUTHORIZEDNOT AN ADD-ON</v>
      </c>
    </row>
    <row r="104" spans="1:22" ht="15" thickBot="1">
      <c r="A104" s="10" t="s">
        <v>21</v>
      </c>
      <c r="B104" s="10" t="s">
        <v>22</v>
      </c>
      <c r="C104" s="10" t="s">
        <v>500</v>
      </c>
      <c r="D104" s="10" t="s">
        <v>501</v>
      </c>
      <c r="E104" s="10" t="s">
        <v>502</v>
      </c>
      <c r="F104" s="10" t="s">
        <v>503</v>
      </c>
      <c r="G104" s="11">
        <v>4180</v>
      </c>
      <c r="H104" s="163" t="s">
        <v>575</v>
      </c>
      <c r="I104" s="158" t="s">
        <v>576</v>
      </c>
      <c r="J104" s="163" t="s">
        <v>573</v>
      </c>
      <c r="K104" s="10" t="s">
        <v>30</v>
      </c>
      <c r="L104" s="10">
        <v>10</v>
      </c>
      <c r="M104" s="10">
        <f t="shared" si="4"/>
        <v>3.33</v>
      </c>
      <c r="N104" s="10">
        <v>5</v>
      </c>
      <c r="O104" s="12">
        <v>1.6666666666666667</v>
      </c>
      <c r="P104" s="11">
        <v>6980</v>
      </c>
      <c r="Q104" s="10" t="s">
        <v>36</v>
      </c>
      <c r="R104" s="4" t="s">
        <v>1292</v>
      </c>
      <c r="S104" s="4" t="s">
        <v>1292</v>
      </c>
      <c r="T104" s="4" t="s">
        <v>19</v>
      </c>
      <c r="U104" s="4" t="str">
        <f>IF(ISNUMBER(SEARCH("ADD-ON",$I104)),"ADD-ON","NOT AN ADD-ON")</f>
        <v>NOT AN ADD-ON</v>
      </c>
      <c r="V104" s="4" t="str">
        <f t="shared" si="5"/>
        <v>LIFE SCIENCESLIFE SCIENCESAUTHORIZEDNOT AN ADD-ON</v>
      </c>
    </row>
    <row r="105" spans="1:22" ht="29.25" customHeight="1" thickBot="1">
      <c r="A105" s="10" t="s">
        <v>21</v>
      </c>
      <c r="B105" s="10" t="s">
        <v>22</v>
      </c>
      <c r="C105" s="10" t="s">
        <v>500</v>
      </c>
      <c r="D105" s="10" t="s">
        <v>501</v>
      </c>
      <c r="E105" s="10" t="s">
        <v>502</v>
      </c>
      <c r="F105" s="10" t="s">
        <v>503</v>
      </c>
      <c r="G105" s="11">
        <v>1920</v>
      </c>
      <c r="H105" s="163" t="s">
        <v>565</v>
      </c>
      <c r="I105" s="166" t="s">
        <v>566</v>
      </c>
      <c r="J105" s="163" t="s">
        <v>561</v>
      </c>
      <c r="K105" s="10" t="s">
        <v>30</v>
      </c>
      <c r="L105" s="10">
        <v>10</v>
      </c>
      <c r="M105" s="10">
        <f t="shared" si="4"/>
        <v>3.33</v>
      </c>
      <c r="N105" s="10">
        <v>5</v>
      </c>
      <c r="O105" s="12">
        <v>1.6666666666666667</v>
      </c>
      <c r="P105" s="11">
        <v>712</v>
      </c>
      <c r="Q105" s="10" t="s">
        <v>48</v>
      </c>
      <c r="R105" s="4" t="s">
        <v>1292</v>
      </c>
      <c r="S105" s="4" t="s">
        <v>1292</v>
      </c>
      <c r="T105" s="4" t="s">
        <v>19</v>
      </c>
      <c r="U105" s="4" t="str">
        <f>IF(ISNUMBER(SEARCH("ADD-ON",$I105)),"ADD-ON","NOT AN ADD-ON")</f>
        <v>NOT AN ADD-ON</v>
      </c>
      <c r="V105" s="4" t="str">
        <f t="shared" si="5"/>
        <v>LIFE SCIENCESLIFE SCIENCESAUTHORIZEDNOT AN ADD-ON</v>
      </c>
    </row>
    <row r="106" spans="1:22" ht="29.25" customHeight="1" thickBot="1">
      <c r="A106" s="10" t="s">
        <v>21</v>
      </c>
      <c r="B106" s="10" t="s">
        <v>22</v>
      </c>
      <c r="C106" s="10" t="s">
        <v>500</v>
      </c>
      <c r="D106" s="10" t="s">
        <v>501</v>
      </c>
      <c r="E106" s="10" t="s">
        <v>502</v>
      </c>
      <c r="F106" s="10" t="s">
        <v>503</v>
      </c>
      <c r="G106" s="11">
        <v>4710</v>
      </c>
      <c r="H106" s="163" t="s">
        <v>567</v>
      </c>
      <c r="I106" s="166" t="s">
        <v>568</v>
      </c>
      <c r="J106" s="163" t="s">
        <v>561</v>
      </c>
      <c r="K106" s="10" t="s">
        <v>30</v>
      </c>
      <c r="L106" s="10">
        <v>10</v>
      </c>
      <c r="M106" s="10">
        <f t="shared" si="4"/>
        <v>3.33</v>
      </c>
      <c r="N106" s="10">
        <v>5</v>
      </c>
      <c r="O106" s="12">
        <v>1.6666666666666667</v>
      </c>
      <c r="P106" s="11">
        <v>712</v>
      </c>
      <c r="Q106" s="10" t="s">
        <v>48</v>
      </c>
      <c r="R106" s="4" t="s">
        <v>1292</v>
      </c>
      <c r="S106" s="4" t="s">
        <v>1292</v>
      </c>
      <c r="T106" s="4" t="s">
        <v>19</v>
      </c>
      <c r="U106" s="4" t="str">
        <f>IF(ISNUMBER(SEARCH("ADD-ON",$I106)),"ADD-ON","NOT AN ADD-ON")</f>
        <v>NOT AN ADD-ON</v>
      </c>
      <c r="V106" s="4" t="str">
        <f t="shared" si="5"/>
        <v>LIFE SCIENCESLIFE SCIENCESAUTHORIZEDNOT AN ADD-ON</v>
      </c>
    </row>
    <row r="107" spans="1:22" ht="15" thickBot="1">
      <c r="A107" s="10" t="s">
        <v>21</v>
      </c>
      <c r="B107" s="10" t="s">
        <v>22</v>
      </c>
      <c r="C107" s="10" t="s">
        <v>500</v>
      </c>
      <c r="D107" s="10" t="s">
        <v>501</v>
      </c>
      <c r="E107" s="10" t="s">
        <v>502</v>
      </c>
      <c r="F107" s="10" t="s">
        <v>503</v>
      </c>
      <c r="G107" s="11">
        <v>712</v>
      </c>
      <c r="H107" s="163" t="s">
        <v>561</v>
      </c>
      <c r="I107" s="158" t="s">
        <v>562</v>
      </c>
      <c r="J107" s="163" t="s">
        <v>561</v>
      </c>
      <c r="K107" s="10" t="s">
        <v>30</v>
      </c>
      <c r="L107" s="10">
        <v>0</v>
      </c>
      <c r="M107" s="10">
        <f t="shared" si="4"/>
        <v>0</v>
      </c>
      <c r="N107" s="10">
        <v>5</v>
      </c>
      <c r="O107" s="12">
        <v>1.6666666666666667</v>
      </c>
      <c r="P107" s="11">
        <v>712</v>
      </c>
      <c r="Q107" s="10" t="s">
        <v>33</v>
      </c>
      <c r="R107" s="4" t="s">
        <v>1292</v>
      </c>
      <c r="S107" s="4" t="s">
        <v>1292</v>
      </c>
      <c r="T107" s="4" t="s">
        <v>19</v>
      </c>
      <c r="U107" s="4" t="s">
        <v>507</v>
      </c>
      <c r="V107" s="4" t="str">
        <f t="shared" si="5"/>
        <v>LIFE SCIENCESLIFE SCIENCESAUTHORIZEDADD-ON</v>
      </c>
    </row>
    <row r="108" spans="1:22" ht="29.25" customHeight="1" thickBot="1">
      <c r="A108" s="10" t="s">
        <v>21</v>
      </c>
      <c r="B108" s="10" t="s">
        <v>22</v>
      </c>
      <c r="C108" s="10" t="s">
        <v>500</v>
      </c>
      <c r="D108" s="10" t="s">
        <v>501</v>
      </c>
      <c r="E108" s="10" t="s">
        <v>502</v>
      </c>
      <c r="F108" s="10" t="s">
        <v>503</v>
      </c>
      <c r="G108" s="11">
        <v>427</v>
      </c>
      <c r="H108" s="163" t="s">
        <v>563</v>
      </c>
      <c r="I108" s="158" t="s">
        <v>564</v>
      </c>
      <c r="J108" s="163" t="s">
        <v>561</v>
      </c>
      <c r="K108" s="10" t="s">
        <v>30</v>
      </c>
      <c r="L108" s="10">
        <v>0</v>
      </c>
      <c r="M108" s="10">
        <f t="shared" si="4"/>
        <v>0</v>
      </c>
      <c r="N108" s="10">
        <v>5</v>
      </c>
      <c r="O108" s="12">
        <v>1.6666666666666667</v>
      </c>
      <c r="P108" s="11">
        <v>712</v>
      </c>
      <c r="Q108" s="10" t="s">
        <v>36</v>
      </c>
      <c r="R108" s="4" t="s">
        <v>1292</v>
      </c>
      <c r="S108" s="4" t="s">
        <v>1292</v>
      </c>
      <c r="T108" s="4" t="s">
        <v>19</v>
      </c>
      <c r="U108" s="4" t="s">
        <v>507</v>
      </c>
      <c r="V108" s="4" t="str">
        <f t="shared" si="5"/>
        <v>LIFE SCIENCESLIFE SCIENCESAUTHORIZEDADD-ON</v>
      </c>
    </row>
    <row r="109" spans="1:22" ht="15" thickBot="1">
      <c r="A109" s="10" t="s">
        <v>21</v>
      </c>
      <c r="B109" s="10" t="s">
        <v>22</v>
      </c>
      <c r="C109" s="10" t="s">
        <v>1044</v>
      </c>
      <c r="D109" s="10" t="s">
        <v>1045</v>
      </c>
      <c r="E109" s="10" t="s">
        <v>1046</v>
      </c>
      <c r="F109" s="10" t="s">
        <v>1047</v>
      </c>
      <c r="G109" s="11">
        <v>35700</v>
      </c>
      <c r="H109" s="163" t="s">
        <v>1085</v>
      </c>
      <c r="I109" s="158" t="s">
        <v>1086</v>
      </c>
      <c r="J109" s="163" t="s">
        <v>1085</v>
      </c>
      <c r="K109" s="10" t="s">
        <v>1079</v>
      </c>
      <c r="L109" s="10">
        <v>20</v>
      </c>
      <c r="M109" s="10">
        <f t="shared" si="4"/>
        <v>20</v>
      </c>
      <c r="N109" s="10">
        <v>20</v>
      </c>
      <c r="O109" s="12">
        <v>1</v>
      </c>
      <c r="P109" s="11">
        <v>35700</v>
      </c>
      <c r="Q109" s="10" t="s">
        <v>33</v>
      </c>
      <c r="R109" s="4" t="s">
        <v>1291</v>
      </c>
      <c r="S109" s="4" t="s">
        <v>507</v>
      </c>
      <c r="T109" s="4" t="s">
        <v>1384</v>
      </c>
      <c r="U109" s="4" t="str">
        <f t="shared" ref="U109:U140" si="7">IF(ISNUMBER(SEARCH("ADD-ON",$I109)),"ADD-ON","NOT AN ADD-ON")</f>
        <v>NOT AN ADD-ON</v>
      </c>
      <c r="V109" s="4" t="str">
        <f t="shared" si="5"/>
        <v>SPATIALADD-ONINSTALLNOT AN ADD-ON</v>
      </c>
    </row>
    <row r="110" spans="1:22" ht="29.25" customHeight="1" thickBot="1">
      <c r="A110" s="10" t="s">
        <v>21</v>
      </c>
      <c r="B110" s="10" t="s">
        <v>22</v>
      </c>
      <c r="C110" s="10" t="s">
        <v>1044</v>
      </c>
      <c r="D110" s="10" t="s">
        <v>1045</v>
      </c>
      <c r="E110" s="10" t="s">
        <v>1046</v>
      </c>
      <c r="F110" s="10" t="s">
        <v>1047</v>
      </c>
      <c r="G110" s="11">
        <v>21400</v>
      </c>
      <c r="H110" s="163" t="s">
        <v>1087</v>
      </c>
      <c r="I110" s="158" t="s">
        <v>1088</v>
      </c>
      <c r="J110" s="163" t="s">
        <v>1085</v>
      </c>
      <c r="K110" s="10" t="s">
        <v>1079</v>
      </c>
      <c r="L110" s="10">
        <v>20</v>
      </c>
      <c r="M110" s="10">
        <f t="shared" si="4"/>
        <v>20</v>
      </c>
      <c r="N110" s="10">
        <v>20</v>
      </c>
      <c r="O110" s="12">
        <v>1</v>
      </c>
      <c r="P110" s="11">
        <v>35700</v>
      </c>
      <c r="Q110" s="10" t="s">
        <v>36</v>
      </c>
      <c r="R110" s="4" t="s">
        <v>1291</v>
      </c>
      <c r="S110" s="4" t="s">
        <v>507</v>
      </c>
      <c r="T110" s="4" t="s">
        <v>1384</v>
      </c>
      <c r="U110" s="4" t="str">
        <f t="shared" si="7"/>
        <v>NOT AN ADD-ON</v>
      </c>
      <c r="V110" s="4" t="str">
        <f t="shared" si="5"/>
        <v>SPATIALADD-ONINSTALLNOT AN ADD-ON</v>
      </c>
    </row>
    <row r="111" spans="1:22" ht="29.25" customHeight="1" thickBot="1">
      <c r="A111" s="10" t="s">
        <v>21</v>
      </c>
      <c r="B111" s="10" t="s">
        <v>22</v>
      </c>
      <c r="C111" s="10" t="s">
        <v>1044</v>
      </c>
      <c r="D111" s="10" t="s">
        <v>1045</v>
      </c>
      <c r="E111" s="10" t="s">
        <v>1046</v>
      </c>
      <c r="F111" s="10" t="s">
        <v>1047</v>
      </c>
      <c r="G111" s="11">
        <v>215</v>
      </c>
      <c r="H111" s="163" t="s">
        <v>1050</v>
      </c>
      <c r="I111" s="158" t="s">
        <v>1051</v>
      </c>
      <c r="J111" s="163" t="s">
        <v>1050</v>
      </c>
      <c r="K111" s="10" t="s">
        <v>30</v>
      </c>
      <c r="L111" s="10">
        <v>0</v>
      </c>
      <c r="M111" s="10">
        <f t="shared" si="4"/>
        <v>0</v>
      </c>
      <c r="N111" s="10">
        <v>5</v>
      </c>
      <c r="O111" s="12">
        <v>1.6666666666666667</v>
      </c>
      <c r="P111" s="11">
        <v>215</v>
      </c>
      <c r="Q111" s="10" t="s">
        <v>33</v>
      </c>
      <c r="R111" s="4" t="s">
        <v>1291</v>
      </c>
      <c r="S111" s="4" t="s">
        <v>507</v>
      </c>
      <c r="T111" s="4" t="s">
        <v>19</v>
      </c>
      <c r="U111" s="4" t="str">
        <f t="shared" si="7"/>
        <v>NOT AN ADD-ON</v>
      </c>
      <c r="V111" s="4" t="str">
        <f t="shared" si="5"/>
        <v>SPATIALADD-ONAUTHORIZEDNOT AN ADD-ON</v>
      </c>
    </row>
    <row r="112" spans="1:22" ht="29.25" customHeight="1" thickBot="1">
      <c r="A112" s="10" t="s">
        <v>21</v>
      </c>
      <c r="B112" s="10" t="s">
        <v>22</v>
      </c>
      <c r="C112" s="10" t="s">
        <v>1044</v>
      </c>
      <c r="D112" s="10" t="s">
        <v>1045</v>
      </c>
      <c r="E112" s="10" t="s">
        <v>1046</v>
      </c>
      <c r="F112" s="10" t="s">
        <v>1047</v>
      </c>
      <c r="G112" s="11">
        <v>130</v>
      </c>
      <c r="H112" s="163" t="s">
        <v>1052</v>
      </c>
      <c r="I112" s="158" t="s">
        <v>1053</v>
      </c>
      <c r="J112" s="163" t="s">
        <v>1050</v>
      </c>
      <c r="K112" s="10" t="s">
        <v>30</v>
      </c>
      <c r="L112" s="10">
        <v>0</v>
      </c>
      <c r="M112" s="10">
        <f t="shared" si="4"/>
        <v>0</v>
      </c>
      <c r="N112" s="10">
        <v>5</v>
      </c>
      <c r="O112" s="12">
        <v>1.6666666666666667</v>
      </c>
      <c r="P112" s="11">
        <v>215</v>
      </c>
      <c r="Q112" s="10" t="s">
        <v>36</v>
      </c>
      <c r="R112" s="4" t="s">
        <v>1291</v>
      </c>
      <c r="S112" s="4" t="s">
        <v>507</v>
      </c>
      <c r="T112" s="4" t="s">
        <v>19</v>
      </c>
      <c r="U112" s="4" t="str">
        <f t="shared" si="7"/>
        <v>NOT AN ADD-ON</v>
      </c>
      <c r="V112" s="4" t="str">
        <f t="shared" si="5"/>
        <v>SPATIALADD-ONAUTHORIZEDNOT AN ADD-ON</v>
      </c>
    </row>
    <row r="113" spans="1:22" ht="15" thickBot="1">
      <c r="A113" s="10" t="s">
        <v>21</v>
      </c>
      <c r="B113" s="10" t="s">
        <v>22</v>
      </c>
      <c r="C113" s="10" t="s">
        <v>1044</v>
      </c>
      <c r="D113" s="10" t="s">
        <v>1045</v>
      </c>
      <c r="E113" s="10" t="s">
        <v>1046</v>
      </c>
      <c r="F113" s="10" t="s">
        <v>1047</v>
      </c>
      <c r="G113" s="11">
        <v>215</v>
      </c>
      <c r="H113" s="163" t="s">
        <v>1072</v>
      </c>
      <c r="I113" s="158" t="s">
        <v>1073</v>
      </c>
      <c r="J113" s="163" t="s">
        <v>1072</v>
      </c>
      <c r="K113" s="10" t="s">
        <v>30</v>
      </c>
      <c r="L113" s="10">
        <v>0</v>
      </c>
      <c r="M113" s="10">
        <f t="shared" si="4"/>
        <v>0</v>
      </c>
      <c r="N113" s="10">
        <v>5</v>
      </c>
      <c r="O113" s="12">
        <v>1.6666666666666667</v>
      </c>
      <c r="P113" s="11">
        <v>215</v>
      </c>
      <c r="Q113" s="10" t="s">
        <v>33</v>
      </c>
      <c r="R113" s="4" t="s">
        <v>1291</v>
      </c>
      <c r="S113" s="4" t="s">
        <v>507</v>
      </c>
      <c r="T113" s="4" t="s">
        <v>19</v>
      </c>
      <c r="U113" s="4" t="str">
        <f t="shared" si="7"/>
        <v>NOT AN ADD-ON</v>
      </c>
      <c r="V113" s="4" t="str">
        <f t="shared" si="5"/>
        <v>SPATIALADD-ONAUTHORIZEDNOT AN ADD-ON</v>
      </c>
    </row>
    <row r="114" spans="1:22" ht="29.25" customHeight="1" thickBot="1">
      <c r="A114" s="10" t="s">
        <v>21</v>
      </c>
      <c r="B114" s="10" t="s">
        <v>22</v>
      </c>
      <c r="C114" s="10" t="s">
        <v>1044</v>
      </c>
      <c r="D114" s="10" t="s">
        <v>1045</v>
      </c>
      <c r="E114" s="10" t="s">
        <v>1046</v>
      </c>
      <c r="F114" s="10" t="s">
        <v>1047</v>
      </c>
      <c r="G114" s="11">
        <v>130</v>
      </c>
      <c r="H114" s="163" t="s">
        <v>1074</v>
      </c>
      <c r="I114" s="158" t="s">
        <v>1075</v>
      </c>
      <c r="J114" s="163" t="s">
        <v>1072</v>
      </c>
      <c r="K114" s="10" t="s">
        <v>30</v>
      </c>
      <c r="L114" s="10">
        <v>0</v>
      </c>
      <c r="M114" s="10">
        <f t="shared" si="4"/>
        <v>0</v>
      </c>
      <c r="N114" s="10">
        <v>5</v>
      </c>
      <c r="O114" s="12">
        <v>1.6666666666666667</v>
      </c>
      <c r="P114" s="11">
        <v>215</v>
      </c>
      <c r="Q114" s="10" t="s">
        <v>36</v>
      </c>
      <c r="R114" s="4" t="s">
        <v>1291</v>
      </c>
      <c r="S114" s="4" t="s">
        <v>507</v>
      </c>
      <c r="T114" s="4" t="s">
        <v>19</v>
      </c>
      <c r="U114" s="4" t="str">
        <f t="shared" si="7"/>
        <v>NOT AN ADD-ON</v>
      </c>
      <c r="V114" s="4" t="str">
        <f t="shared" si="5"/>
        <v>SPATIALADD-ONAUTHORIZEDNOT AN ADD-ON</v>
      </c>
    </row>
    <row r="115" spans="1:22" ht="15" thickBot="1">
      <c r="A115" s="10" t="s">
        <v>21</v>
      </c>
      <c r="B115" s="10" t="s">
        <v>22</v>
      </c>
      <c r="C115" s="10" t="s">
        <v>1044</v>
      </c>
      <c r="D115" s="10" t="s">
        <v>1045</v>
      </c>
      <c r="E115" s="10" t="s">
        <v>1046</v>
      </c>
      <c r="F115" s="10" t="s">
        <v>1047</v>
      </c>
      <c r="G115" s="11">
        <v>35700</v>
      </c>
      <c r="H115" s="163" t="s">
        <v>1078</v>
      </c>
      <c r="I115" s="158" t="s">
        <v>1080</v>
      </c>
      <c r="J115" s="163" t="s">
        <v>1078</v>
      </c>
      <c r="K115" s="10" t="s">
        <v>1079</v>
      </c>
      <c r="L115" s="10">
        <v>20</v>
      </c>
      <c r="M115" s="10">
        <f t="shared" si="4"/>
        <v>20</v>
      </c>
      <c r="N115" s="10">
        <v>20</v>
      </c>
      <c r="O115" s="12">
        <v>1</v>
      </c>
      <c r="P115" s="11">
        <v>35700</v>
      </c>
      <c r="Q115" s="10" t="s">
        <v>33</v>
      </c>
      <c r="R115" s="4" t="s">
        <v>1291</v>
      </c>
      <c r="S115" s="4" t="s">
        <v>507</v>
      </c>
      <c r="T115" s="4" t="s">
        <v>1384</v>
      </c>
      <c r="U115" s="4" t="str">
        <f t="shared" si="7"/>
        <v>NOT AN ADD-ON</v>
      </c>
      <c r="V115" s="4" t="str">
        <f t="shared" si="5"/>
        <v>SPATIALADD-ONINSTALLNOT AN ADD-ON</v>
      </c>
    </row>
    <row r="116" spans="1:22" ht="29.25" customHeight="1" thickBot="1">
      <c r="A116" s="10" t="s">
        <v>21</v>
      </c>
      <c r="B116" s="10" t="s">
        <v>22</v>
      </c>
      <c r="C116" s="10" t="s">
        <v>1044</v>
      </c>
      <c r="D116" s="10" t="s">
        <v>1045</v>
      </c>
      <c r="E116" s="10" t="s">
        <v>1046</v>
      </c>
      <c r="F116" s="10" t="s">
        <v>1047</v>
      </c>
      <c r="G116" s="11">
        <v>21400</v>
      </c>
      <c r="H116" s="163" t="s">
        <v>1081</v>
      </c>
      <c r="I116" s="158" t="s">
        <v>1082</v>
      </c>
      <c r="J116" s="163" t="s">
        <v>1078</v>
      </c>
      <c r="K116" s="10" t="s">
        <v>1079</v>
      </c>
      <c r="L116" s="10">
        <v>20</v>
      </c>
      <c r="M116" s="10">
        <f t="shared" si="4"/>
        <v>20</v>
      </c>
      <c r="N116" s="10">
        <v>20</v>
      </c>
      <c r="O116" s="12">
        <v>1</v>
      </c>
      <c r="P116" s="11">
        <v>35700</v>
      </c>
      <c r="Q116" s="10" t="s">
        <v>36</v>
      </c>
      <c r="R116" s="4" t="s">
        <v>1291</v>
      </c>
      <c r="S116" s="4" t="s">
        <v>507</v>
      </c>
      <c r="T116" s="4" t="s">
        <v>1384</v>
      </c>
      <c r="U116" s="4" t="str">
        <f t="shared" si="7"/>
        <v>NOT AN ADD-ON</v>
      </c>
      <c r="V116" s="4" t="str">
        <f t="shared" si="5"/>
        <v>SPATIALADD-ONINSTALLNOT AN ADD-ON</v>
      </c>
    </row>
    <row r="117" spans="1:22" ht="15" thickBot="1">
      <c r="A117" s="10" t="s">
        <v>21</v>
      </c>
      <c r="B117" s="10" t="s">
        <v>22</v>
      </c>
      <c r="C117" s="10" t="s">
        <v>986</v>
      </c>
      <c r="D117" s="10" t="s">
        <v>141</v>
      </c>
      <c r="E117" s="10" t="s">
        <v>142</v>
      </c>
      <c r="F117" s="10" t="s">
        <v>143</v>
      </c>
      <c r="G117" s="11">
        <v>2680</v>
      </c>
      <c r="H117" s="163" t="s">
        <v>995</v>
      </c>
      <c r="I117" s="166" t="s">
        <v>996</v>
      </c>
      <c r="J117" s="163" t="s">
        <v>995</v>
      </c>
      <c r="K117" s="10" t="s">
        <v>30</v>
      </c>
      <c r="L117" s="10">
        <v>15</v>
      </c>
      <c r="M117" s="10">
        <f t="shared" si="4"/>
        <v>5</v>
      </c>
      <c r="N117" s="10">
        <v>15</v>
      </c>
      <c r="O117" s="12">
        <v>5</v>
      </c>
      <c r="P117" s="11">
        <v>2680</v>
      </c>
      <c r="Q117" s="10" t="s">
        <v>33</v>
      </c>
      <c r="R117" s="4" t="s">
        <v>1293</v>
      </c>
      <c r="S117" s="4" t="s">
        <v>1383</v>
      </c>
      <c r="T117" s="4" t="s">
        <v>19</v>
      </c>
      <c r="U117" s="4" t="str">
        <f t="shared" si="7"/>
        <v>NOT AN ADD-ON</v>
      </c>
      <c r="V117" s="4" t="str">
        <f t="shared" si="5"/>
        <v>HEALTH SAFETY AND ENVIRONMENT MANAGERHSEAUTHORIZEDNOT AN ADD-ON</v>
      </c>
    </row>
    <row r="118" spans="1:22" ht="15" thickBot="1">
      <c r="A118" s="10" t="s">
        <v>21</v>
      </c>
      <c r="B118" s="10" t="s">
        <v>22</v>
      </c>
      <c r="C118" s="10" t="s">
        <v>986</v>
      </c>
      <c r="D118" s="10" t="s">
        <v>141</v>
      </c>
      <c r="E118" s="10" t="s">
        <v>142</v>
      </c>
      <c r="F118" s="10" t="s">
        <v>143</v>
      </c>
      <c r="G118" s="11">
        <v>1610</v>
      </c>
      <c r="H118" s="163" t="s">
        <v>997</v>
      </c>
      <c r="I118" s="166" t="s">
        <v>998</v>
      </c>
      <c r="J118" s="163" t="s">
        <v>995</v>
      </c>
      <c r="K118" s="10" t="s">
        <v>30</v>
      </c>
      <c r="L118" s="10">
        <v>15</v>
      </c>
      <c r="M118" s="10">
        <f t="shared" si="4"/>
        <v>5</v>
      </c>
      <c r="N118" s="10">
        <v>15</v>
      </c>
      <c r="O118" s="12">
        <v>5</v>
      </c>
      <c r="P118" s="11">
        <v>2680</v>
      </c>
      <c r="Q118" s="10" t="s">
        <v>36</v>
      </c>
      <c r="R118" s="4" t="s">
        <v>1293</v>
      </c>
      <c r="S118" s="4" t="s">
        <v>1383</v>
      </c>
      <c r="T118" s="4" t="s">
        <v>19</v>
      </c>
      <c r="U118" s="4" t="str">
        <f t="shared" si="7"/>
        <v>NOT AN ADD-ON</v>
      </c>
      <c r="V118" s="4" t="str">
        <f t="shared" si="5"/>
        <v>HEALTH SAFETY AND ENVIRONMENT MANAGERHSEAUTHORIZEDNOT AN ADD-ON</v>
      </c>
    </row>
    <row r="119" spans="1:22" ht="29.25" customHeight="1" thickBot="1">
      <c r="A119" s="10" t="s">
        <v>21</v>
      </c>
      <c r="B119" s="10" t="s">
        <v>22</v>
      </c>
      <c r="C119" s="10" t="s">
        <v>986</v>
      </c>
      <c r="D119" s="10" t="s">
        <v>141</v>
      </c>
      <c r="E119" s="10" t="s">
        <v>142</v>
      </c>
      <c r="F119" s="10" t="s">
        <v>143</v>
      </c>
      <c r="G119" s="11">
        <v>2680</v>
      </c>
      <c r="H119" s="163" t="s">
        <v>1001</v>
      </c>
      <c r="I119" s="158" t="s">
        <v>1002</v>
      </c>
      <c r="J119" s="163" t="s">
        <v>1001</v>
      </c>
      <c r="K119" s="10" t="s">
        <v>30</v>
      </c>
      <c r="L119" s="10">
        <v>15</v>
      </c>
      <c r="M119" s="10">
        <f t="shared" si="4"/>
        <v>5</v>
      </c>
      <c r="N119" s="10">
        <v>15</v>
      </c>
      <c r="O119" s="12">
        <v>5</v>
      </c>
      <c r="P119" s="11">
        <v>2680</v>
      </c>
      <c r="Q119" s="10" t="s">
        <v>33</v>
      </c>
      <c r="R119" s="4" t="s">
        <v>1293</v>
      </c>
      <c r="S119" s="4" t="s">
        <v>1383</v>
      </c>
      <c r="T119" s="4" t="s">
        <v>19</v>
      </c>
      <c r="U119" s="4" t="str">
        <f t="shared" si="7"/>
        <v>NOT AN ADD-ON</v>
      </c>
      <c r="V119" s="4" t="str">
        <f t="shared" si="5"/>
        <v>HEALTH SAFETY AND ENVIRONMENT MANAGERHSEAUTHORIZEDNOT AN ADD-ON</v>
      </c>
    </row>
    <row r="120" spans="1:22" ht="29.25" customHeight="1" thickBot="1">
      <c r="A120" s="10" t="s">
        <v>21</v>
      </c>
      <c r="B120" s="10" t="s">
        <v>22</v>
      </c>
      <c r="C120" s="10" t="s">
        <v>986</v>
      </c>
      <c r="D120" s="10" t="s">
        <v>141</v>
      </c>
      <c r="E120" s="10" t="s">
        <v>142</v>
      </c>
      <c r="F120" s="10" t="s">
        <v>143</v>
      </c>
      <c r="G120" s="11">
        <v>1610</v>
      </c>
      <c r="H120" s="163" t="s">
        <v>1003</v>
      </c>
      <c r="I120" s="158" t="s">
        <v>1004</v>
      </c>
      <c r="J120" s="163" t="s">
        <v>1001</v>
      </c>
      <c r="K120" s="10" t="s">
        <v>30</v>
      </c>
      <c r="L120" s="10">
        <v>15</v>
      </c>
      <c r="M120" s="10">
        <f t="shared" si="4"/>
        <v>5</v>
      </c>
      <c r="N120" s="10">
        <v>15</v>
      </c>
      <c r="O120" s="12">
        <v>5</v>
      </c>
      <c r="P120" s="11">
        <v>2680</v>
      </c>
      <c r="Q120" s="10" t="s">
        <v>36</v>
      </c>
      <c r="R120" s="4" t="s">
        <v>1293</v>
      </c>
      <c r="S120" s="4" t="s">
        <v>1383</v>
      </c>
      <c r="T120" s="4" t="s">
        <v>19</v>
      </c>
      <c r="U120" s="4" t="str">
        <f t="shared" si="7"/>
        <v>NOT AN ADD-ON</v>
      </c>
      <c r="V120" s="4" t="str">
        <f t="shared" si="5"/>
        <v>HEALTH SAFETY AND ENVIRONMENT MANAGERHSEAUTHORIZEDNOT AN ADD-ON</v>
      </c>
    </row>
    <row r="121" spans="1:22" ht="15" thickBot="1">
      <c r="A121" s="10" t="s">
        <v>21</v>
      </c>
      <c r="B121" s="10" t="s">
        <v>22</v>
      </c>
      <c r="C121" s="10" t="s">
        <v>140</v>
      </c>
      <c r="D121" s="10" t="s">
        <v>141</v>
      </c>
      <c r="E121" s="10" t="s">
        <v>142</v>
      </c>
      <c r="F121" s="10" t="s">
        <v>143</v>
      </c>
      <c r="G121" s="11">
        <v>1190</v>
      </c>
      <c r="H121" s="163" t="s">
        <v>178</v>
      </c>
      <c r="I121" s="158" t="s">
        <v>179</v>
      </c>
      <c r="J121" s="163" t="s">
        <v>178</v>
      </c>
      <c r="K121" s="10" t="s">
        <v>30</v>
      </c>
      <c r="L121" s="10">
        <v>5</v>
      </c>
      <c r="M121" s="10">
        <f t="shared" si="4"/>
        <v>1.67</v>
      </c>
      <c r="N121" s="10">
        <v>5</v>
      </c>
      <c r="O121" s="12">
        <v>1.6666666666666667</v>
      </c>
      <c r="P121" s="11">
        <v>1190</v>
      </c>
      <c r="Q121" s="10" t="s">
        <v>33</v>
      </c>
      <c r="R121" s="4" t="s">
        <v>1278</v>
      </c>
      <c r="S121" s="4" t="s">
        <v>1278</v>
      </c>
      <c r="T121" s="4" t="s">
        <v>1381</v>
      </c>
      <c r="U121" s="4" t="str">
        <f t="shared" si="7"/>
        <v>NOT AN ADD-ON</v>
      </c>
      <c r="V121" s="4" t="str">
        <f t="shared" si="5"/>
        <v>ASSET MANAGEMENT (CORE)ASSET MANAGEMENT (CORE)EXPRESSNOT AN ADD-ON</v>
      </c>
    </row>
    <row r="122" spans="1:22" ht="15" thickBot="1">
      <c r="A122" s="10" t="s">
        <v>21</v>
      </c>
      <c r="B122" s="10" t="s">
        <v>22</v>
      </c>
      <c r="C122" s="10" t="s">
        <v>140</v>
      </c>
      <c r="D122" s="10" t="s">
        <v>141</v>
      </c>
      <c r="E122" s="10" t="s">
        <v>142</v>
      </c>
      <c r="F122" s="10" t="s">
        <v>143</v>
      </c>
      <c r="G122" s="11">
        <v>721</v>
      </c>
      <c r="H122" s="163" t="s">
        <v>180</v>
      </c>
      <c r="I122" s="158" t="s">
        <v>181</v>
      </c>
      <c r="J122" s="163" t="s">
        <v>178</v>
      </c>
      <c r="K122" s="10" t="s">
        <v>30</v>
      </c>
      <c r="L122" s="10">
        <v>5</v>
      </c>
      <c r="M122" s="10">
        <f t="shared" si="4"/>
        <v>1.67</v>
      </c>
      <c r="N122" s="10">
        <v>5</v>
      </c>
      <c r="O122" s="12">
        <v>1.6666666666666667</v>
      </c>
      <c r="P122" s="11">
        <v>1190</v>
      </c>
      <c r="Q122" s="10" t="s">
        <v>36</v>
      </c>
      <c r="R122" s="4" t="s">
        <v>1278</v>
      </c>
      <c r="S122" s="4" t="s">
        <v>1278</v>
      </c>
      <c r="T122" s="4" t="s">
        <v>1381</v>
      </c>
      <c r="U122" s="4" t="str">
        <f t="shared" si="7"/>
        <v>NOT AN ADD-ON</v>
      </c>
      <c r="V122" s="4" t="str">
        <f t="shared" si="5"/>
        <v>ASSET MANAGEMENT (CORE)ASSET MANAGEMENT (CORE)EXPRESSNOT AN ADD-ON</v>
      </c>
    </row>
    <row r="123" spans="1:22" ht="29.25" customHeight="1" thickBot="1">
      <c r="A123" s="10" t="s">
        <v>21</v>
      </c>
      <c r="B123" s="10" t="s">
        <v>22</v>
      </c>
      <c r="C123" s="10" t="s">
        <v>140</v>
      </c>
      <c r="D123" s="10" t="s">
        <v>141</v>
      </c>
      <c r="E123" s="10" t="s">
        <v>142</v>
      </c>
      <c r="F123" s="10" t="s">
        <v>143</v>
      </c>
      <c r="G123" s="11">
        <v>1190</v>
      </c>
      <c r="H123" s="163" t="s">
        <v>195</v>
      </c>
      <c r="I123" s="158" t="s">
        <v>196</v>
      </c>
      <c r="J123" s="163" t="s">
        <v>195</v>
      </c>
      <c r="K123" s="10" t="s">
        <v>30</v>
      </c>
      <c r="L123" s="10">
        <v>5</v>
      </c>
      <c r="M123" s="10">
        <f t="shared" si="4"/>
        <v>1.67</v>
      </c>
      <c r="N123" s="10">
        <v>5</v>
      </c>
      <c r="O123" s="12">
        <v>1.6666666666666667</v>
      </c>
      <c r="P123" s="11">
        <v>1190</v>
      </c>
      <c r="Q123" s="10" t="s">
        <v>33</v>
      </c>
      <c r="R123" s="4" t="s">
        <v>1278</v>
      </c>
      <c r="S123" s="4" t="s">
        <v>1278</v>
      </c>
      <c r="T123" s="4" t="s">
        <v>1381</v>
      </c>
      <c r="U123" s="4" t="str">
        <f t="shared" si="7"/>
        <v>NOT AN ADD-ON</v>
      </c>
      <c r="V123" s="4" t="str">
        <f t="shared" si="5"/>
        <v>ASSET MANAGEMENT (CORE)ASSET MANAGEMENT (CORE)EXPRESSNOT AN ADD-ON</v>
      </c>
    </row>
    <row r="124" spans="1:22" ht="15" thickBot="1">
      <c r="A124" s="10" t="s">
        <v>21</v>
      </c>
      <c r="B124" s="10" t="s">
        <v>22</v>
      </c>
      <c r="C124" s="10" t="s">
        <v>140</v>
      </c>
      <c r="D124" s="10" t="s">
        <v>141</v>
      </c>
      <c r="E124" s="10" t="s">
        <v>142</v>
      </c>
      <c r="F124" s="10" t="s">
        <v>143</v>
      </c>
      <c r="G124" s="11">
        <v>721</v>
      </c>
      <c r="H124" s="163" t="s">
        <v>197</v>
      </c>
      <c r="I124" s="158" t="s">
        <v>198</v>
      </c>
      <c r="J124" s="163" t="s">
        <v>195</v>
      </c>
      <c r="K124" s="10" t="s">
        <v>30</v>
      </c>
      <c r="L124" s="10">
        <v>5</v>
      </c>
      <c r="M124" s="10">
        <f t="shared" si="4"/>
        <v>1.67</v>
      </c>
      <c r="N124" s="10">
        <v>5</v>
      </c>
      <c r="O124" s="12">
        <v>1.6666666666666667</v>
      </c>
      <c r="P124" s="11">
        <v>1190</v>
      </c>
      <c r="Q124" s="10" t="s">
        <v>36</v>
      </c>
      <c r="R124" s="4" t="s">
        <v>1278</v>
      </c>
      <c r="S124" s="4" t="s">
        <v>1278</v>
      </c>
      <c r="T124" s="4" t="s">
        <v>1381</v>
      </c>
      <c r="U124" s="4" t="str">
        <f t="shared" si="7"/>
        <v>NOT AN ADD-ON</v>
      </c>
      <c r="V124" s="4" t="str">
        <f t="shared" si="5"/>
        <v>ASSET MANAGEMENT (CORE)ASSET MANAGEMENT (CORE)EXPRESSNOT AN ADD-ON</v>
      </c>
    </row>
    <row r="125" spans="1:22" ht="15" thickBot="1">
      <c r="A125" s="10" t="s">
        <v>21</v>
      </c>
      <c r="B125" s="10" t="s">
        <v>22</v>
      </c>
      <c r="C125" s="10" t="s">
        <v>593</v>
      </c>
      <c r="D125" s="10" t="s">
        <v>594</v>
      </c>
      <c r="E125" s="10" t="s">
        <v>595</v>
      </c>
      <c r="F125" s="10" t="s">
        <v>596</v>
      </c>
      <c r="G125" s="11">
        <v>3840</v>
      </c>
      <c r="H125" s="163" t="s">
        <v>671</v>
      </c>
      <c r="I125" s="158" t="s">
        <v>675</v>
      </c>
      <c r="J125" s="163" t="s">
        <v>671</v>
      </c>
      <c r="K125" s="10" t="s">
        <v>30</v>
      </c>
      <c r="L125" s="10">
        <v>5</v>
      </c>
      <c r="M125" s="10">
        <f t="shared" si="4"/>
        <v>1.67</v>
      </c>
      <c r="N125" s="10">
        <v>5</v>
      </c>
      <c r="O125" s="12">
        <v>1.6666666666666667</v>
      </c>
      <c r="P125" s="11">
        <v>3840</v>
      </c>
      <c r="Q125" s="10" t="s">
        <v>33</v>
      </c>
      <c r="R125" s="4" t="s">
        <v>1281</v>
      </c>
      <c r="S125" s="4" t="s">
        <v>1279</v>
      </c>
      <c r="T125" s="4" t="s">
        <v>672</v>
      </c>
      <c r="U125" s="4" t="str">
        <f t="shared" si="7"/>
        <v>NOT AN ADD-ON</v>
      </c>
      <c r="V125" s="4" t="str">
        <f t="shared" si="5"/>
        <v>NUCLEAR POWERINDUSTRY SOLUTIONLIMITEDNOT AN ADD-ON</v>
      </c>
    </row>
    <row r="126" spans="1:22" ht="29.25" customHeight="1" thickBot="1">
      <c r="A126" s="10" t="s">
        <v>21</v>
      </c>
      <c r="B126" s="10" t="s">
        <v>22</v>
      </c>
      <c r="C126" s="10" t="s">
        <v>593</v>
      </c>
      <c r="D126" s="10" t="s">
        <v>594</v>
      </c>
      <c r="E126" s="10" t="s">
        <v>595</v>
      </c>
      <c r="F126" s="10" t="s">
        <v>596</v>
      </c>
      <c r="G126" s="11">
        <v>2310</v>
      </c>
      <c r="H126" s="163" t="s">
        <v>676</v>
      </c>
      <c r="I126" s="158" t="s">
        <v>677</v>
      </c>
      <c r="J126" s="163" t="s">
        <v>671</v>
      </c>
      <c r="K126" s="10" t="s">
        <v>30</v>
      </c>
      <c r="L126" s="10">
        <v>5</v>
      </c>
      <c r="M126" s="10">
        <f t="shared" si="4"/>
        <v>1.67</v>
      </c>
      <c r="N126" s="10">
        <v>5</v>
      </c>
      <c r="O126" s="12">
        <v>1.6666666666666667</v>
      </c>
      <c r="P126" s="11">
        <v>3840</v>
      </c>
      <c r="Q126" s="10" t="s">
        <v>36</v>
      </c>
      <c r="R126" s="4" t="s">
        <v>1281</v>
      </c>
      <c r="S126" s="4" t="s">
        <v>1279</v>
      </c>
      <c r="T126" s="4" t="s">
        <v>672</v>
      </c>
      <c r="U126" s="4" t="str">
        <f t="shared" si="7"/>
        <v>NOT AN ADD-ON</v>
      </c>
      <c r="V126" s="4" t="str">
        <f t="shared" si="5"/>
        <v>NUCLEAR POWERINDUSTRY SOLUTIONLIMITEDNOT AN ADD-ON</v>
      </c>
    </row>
    <row r="127" spans="1:22" ht="27" thickBot="1">
      <c r="A127" s="10" t="s">
        <v>21</v>
      </c>
      <c r="B127" s="10" t="s">
        <v>22</v>
      </c>
      <c r="C127" s="10" t="s">
        <v>593</v>
      </c>
      <c r="D127" s="10" t="s">
        <v>594</v>
      </c>
      <c r="E127" s="10" t="s">
        <v>595</v>
      </c>
      <c r="F127" s="10" t="s">
        <v>596</v>
      </c>
      <c r="G127" s="11">
        <v>1330</v>
      </c>
      <c r="H127" s="163" t="s">
        <v>669</v>
      </c>
      <c r="I127" s="166" t="s">
        <v>670</v>
      </c>
      <c r="J127" s="163" t="s">
        <v>671</v>
      </c>
      <c r="K127" s="10" t="s">
        <v>30</v>
      </c>
      <c r="L127" s="10">
        <v>5</v>
      </c>
      <c r="M127" s="10">
        <f t="shared" si="4"/>
        <v>1.67</v>
      </c>
      <c r="N127" s="10">
        <v>5</v>
      </c>
      <c r="O127" s="12">
        <v>1.6666666666666667</v>
      </c>
      <c r="P127" s="11">
        <v>3840</v>
      </c>
      <c r="Q127" s="10" t="s">
        <v>48</v>
      </c>
      <c r="R127" s="4" t="s">
        <v>1281</v>
      </c>
      <c r="S127" s="4" t="s">
        <v>1279</v>
      </c>
      <c r="T127" s="4" t="s">
        <v>672</v>
      </c>
      <c r="U127" s="4" t="str">
        <f t="shared" si="7"/>
        <v>NOT AN ADD-ON</v>
      </c>
      <c r="V127" s="4" t="str">
        <f t="shared" si="5"/>
        <v>NUCLEAR POWERINDUSTRY SOLUTIONLIMITEDNOT AN ADD-ON</v>
      </c>
    </row>
    <row r="128" spans="1:22" ht="15" thickBot="1">
      <c r="A128" s="10" t="s">
        <v>21</v>
      </c>
      <c r="B128" s="10" t="s">
        <v>22</v>
      </c>
      <c r="C128" s="10" t="s">
        <v>593</v>
      </c>
      <c r="D128" s="10" t="s">
        <v>594</v>
      </c>
      <c r="E128" s="10" t="s">
        <v>595</v>
      </c>
      <c r="F128" s="10" t="s">
        <v>596</v>
      </c>
      <c r="G128" s="11">
        <v>3840</v>
      </c>
      <c r="H128" s="163" t="s">
        <v>680</v>
      </c>
      <c r="I128" s="158" t="s">
        <v>683</v>
      </c>
      <c r="J128" s="163" t="s">
        <v>680</v>
      </c>
      <c r="K128" s="10" t="s">
        <v>30</v>
      </c>
      <c r="L128" s="10">
        <v>5</v>
      </c>
      <c r="M128" s="10">
        <f t="shared" si="4"/>
        <v>1.67</v>
      </c>
      <c r="N128" s="10">
        <v>5</v>
      </c>
      <c r="O128" s="12">
        <v>1.6666666666666667</v>
      </c>
      <c r="P128" s="11">
        <v>3840</v>
      </c>
      <c r="Q128" s="10" t="s">
        <v>33</v>
      </c>
      <c r="R128" s="4" t="s">
        <v>1281</v>
      </c>
      <c r="S128" s="4" t="s">
        <v>1279</v>
      </c>
      <c r="T128" s="4" t="s">
        <v>672</v>
      </c>
      <c r="U128" s="4" t="str">
        <f t="shared" si="7"/>
        <v>NOT AN ADD-ON</v>
      </c>
      <c r="V128" s="4" t="str">
        <f t="shared" si="5"/>
        <v>NUCLEAR POWERINDUSTRY SOLUTIONLIMITEDNOT AN ADD-ON</v>
      </c>
    </row>
    <row r="129" spans="1:22" ht="15" thickBot="1">
      <c r="A129" s="10" t="s">
        <v>21</v>
      </c>
      <c r="B129" s="10" t="s">
        <v>22</v>
      </c>
      <c r="C129" s="10" t="s">
        <v>593</v>
      </c>
      <c r="D129" s="10" t="s">
        <v>594</v>
      </c>
      <c r="E129" s="10" t="s">
        <v>595</v>
      </c>
      <c r="F129" s="10" t="s">
        <v>596</v>
      </c>
      <c r="G129" s="11">
        <v>2310</v>
      </c>
      <c r="H129" s="163" t="s">
        <v>684</v>
      </c>
      <c r="I129" s="158" t="s">
        <v>685</v>
      </c>
      <c r="J129" s="163" t="s">
        <v>680</v>
      </c>
      <c r="K129" s="10" t="s">
        <v>30</v>
      </c>
      <c r="L129" s="10">
        <v>5</v>
      </c>
      <c r="M129" s="10">
        <f t="shared" si="4"/>
        <v>1.67</v>
      </c>
      <c r="N129" s="10">
        <v>5</v>
      </c>
      <c r="O129" s="12">
        <v>1.6666666666666667</v>
      </c>
      <c r="P129" s="11">
        <v>3840</v>
      </c>
      <c r="Q129" s="10" t="s">
        <v>36</v>
      </c>
      <c r="R129" s="4" t="s">
        <v>1281</v>
      </c>
      <c r="S129" s="4" t="s">
        <v>1279</v>
      </c>
      <c r="T129" s="4" t="s">
        <v>672</v>
      </c>
      <c r="U129" s="4" t="str">
        <f t="shared" si="7"/>
        <v>NOT AN ADD-ON</v>
      </c>
      <c r="V129" s="4" t="str">
        <f t="shared" si="5"/>
        <v>NUCLEAR POWERINDUSTRY SOLUTIONLIMITEDNOT AN ADD-ON</v>
      </c>
    </row>
    <row r="130" spans="1:22" ht="29.25" customHeight="1" thickBot="1">
      <c r="A130" s="10" t="s">
        <v>21</v>
      </c>
      <c r="B130" s="10" t="s">
        <v>22</v>
      </c>
      <c r="C130" s="10" t="s">
        <v>593</v>
      </c>
      <c r="D130" s="10" t="s">
        <v>594</v>
      </c>
      <c r="E130" s="10" t="s">
        <v>595</v>
      </c>
      <c r="F130" s="10" t="s">
        <v>596</v>
      </c>
      <c r="G130" s="11">
        <v>1330</v>
      </c>
      <c r="H130" s="163" t="s">
        <v>678</v>
      </c>
      <c r="I130" s="166" t="s">
        <v>679</v>
      </c>
      <c r="J130" s="163" t="s">
        <v>680</v>
      </c>
      <c r="K130" s="10" t="s">
        <v>30</v>
      </c>
      <c r="L130" s="10">
        <v>5</v>
      </c>
      <c r="M130" s="10">
        <f t="shared" si="4"/>
        <v>1.67</v>
      </c>
      <c r="N130" s="10">
        <v>5</v>
      </c>
      <c r="O130" s="12">
        <v>1.6666666666666667</v>
      </c>
      <c r="P130" s="11">
        <v>3840</v>
      </c>
      <c r="Q130" s="10" t="s">
        <v>48</v>
      </c>
      <c r="R130" s="4" t="s">
        <v>1281</v>
      </c>
      <c r="S130" s="4" t="s">
        <v>1279</v>
      </c>
      <c r="T130" s="4" t="s">
        <v>672</v>
      </c>
      <c r="U130" s="4" t="str">
        <f t="shared" si="7"/>
        <v>NOT AN ADD-ON</v>
      </c>
      <c r="V130" s="4" t="str">
        <f t="shared" si="5"/>
        <v>NUCLEAR POWERINDUSTRY SOLUTIONLIMITEDNOT AN ADD-ON</v>
      </c>
    </row>
    <row r="131" spans="1:22" ht="15" thickBot="1">
      <c r="A131" s="10" t="s">
        <v>21</v>
      </c>
      <c r="B131" s="10" t="s">
        <v>22</v>
      </c>
      <c r="C131" s="10" t="s">
        <v>686</v>
      </c>
      <c r="D131" s="10" t="s">
        <v>687</v>
      </c>
      <c r="E131" s="10" t="s">
        <v>688</v>
      </c>
      <c r="F131" s="10" t="s">
        <v>689</v>
      </c>
      <c r="G131" s="11">
        <v>3840</v>
      </c>
      <c r="H131" s="163" t="s">
        <v>764</v>
      </c>
      <c r="I131" s="158" t="s">
        <v>767</v>
      </c>
      <c r="J131" s="163" t="s">
        <v>764</v>
      </c>
      <c r="K131" s="10" t="s">
        <v>30</v>
      </c>
      <c r="L131" s="10">
        <v>5</v>
      </c>
      <c r="M131" s="10">
        <f t="shared" ref="M131:M194" si="8">ROUND(IF(K131="Authorized User",L131/3,L131),2)</f>
        <v>1.67</v>
      </c>
      <c r="N131" s="10">
        <v>5</v>
      </c>
      <c r="O131" s="12">
        <v>1.6666666666666667</v>
      </c>
      <c r="P131" s="11">
        <v>3840</v>
      </c>
      <c r="Q131" s="10" t="s">
        <v>33</v>
      </c>
      <c r="R131" s="4" t="s">
        <v>1282</v>
      </c>
      <c r="S131" s="4" t="s">
        <v>1279</v>
      </c>
      <c r="T131" s="4" t="s">
        <v>672</v>
      </c>
      <c r="U131" s="4" t="str">
        <f t="shared" si="7"/>
        <v>NOT AN ADD-ON</v>
      </c>
      <c r="V131" s="4" t="str">
        <f t="shared" ref="V131:V194" si="9">CONCATENATE(R131,S131,T131,U131)</f>
        <v>OIL AND GASINDUSTRY SOLUTIONLIMITEDNOT AN ADD-ON</v>
      </c>
    </row>
    <row r="132" spans="1:22" ht="15" thickBot="1">
      <c r="A132" s="10" t="s">
        <v>21</v>
      </c>
      <c r="B132" s="10" t="s">
        <v>22</v>
      </c>
      <c r="C132" s="10" t="s">
        <v>686</v>
      </c>
      <c r="D132" s="10" t="s">
        <v>687</v>
      </c>
      <c r="E132" s="10" t="s">
        <v>688</v>
      </c>
      <c r="F132" s="10" t="s">
        <v>689</v>
      </c>
      <c r="G132" s="11">
        <v>2310</v>
      </c>
      <c r="H132" s="163" t="s">
        <v>768</v>
      </c>
      <c r="I132" s="158" t="s">
        <v>769</v>
      </c>
      <c r="J132" s="163" t="s">
        <v>764</v>
      </c>
      <c r="K132" s="10" t="s">
        <v>30</v>
      </c>
      <c r="L132" s="10">
        <v>5</v>
      </c>
      <c r="M132" s="10">
        <f t="shared" si="8"/>
        <v>1.67</v>
      </c>
      <c r="N132" s="10">
        <v>5</v>
      </c>
      <c r="O132" s="12">
        <v>1.6666666666666667</v>
      </c>
      <c r="P132" s="11">
        <v>3840</v>
      </c>
      <c r="Q132" s="10" t="s">
        <v>36</v>
      </c>
      <c r="R132" s="4" t="s">
        <v>1282</v>
      </c>
      <c r="S132" s="4" t="s">
        <v>1279</v>
      </c>
      <c r="T132" s="4" t="s">
        <v>672</v>
      </c>
      <c r="U132" s="4" t="str">
        <f t="shared" si="7"/>
        <v>NOT AN ADD-ON</v>
      </c>
      <c r="V132" s="4" t="str">
        <f t="shared" si="9"/>
        <v>OIL AND GASINDUSTRY SOLUTIONLIMITEDNOT AN ADD-ON</v>
      </c>
    </row>
    <row r="133" spans="1:22" ht="29.25" customHeight="1" thickBot="1">
      <c r="A133" s="10" t="s">
        <v>21</v>
      </c>
      <c r="B133" s="10" t="s">
        <v>22</v>
      </c>
      <c r="C133" s="10" t="s">
        <v>686</v>
      </c>
      <c r="D133" s="10" t="s">
        <v>687</v>
      </c>
      <c r="E133" s="10" t="s">
        <v>688</v>
      </c>
      <c r="F133" s="10" t="s">
        <v>689</v>
      </c>
      <c r="G133" s="11">
        <v>1330</v>
      </c>
      <c r="H133" s="163" t="s">
        <v>762</v>
      </c>
      <c r="I133" s="166" t="s">
        <v>763</v>
      </c>
      <c r="J133" s="163" t="s">
        <v>764</v>
      </c>
      <c r="K133" s="10" t="s">
        <v>30</v>
      </c>
      <c r="L133" s="10">
        <v>5</v>
      </c>
      <c r="M133" s="10">
        <f t="shared" si="8"/>
        <v>1.67</v>
      </c>
      <c r="N133" s="10">
        <v>5</v>
      </c>
      <c r="O133" s="12">
        <v>1.6666666666666667</v>
      </c>
      <c r="P133" s="11">
        <v>3840</v>
      </c>
      <c r="Q133" s="10" t="s">
        <v>48</v>
      </c>
      <c r="R133" s="4" t="s">
        <v>1282</v>
      </c>
      <c r="S133" s="4" t="s">
        <v>1279</v>
      </c>
      <c r="T133" s="4" t="s">
        <v>672</v>
      </c>
      <c r="U133" s="4" t="str">
        <f t="shared" si="7"/>
        <v>NOT AN ADD-ON</v>
      </c>
      <c r="V133" s="4" t="str">
        <f t="shared" si="9"/>
        <v>OIL AND GASINDUSTRY SOLUTIONLIMITEDNOT AN ADD-ON</v>
      </c>
    </row>
    <row r="134" spans="1:22" ht="15" thickBot="1">
      <c r="A134" s="10" t="s">
        <v>21</v>
      </c>
      <c r="B134" s="10" t="s">
        <v>22</v>
      </c>
      <c r="C134" s="10" t="s">
        <v>686</v>
      </c>
      <c r="D134" s="10" t="s">
        <v>687</v>
      </c>
      <c r="E134" s="10" t="s">
        <v>688</v>
      </c>
      <c r="F134" s="10" t="s">
        <v>689</v>
      </c>
      <c r="G134" s="11">
        <v>3840</v>
      </c>
      <c r="H134" s="163" t="s">
        <v>772</v>
      </c>
      <c r="I134" s="158" t="s">
        <v>775</v>
      </c>
      <c r="J134" s="163" t="s">
        <v>772</v>
      </c>
      <c r="K134" s="10" t="s">
        <v>30</v>
      </c>
      <c r="L134" s="10">
        <v>5</v>
      </c>
      <c r="M134" s="10">
        <f t="shared" si="8"/>
        <v>1.67</v>
      </c>
      <c r="N134" s="10">
        <v>5</v>
      </c>
      <c r="O134" s="12">
        <v>1.6666666666666667</v>
      </c>
      <c r="P134" s="11">
        <v>3840</v>
      </c>
      <c r="Q134" s="10" t="s">
        <v>33</v>
      </c>
      <c r="R134" s="4" t="s">
        <v>1282</v>
      </c>
      <c r="S134" s="4" t="s">
        <v>1279</v>
      </c>
      <c r="T134" s="4" t="s">
        <v>672</v>
      </c>
      <c r="U134" s="4" t="str">
        <f t="shared" si="7"/>
        <v>NOT AN ADD-ON</v>
      </c>
      <c r="V134" s="4" t="str">
        <f t="shared" si="9"/>
        <v>OIL AND GASINDUSTRY SOLUTIONLIMITEDNOT AN ADD-ON</v>
      </c>
    </row>
    <row r="135" spans="1:22" ht="29.25" customHeight="1" thickBot="1">
      <c r="A135" s="10" t="s">
        <v>21</v>
      </c>
      <c r="B135" s="10" t="s">
        <v>22</v>
      </c>
      <c r="C135" s="10" t="s">
        <v>686</v>
      </c>
      <c r="D135" s="10" t="s">
        <v>687</v>
      </c>
      <c r="E135" s="10" t="s">
        <v>688</v>
      </c>
      <c r="F135" s="10" t="s">
        <v>689</v>
      </c>
      <c r="G135" s="11">
        <v>2310</v>
      </c>
      <c r="H135" s="163" t="s">
        <v>776</v>
      </c>
      <c r="I135" s="158" t="s">
        <v>777</v>
      </c>
      <c r="J135" s="163" t="s">
        <v>772</v>
      </c>
      <c r="K135" s="10" t="s">
        <v>30</v>
      </c>
      <c r="L135" s="10">
        <v>5</v>
      </c>
      <c r="M135" s="10">
        <f t="shared" si="8"/>
        <v>1.67</v>
      </c>
      <c r="N135" s="10">
        <v>5</v>
      </c>
      <c r="O135" s="12">
        <v>1.6666666666666667</v>
      </c>
      <c r="P135" s="11">
        <v>3840</v>
      </c>
      <c r="Q135" s="10" t="s">
        <v>36</v>
      </c>
      <c r="R135" s="4" t="s">
        <v>1282</v>
      </c>
      <c r="S135" s="4" t="s">
        <v>1279</v>
      </c>
      <c r="T135" s="4" t="s">
        <v>672</v>
      </c>
      <c r="U135" s="4" t="str">
        <f t="shared" si="7"/>
        <v>NOT AN ADD-ON</v>
      </c>
      <c r="V135" s="4" t="str">
        <f t="shared" si="9"/>
        <v>OIL AND GASINDUSTRY SOLUTIONLIMITEDNOT AN ADD-ON</v>
      </c>
    </row>
    <row r="136" spans="1:22" ht="27" thickBot="1">
      <c r="A136" s="10" t="s">
        <v>21</v>
      </c>
      <c r="B136" s="10" t="s">
        <v>22</v>
      </c>
      <c r="C136" s="10" t="s">
        <v>686</v>
      </c>
      <c r="D136" s="10" t="s">
        <v>687</v>
      </c>
      <c r="E136" s="10" t="s">
        <v>688</v>
      </c>
      <c r="F136" s="10" t="s">
        <v>689</v>
      </c>
      <c r="G136" s="11">
        <v>1330</v>
      </c>
      <c r="H136" s="163" t="s">
        <v>770</v>
      </c>
      <c r="I136" s="166" t="s">
        <v>771</v>
      </c>
      <c r="J136" s="163" t="s">
        <v>772</v>
      </c>
      <c r="K136" s="10" t="s">
        <v>30</v>
      </c>
      <c r="L136" s="10">
        <v>5</v>
      </c>
      <c r="M136" s="10">
        <f t="shared" si="8"/>
        <v>1.67</v>
      </c>
      <c r="N136" s="10">
        <v>5</v>
      </c>
      <c r="O136" s="12">
        <v>1.6666666666666667</v>
      </c>
      <c r="P136" s="11">
        <v>3840</v>
      </c>
      <c r="Q136" s="10" t="s">
        <v>48</v>
      </c>
      <c r="R136" s="4" t="s">
        <v>1282</v>
      </c>
      <c r="S136" s="4" t="s">
        <v>1279</v>
      </c>
      <c r="T136" s="4" t="s">
        <v>672</v>
      </c>
      <c r="U136" s="4" t="str">
        <f t="shared" si="7"/>
        <v>NOT AN ADD-ON</v>
      </c>
      <c r="V136" s="4" t="str">
        <f t="shared" si="9"/>
        <v>OIL AND GASINDUSTRY SOLUTIONLIMITEDNOT AN ADD-ON</v>
      </c>
    </row>
    <row r="137" spans="1:22" ht="29.25" customHeight="1" thickBot="1">
      <c r="A137" s="10" t="s">
        <v>21</v>
      </c>
      <c r="B137" s="10" t="s">
        <v>22</v>
      </c>
      <c r="C137" s="10" t="s">
        <v>778</v>
      </c>
      <c r="D137" s="10" t="s">
        <v>779</v>
      </c>
      <c r="E137" s="10" t="s">
        <v>780</v>
      </c>
      <c r="F137" s="10" t="s">
        <v>781</v>
      </c>
      <c r="G137" s="11">
        <v>3840</v>
      </c>
      <c r="H137" s="163" t="s">
        <v>856</v>
      </c>
      <c r="I137" s="158" t="s">
        <v>859</v>
      </c>
      <c r="J137" s="163" t="s">
        <v>856</v>
      </c>
      <c r="K137" s="10" t="s">
        <v>30</v>
      </c>
      <c r="L137" s="10">
        <v>5</v>
      </c>
      <c r="M137" s="10">
        <f t="shared" si="8"/>
        <v>1.67</v>
      </c>
      <c r="N137" s="10">
        <v>5</v>
      </c>
      <c r="O137" s="12">
        <v>1.6666666666666667</v>
      </c>
      <c r="P137" s="11">
        <v>3840</v>
      </c>
      <c r="Q137" s="10" t="s">
        <v>33</v>
      </c>
      <c r="R137" s="4" t="s">
        <v>1283</v>
      </c>
      <c r="S137" s="4" t="s">
        <v>1279</v>
      </c>
      <c r="T137" s="4" t="s">
        <v>672</v>
      </c>
      <c r="U137" s="4" t="str">
        <f t="shared" si="7"/>
        <v>NOT AN ADD-ON</v>
      </c>
      <c r="V137" s="4" t="str">
        <f t="shared" si="9"/>
        <v>TRANSPORATIONINDUSTRY SOLUTIONLIMITEDNOT AN ADD-ON</v>
      </c>
    </row>
    <row r="138" spans="1:22" ht="15" thickBot="1">
      <c r="A138" s="10" t="s">
        <v>21</v>
      </c>
      <c r="B138" s="10" t="s">
        <v>22</v>
      </c>
      <c r="C138" s="10" t="s">
        <v>778</v>
      </c>
      <c r="D138" s="10" t="s">
        <v>779</v>
      </c>
      <c r="E138" s="10" t="s">
        <v>780</v>
      </c>
      <c r="F138" s="10" t="s">
        <v>781</v>
      </c>
      <c r="G138" s="11">
        <v>2310</v>
      </c>
      <c r="H138" s="163" t="s">
        <v>860</v>
      </c>
      <c r="I138" s="158" t="s">
        <v>861</v>
      </c>
      <c r="J138" s="163" t="s">
        <v>856</v>
      </c>
      <c r="K138" s="10" t="s">
        <v>30</v>
      </c>
      <c r="L138" s="10">
        <v>5</v>
      </c>
      <c r="M138" s="10">
        <f t="shared" si="8"/>
        <v>1.67</v>
      </c>
      <c r="N138" s="10">
        <v>5</v>
      </c>
      <c r="O138" s="12">
        <v>1.6666666666666667</v>
      </c>
      <c r="P138" s="11">
        <v>3840</v>
      </c>
      <c r="Q138" s="10" t="s">
        <v>36</v>
      </c>
      <c r="R138" s="4" t="s">
        <v>1283</v>
      </c>
      <c r="S138" s="4" t="s">
        <v>1279</v>
      </c>
      <c r="T138" s="4" t="s">
        <v>672</v>
      </c>
      <c r="U138" s="4" t="str">
        <f t="shared" si="7"/>
        <v>NOT AN ADD-ON</v>
      </c>
      <c r="V138" s="4" t="str">
        <f t="shared" si="9"/>
        <v>TRANSPORATIONINDUSTRY SOLUTIONLIMITEDNOT AN ADD-ON</v>
      </c>
    </row>
    <row r="139" spans="1:22" ht="27" thickBot="1">
      <c r="A139" s="10" t="s">
        <v>21</v>
      </c>
      <c r="B139" s="10" t="s">
        <v>22</v>
      </c>
      <c r="C139" s="10" t="s">
        <v>778</v>
      </c>
      <c r="D139" s="10" t="s">
        <v>779</v>
      </c>
      <c r="E139" s="10" t="s">
        <v>780</v>
      </c>
      <c r="F139" s="10" t="s">
        <v>781</v>
      </c>
      <c r="G139" s="11">
        <v>1330</v>
      </c>
      <c r="H139" s="163" t="s">
        <v>854</v>
      </c>
      <c r="I139" s="166" t="s">
        <v>855</v>
      </c>
      <c r="J139" s="163" t="s">
        <v>856</v>
      </c>
      <c r="K139" s="10" t="s">
        <v>30</v>
      </c>
      <c r="L139" s="10">
        <v>15</v>
      </c>
      <c r="M139" s="10">
        <f t="shared" si="8"/>
        <v>5</v>
      </c>
      <c r="N139" s="10">
        <v>5</v>
      </c>
      <c r="O139" s="12">
        <v>1.6666666666666667</v>
      </c>
      <c r="P139" s="11">
        <v>3840</v>
      </c>
      <c r="Q139" s="10" t="s">
        <v>48</v>
      </c>
      <c r="R139" s="4" t="s">
        <v>1283</v>
      </c>
      <c r="S139" s="4" t="s">
        <v>1279</v>
      </c>
      <c r="T139" s="4" t="s">
        <v>19</v>
      </c>
      <c r="U139" s="4" t="str">
        <f t="shared" si="7"/>
        <v>NOT AN ADD-ON</v>
      </c>
      <c r="V139" s="4" t="str">
        <f t="shared" si="9"/>
        <v>TRANSPORATIONINDUSTRY SOLUTIONAUTHORIZEDNOT AN ADD-ON</v>
      </c>
    </row>
    <row r="140" spans="1:22" ht="29.25" customHeight="1" thickTop="1" thickBot="1">
      <c r="A140" s="13" t="s">
        <v>21</v>
      </c>
      <c r="B140" s="13" t="s">
        <v>22</v>
      </c>
      <c r="C140" s="13" t="s">
        <v>778</v>
      </c>
      <c r="D140" s="13" t="s">
        <v>779</v>
      </c>
      <c r="E140" s="13" t="s">
        <v>780</v>
      </c>
      <c r="F140" s="13" t="s">
        <v>781</v>
      </c>
      <c r="G140" s="14">
        <v>3840</v>
      </c>
      <c r="H140" s="164" t="s">
        <v>864</v>
      </c>
      <c r="I140" s="159" t="s">
        <v>867</v>
      </c>
      <c r="J140" s="163" t="s">
        <v>864</v>
      </c>
      <c r="K140" s="13" t="s">
        <v>30</v>
      </c>
      <c r="L140" s="10">
        <v>5</v>
      </c>
      <c r="M140" s="10">
        <f t="shared" si="8"/>
        <v>1.67</v>
      </c>
      <c r="N140" s="10">
        <v>5</v>
      </c>
      <c r="O140" s="12">
        <v>1.6666666666666667</v>
      </c>
      <c r="P140" s="14">
        <v>3840</v>
      </c>
      <c r="Q140" s="13" t="s">
        <v>33</v>
      </c>
      <c r="R140" s="4" t="s">
        <v>1283</v>
      </c>
      <c r="S140" s="4" t="s">
        <v>1279</v>
      </c>
      <c r="T140" s="4" t="s">
        <v>672</v>
      </c>
      <c r="U140" s="4" t="str">
        <f t="shared" si="7"/>
        <v>NOT AN ADD-ON</v>
      </c>
      <c r="V140" s="4" t="str">
        <f t="shared" si="9"/>
        <v>TRANSPORATIONINDUSTRY SOLUTIONLIMITEDNOT AN ADD-ON</v>
      </c>
    </row>
    <row r="141" spans="1:22" ht="16" thickTop="1" thickBot="1">
      <c r="A141" s="10" t="s">
        <v>21</v>
      </c>
      <c r="B141" s="10" t="s">
        <v>22</v>
      </c>
      <c r="C141" s="10" t="s">
        <v>778</v>
      </c>
      <c r="D141" s="10" t="s">
        <v>779</v>
      </c>
      <c r="E141" s="10" t="s">
        <v>780</v>
      </c>
      <c r="F141" s="10" t="s">
        <v>781</v>
      </c>
      <c r="G141" s="11">
        <v>2310</v>
      </c>
      <c r="H141" s="163" t="s">
        <v>868</v>
      </c>
      <c r="I141" s="166" t="s">
        <v>869</v>
      </c>
      <c r="J141" s="163" t="s">
        <v>864</v>
      </c>
      <c r="K141" s="10" t="s">
        <v>30</v>
      </c>
      <c r="L141" s="10">
        <v>5</v>
      </c>
      <c r="M141" s="10">
        <f t="shared" si="8"/>
        <v>1.67</v>
      </c>
      <c r="N141" s="10">
        <v>5</v>
      </c>
      <c r="O141" s="12">
        <v>1.6666666666666667</v>
      </c>
      <c r="P141" s="14">
        <v>3840</v>
      </c>
      <c r="Q141" s="10" t="s">
        <v>36</v>
      </c>
      <c r="R141" s="4" t="s">
        <v>1283</v>
      </c>
      <c r="S141" s="4" t="s">
        <v>1279</v>
      </c>
      <c r="T141" s="4" t="s">
        <v>672</v>
      </c>
      <c r="U141" s="4" t="str">
        <f t="shared" ref="U141:U172" si="10">IF(ISNUMBER(SEARCH("ADD-ON",$I141)),"ADD-ON","NOT AN ADD-ON")</f>
        <v>NOT AN ADD-ON</v>
      </c>
      <c r="V141" s="4" t="str">
        <f t="shared" si="9"/>
        <v>TRANSPORATIONINDUSTRY SOLUTIONLIMITEDNOT AN ADD-ON</v>
      </c>
    </row>
    <row r="142" spans="1:22" ht="29.25" customHeight="1" thickTop="1" thickBot="1">
      <c r="A142" s="10" t="s">
        <v>21</v>
      </c>
      <c r="B142" s="10" t="s">
        <v>22</v>
      </c>
      <c r="C142" s="10" t="s">
        <v>778</v>
      </c>
      <c r="D142" s="10" t="s">
        <v>779</v>
      </c>
      <c r="E142" s="10" t="s">
        <v>780</v>
      </c>
      <c r="F142" s="10" t="s">
        <v>781</v>
      </c>
      <c r="G142" s="11">
        <v>1330</v>
      </c>
      <c r="H142" s="163" t="s">
        <v>862</v>
      </c>
      <c r="I142" s="166" t="s">
        <v>863</v>
      </c>
      <c r="J142" s="163" t="s">
        <v>864</v>
      </c>
      <c r="K142" s="10" t="s">
        <v>30</v>
      </c>
      <c r="L142" s="10">
        <v>5</v>
      </c>
      <c r="M142" s="10">
        <f t="shared" si="8"/>
        <v>1.67</v>
      </c>
      <c r="N142" s="10">
        <v>5</v>
      </c>
      <c r="O142" s="12">
        <v>1.6666666666666667</v>
      </c>
      <c r="P142" s="14">
        <v>3840</v>
      </c>
      <c r="Q142" s="10" t="s">
        <v>48</v>
      </c>
      <c r="R142" s="4" t="s">
        <v>1283</v>
      </c>
      <c r="S142" s="4" t="s">
        <v>1279</v>
      </c>
      <c r="T142" s="4" t="s">
        <v>672</v>
      </c>
      <c r="U142" s="4" t="str">
        <f t="shared" si="10"/>
        <v>NOT AN ADD-ON</v>
      </c>
      <c r="V142" s="4" t="str">
        <f t="shared" si="9"/>
        <v>TRANSPORATIONINDUSTRY SOLUTIONLIMITEDNOT AN ADD-ON</v>
      </c>
    </row>
    <row r="143" spans="1:22" ht="15" thickBot="1">
      <c r="A143" s="10" t="s">
        <v>21</v>
      </c>
      <c r="B143" s="10" t="s">
        <v>22</v>
      </c>
      <c r="C143" s="10" t="s">
        <v>870</v>
      </c>
      <c r="D143" s="10" t="s">
        <v>871</v>
      </c>
      <c r="E143" s="10" t="s">
        <v>872</v>
      </c>
      <c r="F143" s="10" t="s">
        <v>873</v>
      </c>
      <c r="G143" s="11">
        <v>3840</v>
      </c>
      <c r="H143" s="163" t="s">
        <v>944</v>
      </c>
      <c r="I143" s="158" t="s">
        <v>947</v>
      </c>
      <c r="J143" s="163" t="s">
        <v>944</v>
      </c>
      <c r="K143" s="10" t="s">
        <v>30</v>
      </c>
      <c r="L143" s="10">
        <v>5</v>
      </c>
      <c r="M143" s="10">
        <f t="shared" si="8"/>
        <v>1.67</v>
      </c>
      <c r="N143" s="10">
        <v>5</v>
      </c>
      <c r="O143" s="12">
        <v>1.6666666666666667</v>
      </c>
      <c r="P143" s="11">
        <v>3840</v>
      </c>
      <c r="Q143" s="10" t="s">
        <v>33</v>
      </c>
      <c r="R143" s="4" t="s">
        <v>1284</v>
      </c>
      <c r="S143" s="4" t="s">
        <v>1279</v>
      </c>
      <c r="T143" s="4" t="s">
        <v>672</v>
      </c>
      <c r="U143" s="4" t="str">
        <f t="shared" si="10"/>
        <v>NOT AN ADD-ON</v>
      </c>
      <c r="V143" s="4" t="str">
        <f t="shared" si="9"/>
        <v>UTILITIESINDUSTRY SOLUTIONLIMITEDNOT AN ADD-ON</v>
      </c>
    </row>
    <row r="144" spans="1:22" ht="16" thickTop="1" thickBot="1">
      <c r="A144" s="10" t="s">
        <v>21</v>
      </c>
      <c r="B144" s="10" t="s">
        <v>22</v>
      </c>
      <c r="C144" s="10" t="s">
        <v>870</v>
      </c>
      <c r="D144" s="10" t="s">
        <v>871</v>
      </c>
      <c r="E144" s="10" t="s">
        <v>872</v>
      </c>
      <c r="F144" s="10" t="s">
        <v>873</v>
      </c>
      <c r="G144" s="11">
        <v>2310</v>
      </c>
      <c r="H144" s="163" t="s">
        <v>948</v>
      </c>
      <c r="I144" s="158" t="s">
        <v>949</v>
      </c>
      <c r="J144" s="163" t="s">
        <v>944</v>
      </c>
      <c r="K144" s="10" t="s">
        <v>30</v>
      </c>
      <c r="L144" s="10">
        <v>5</v>
      </c>
      <c r="M144" s="10">
        <f t="shared" si="8"/>
        <v>1.67</v>
      </c>
      <c r="N144" s="10">
        <v>5</v>
      </c>
      <c r="O144" s="12">
        <v>1.6666666666666667</v>
      </c>
      <c r="P144" s="14">
        <v>3840</v>
      </c>
      <c r="Q144" s="10" t="s">
        <v>36</v>
      </c>
      <c r="R144" s="4" t="s">
        <v>1284</v>
      </c>
      <c r="S144" s="4" t="s">
        <v>1279</v>
      </c>
      <c r="T144" s="4" t="s">
        <v>672</v>
      </c>
      <c r="U144" s="4" t="str">
        <f t="shared" si="10"/>
        <v>NOT AN ADD-ON</v>
      </c>
      <c r="V144" s="4" t="str">
        <f t="shared" si="9"/>
        <v>UTILITIESINDUSTRY SOLUTIONLIMITEDNOT AN ADD-ON</v>
      </c>
    </row>
    <row r="145" spans="1:22" ht="16" thickTop="1" thickBot="1">
      <c r="A145" s="10" t="s">
        <v>21</v>
      </c>
      <c r="B145" s="10" t="s">
        <v>22</v>
      </c>
      <c r="C145" s="10" t="s">
        <v>870</v>
      </c>
      <c r="D145" s="10" t="s">
        <v>871</v>
      </c>
      <c r="E145" s="10" t="s">
        <v>872</v>
      </c>
      <c r="F145" s="10" t="s">
        <v>873</v>
      </c>
      <c r="G145" s="11">
        <v>1330</v>
      </c>
      <c r="H145" s="163" t="s">
        <v>942</v>
      </c>
      <c r="I145" s="166" t="s">
        <v>943</v>
      </c>
      <c r="J145" s="163" t="s">
        <v>944</v>
      </c>
      <c r="K145" s="10" t="s">
        <v>30</v>
      </c>
      <c r="L145" s="10">
        <v>5</v>
      </c>
      <c r="M145" s="10">
        <f t="shared" si="8"/>
        <v>1.67</v>
      </c>
      <c r="N145" s="10">
        <v>5</v>
      </c>
      <c r="O145" s="12">
        <v>1.6666666666666667</v>
      </c>
      <c r="P145" s="14">
        <v>3840</v>
      </c>
      <c r="Q145" s="10" t="s">
        <v>48</v>
      </c>
      <c r="R145" s="4" t="s">
        <v>1284</v>
      </c>
      <c r="S145" s="4" t="s">
        <v>1279</v>
      </c>
      <c r="T145" s="4" t="s">
        <v>672</v>
      </c>
      <c r="U145" s="4" t="str">
        <f t="shared" si="10"/>
        <v>NOT AN ADD-ON</v>
      </c>
      <c r="V145" s="4" t="str">
        <f t="shared" si="9"/>
        <v>UTILITIESINDUSTRY SOLUTIONLIMITEDNOT AN ADD-ON</v>
      </c>
    </row>
    <row r="146" spans="1:22" ht="16" thickTop="1" thickBot="1">
      <c r="A146" s="10" t="s">
        <v>21</v>
      </c>
      <c r="B146" s="10" t="s">
        <v>22</v>
      </c>
      <c r="C146" s="10" t="s">
        <v>870</v>
      </c>
      <c r="D146" s="10" t="s">
        <v>871</v>
      </c>
      <c r="E146" s="10" t="s">
        <v>872</v>
      </c>
      <c r="F146" s="10" t="s">
        <v>873</v>
      </c>
      <c r="G146" s="11">
        <v>3840</v>
      </c>
      <c r="H146" s="163" t="s">
        <v>952</v>
      </c>
      <c r="I146" s="158" t="s">
        <v>955</v>
      </c>
      <c r="J146" s="163" t="s">
        <v>952</v>
      </c>
      <c r="K146" s="10" t="s">
        <v>30</v>
      </c>
      <c r="L146" s="10">
        <v>5</v>
      </c>
      <c r="M146" s="10">
        <f t="shared" si="8"/>
        <v>1.67</v>
      </c>
      <c r="N146" s="10">
        <v>5</v>
      </c>
      <c r="O146" s="12">
        <v>1.6666666666666667</v>
      </c>
      <c r="P146" s="14">
        <v>3840</v>
      </c>
      <c r="Q146" s="10" t="s">
        <v>33</v>
      </c>
      <c r="R146" s="4" t="s">
        <v>1284</v>
      </c>
      <c r="S146" s="4" t="s">
        <v>1279</v>
      </c>
      <c r="T146" s="4" t="s">
        <v>672</v>
      </c>
      <c r="U146" s="4" t="str">
        <f t="shared" si="10"/>
        <v>NOT AN ADD-ON</v>
      </c>
      <c r="V146" s="4" t="str">
        <f t="shared" si="9"/>
        <v>UTILITIESINDUSTRY SOLUTIONLIMITEDNOT AN ADD-ON</v>
      </c>
    </row>
    <row r="147" spans="1:22" ht="15" thickBot="1">
      <c r="A147" s="10" t="s">
        <v>21</v>
      </c>
      <c r="B147" s="10" t="s">
        <v>22</v>
      </c>
      <c r="C147" s="10" t="s">
        <v>870</v>
      </c>
      <c r="D147" s="10" t="s">
        <v>871</v>
      </c>
      <c r="E147" s="10" t="s">
        <v>872</v>
      </c>
      <c r="F147" s="10" t="s">
        <v>873</v>
      </c>
      <c r="G147" s="11">
        <v>2310</v>
      </c>
      <c r="H147" s="163" t="s">
        <v>956</v>
      </c>
      <c r="I147" s="158" t="s">
        <v>957</v>
      </c>
      <c r="J147" s="163" t="s">
        <v>952</v>
      </c>
      <c r="K147" s="10" t="s">
        <v>30</v>
      </c>
      <c r="L147" s="10">
        <v>5</v>
      </c>
      <c r="M147" s="10">
        <f t="shared" si="8"/>
        <v>1.67</v>
      </c>
      <c r="N147" s="10">
        <v>5</v>
      </c>
      <c r="O147" s="12">
        <v>1.6666666666666667</v>
      </c>
      <c r="P147" s="11">
        <v>3840</v>
      </c>
      <c r="Q147" s="10" t="s">
        <v>36</v>
      </c>
      <c r="R147" s="4" t="s">
        <v>1284</v>
      </c>
      <c r="S147" s="4" t="s">
        <v>1279</v>
      </c>
      <c r="T147" s="4" t="s">
        <v>672</v>
      </c>
      <c r="U147" s="4" t="str">
        <f t="shared" si="10"/>
        <v>NOT AN ADD-ON</v>
      </c>
      <c r="V147" s="4" t="str">
        <f t="shared" si="9"/>
        <v>UTILITIESINDUSTRY SOLUTIONLIMITEDNOT AN ADD-ON</v>
      </c>
    </row>
    <row r="148" spans="1:22" ht="27" thickBot="1">
      <c r="A148" s="10" t="s">
        <v>21</v>
      </c>
      <c r="B148" s="10" t="s">
        <v>22</v>
      </c>
      <c r="C148" s="10" t="s">
        <v>870</v>
      </c>
      <c r="D148" s="10" t="s">
        <v>871</v>
      </c>
      <c r="E148" s="10" t="s">
        <v>872</v>
      </c>
      <c r="F148" s="10" t="s">
        <v>873</v>
      </c>
      <c r="G148" s="11">
        <v>1330</v>
      </c>
      <c r="H148" s="163" t="s">
        <v>950</v>
      </c>
      <c r="I148" s="166" t="s">
        <v>951</v>
      </c>
      <c r="J148" s="163" t="s">
        <v>952</v>
      </c>
      <c r="K148" s="10" t="s">
        <v>30</v>
      </c>
      <c r="L148" s="10">
        <v>5</v>
      </c>
      <c r="M148" s="10">
        <f t="shared" si="8"/>
        <v>1.67</v>
      </c>
      <c r="N148" s="10">
        <v>5</v>
      </c>
      <c r="O148" s="12">
        <v>1.6666666666666667</v>
      </c>
      <c r="P148" s="11">
        <v>3840</v>
      </c>
      <c r="Q148" s="10" t="s">
        <v>48</v>
      </c>
      <c r="R148" s="4" t="s">
        <v>1284</v>
      </c>
      <c r="S148" s="4" t="s">
        <v>1279</v>
      </c>
      <c r="T148" s="4" t="s">
        <v>672</v>
      </c>
      <c r="U148" s="4" t="str">
        <f t="shared" si="10"/>
        <v>NOT AN ADD-ON</v>
      </c>
      <c r="V148" s="4" t="str">
        <f t="shared" si="9"/>
        <v>UTILITIESINDUSTRY SOLUTIONLIMITEDNOT AN ADD-ON</v>
      </c>
    </row>
    <row r="149" spans="1:22" ht="29.25" customHeight="1" thickBot="1">
      <c r="A149" s="10" t="s">
        <v>21</v>
      </c>
      <c r="B149" s="10" t="s">
        <v>22</v>
      </c>
      <c r="C149" s="10" t="s">
        <v>500</v>
      </c>
      <c r="D149" s="10" t="s">
        <v>501</v>
      </c>
      <c r="E149" s="10" t="s">
        <v>502</v>
      </c>
      <c r="F149" s="10" t="s">
        <v>503</v>
      </c>
      <c r="G149" s="11">
        <v>3480</v>
      </c>
      <c r="H149" s="163" t="s">
        <v>579</v>
      </c>
      <c r="I149" s="158" t="s">
        <v>582</v>
      </c>
      <c r="J149" s="163" t="s">
        <v>579</v>
      </c>
      <c r="K149" s="10" t="s">
        <v>30</v>
      </c>
      <c r="L149" s="10">
        <v>5</v>
      </c>
      <c r="M149" s="10">
        <f t="shared" si="8"/>
        <v>1.67</v>
      </c>
      <c r="N149" s="10">
        <v>5</v>
      </c>
      <c r="O149" s="12">
        <v>1.6666666666666667</v>
      </c>
      <c r="P149" s="11">
        <v>3480</v>
      </c>
      <c r="Q149" s="10" t="s">
        <v>33</v>
      </c>
      <c r="R149" s="4" t="s">
        <v>1292</v>
      </c>
      <c r="S149" s="4" t="s">
        <v>1292</v>
      </c>
      <c r="T149" s="4" t="s">
        <v>672</v>
      </c>
      <c r="U149" s="4" t="str">
        <f t="shared" si="10"/>
        <v>NOT AN ADD-ON</v>
      </c>
      <c r="V149" s="4" t="str">
        <f t="shared" si="9"/>
        <v>LIFE SCIENCESLIFE SCIENCESLIMITEDNOT AN ADD-ON</v>
      </c>
    </row>
    <row r="150" spans="1:22" ht="15" thickBot="1">
      <c r="A150" s="10" t="s">
        <v>21</v>
      </c>
      <c r="B150" s="10" t="s">
        <v>22</v>
      </c>
      <c r="C150" s="10" t="s">
        <v>500</v>
      </c>
      <c r="D150" s="10" t="s">
        <v>501</v>
      </c>
      <c r="E150" s="10" t="s">
        <v>502</v>
      </c>
      <c r="F150" s="10" t="s">
        <v>503</v>
      </c>
      <c r="G150" s="11">
        <v>2090</v>
      </c>
      <c r="H150" s="163" t="s">
        <v>583</v>
      </c>
      <c r="I150" s="158" t="s">
        <v>584</v>
      </c>
      <c r="J150" s="163" t="s">
        <v>579</v>
      </c>
      <c r="K150" s="10" t="s">
        <v>30</v>
      </c>
      <c r="L150" s="10">
        <v>5</v>
      </c>
      <c r="M150" s="10">
        <f t="shared" si="8"/>
        <v>1.67</v>
      </c>
      <c r="N150" s="10">
        <v>5</v>
      </c>
      <c r="O150" s="12">
        <v>1.6666666666666667</v>
      </c>
      <c r="P150" s="11">
        <v>3480</v>
      </c>
      <c r="Q150" s="10" t="s">
        <v>36</v>
      </c>
      <c r="R150" s="4" t="s">
        <v>1292</v>
      </c>
      <c r="S150" s="4" t="s">
        <v>1292</v>
      </c>
      <c r="T150" s="4" t="s">
        <v>672</v>
      </c>
      <c r="U150" s="4" t="str">
        <f t="shared" si="10"/>
        <v>NOT AN ADD-ON</v>
      </c>
      <c r="V150" s="4" t="str">
        <f t="shared" si="9"/>
        <v>LIFE SCIENCESLIFE SCIENCESLIMITEDNOT AN ADD-ON</v>
      </c>
    </row>
    <row r="151" spans="1:22" ht="15" thickBot="1">
      <c r="A151" s="10" t="s">
        <v>21</v>
      </c>
      <c r="B151" s="10" t="s">
        <v>22</v>
      </c>
      <c r="C151" s="10" t="s">
        <v>500</v>
      </c>
      <c r="D151" s="10" t="s">
        <v>501</v>
      </c>
      <c r="E151" s="10" t="s">
        <v>502</v>
      </c>
      <c r="F151" s="10" t="s">
        <v>503</v>
      </c>
      <c r="G151" s="11">
        <v>953</v>
      </c>
      <c r="H151" s="163" t="s">
        <v>577</v>
      </c>
      <c r="I151" s="166" t="s">
        <v>578</v>
      </c>
      <c r="J151" s="163" t="s">
        <v>579</v>
      </c>
      <c r="K151" s="10" t="s">
        <v>30</v>
      </c>
      <c r="L151" s="10">
        <v>5</v>
      </c>
      <c r="M151" s="10">
        <f t="shared" si="8"/>
        <v>1.67</v>
      </c>
      <c r="N151" s="10">
        <v>5</v>
      </c>
      <c r="O151" s="12">
        <v>1.6666666666666667</v>
      </c>
      <c r="P151" s="11">
        <v>3480</v>
      </c>
      <c r="Q151" s="10" t="s">
        <v>48</v>
      </c>
      <c r="R151" s="4" t="s">
        <v>1292</v>
      </c>
      <c r="S151" s="4" t="s">
        <v>1292</v>
      </c>
      <c r="T151" s="4" t="s">
        <v>672</v>
      </c>
      <c r="U151" s="4" t="str">
        <f t="shared" si="10"/>
        <v>NOT AN ADD-ON</v>
      </c>
      <c r="V151" s="4" t="str">
        <f t="shared" si="9"/>
        <v>LIFE SCIENCESLIFE SCIENCESLIMITEDNOT AN ADD-ON</v>
      </c>
    </row>
    <row r="152" spans="1:22" ht="29.25" customHeight="1" thickBot="1">
      <c r="A152" s="10" t="s">
        <v>21</v>
      </c>
      <c r="B152" s="10" t="s">
        <v>22</v>
      </c>
      <c r="C152" s="10" t="s">
        <v>500</v>
      </c>
      <c r="D152" s="10" t="s">
        <v>501</v>
      </c>
      <c r="E152" s="10" t="s">
        <v>502</v>
      </c>
      <c r="F152" s="10" t="s">
        <v>503</v>
      </c>
      <c r="G152" s="11">
        <v>3480</v>
      </c>
      <c r="H152" s="163" t="s">
        <v>587</v>
      </c>
      <c r="I152" s="158" t="s">
        <v>590</v>
      </c>
      <c r="J152" s="163" t="s">
        <v>587</v>
      </c>
      <c r="K152" s="10" t="s">
        <v>30</v>
      </c>
      <c r="L152" s="10">
        <v>5</v>
      </c>
      <c r="M152" s="10">
        <f t="shared" si="8"/>
        <v>1.67</v>
      </c>
      <c r="N152" s="10">
        <v>5</v>
      </c>
      <c r="O152" s="12">
        <v>1.6666666666666667</v>
      </c>
      <c r="P152" s="11">
        <v>3480</v>
      </c>
      <c r="Q152" s="10" t="s">
        <v>33</v>
      </c>
      <c r="R152" s="4" t="s">
        <v>1292</v>
      </c>
      <c r="S152" s="4" t="s">
        <v>1292</v>
      </c>
      <c r="T152" s="4" t="s">
        <v>672</v>
      </c>
      <c r="U152" s="4" t="str">
        <f t="shared" si="10"/>
        <v>NOT AN ADD-ON</v>
      </c>
      <c r="V152" s="4" t="str">
        <f t="shared" si="9"/>
        <v>LIFE SCIENCESLIFE SCIENCESLIMITEDNOT AN ADD-ON</v>
      </c>
    </row>
    <row r="153" spans="1:22" ht="15" thickBot="1">
      <c r="A153" s="10" t="s">
        <v>21</v>
      </c>
      <c r="B153" s="10" t="s">
        <v>22</v>
      </c>
      <c r="C153" s="10" t="s">
        <v>500</v>
      </c>
      <c r="D153" s="10" t="s">
        <v>501</v>
      </c>
      <c r="E153" s="10" t="s">
        <v>502</v>
      </c>
      <c r="F153" s="10" t="s">
        <v>503</v>
      </c>
      <c r="G153" s="11">
        <v>2090</v>
      </c>
      <c r="H153" s="163" t="s">
        <v>591</v>
      </c>
      <c r="I153" s="158" t="s">
        <v>592</v>
      </c>
      <c r="J153" s="163" t="s">
        <v>587</v>
      </c>
      <c r="K153" s="10" t="s">
        <v>30</v>
      </c>
      <c r="L153" s="10">
        <v>5</v>
      </c>
      <c r="M153" s="10">
        <f t="shared" si="8"/>
        <v>1.67</v>
      </c>
      <c r="N153" s="10">
        <v>5</v>
      </c>
      <c r="O153" s="12">
        <v>1.6666666666666667</v>
      </c>
      <c r="P153" s="11">
        <v>3480</v>
      </c>
      <c r="Q153" s="10" t="s">
        <v>36</v>
      </c>
      <c r="R153" s="4" t="s">
        <v>1292</v>
      </c>
      <c r="S153" s="4" t="s">
        <v>1292</v>
      </c>
      <c r="T153" s="4" t="s">
        <v>672</v>
      </c>
      <c r="U153" s="4" t="str">
        <f t="shared" si="10"/>
        <v>NOT AN ADD-ON</v>
      </c>
      <c r="V153" s="4" t="str">
        <f t="shared" si="9"/>
        <v>LIFE SCIENCESLIFE SCIENCESLIMITEDNOT AN ADD-ON</v>
      </c>
    </row>
    <row r="154" spans="1:22" ht="27" thickBot="1">
      <c r="A154" s="10" t="s">
        <v>21</v>
      </c>
      <c r="B154" s="10" t="s">
        <v>22</v>
      </c>
      <c r="C154" s="10" t="s">
        <v>500</v>
      </c>
      <c r="D154" s="10" t="s">
        <v>501</v>
      </c>
      <c r="E154" s="10" t="s">
        <v>502</v>
      </c>
      <c r="F154" s="10" t="s">
        <v>503</v>
      </c>
      <c r="G154" s="11">
        <v>953</v>
      </c>
      <c r="H154" s="163" t="s">
        <v>585</v>
      </c>
      <c r="I154" s="166" t="s">
        <v>586</v>
      </c>
      <c r="J154" s="163" t="s">
        <v>587</v>
      </c>
      <c r="K154" s="10" t="s">
        <v>30</v>
      </c>
      <c r="L154" s="10">
        <v>5</v>
      </c>
      <c r="M154" s="10">
        <f t="shared" si="8"/>
        <v>1.67</v>
      </c>
      <c r="N154" s="10">
        <v>5</v>
      </c>
      <c r="O154" s="12">
        <v>1.6666666666666667</v>
      </c>
      <c r="P154" s="11">
        <v>3480</v>
      </c>
      <c r="Q154" s="10" t="s">
        <v>48</v>
      </c>
      <c r="R154" s="4" t="s">
        <v>1292</v>
      </c>
      <c r="S154" s="4" t="s">
        <v>1292</v>
      </c>
      <c r="T154" s="4" t="s">
        <v>672</v>
      </c>
      <c r="U154" s="4" t="str">
        <f t="shared" si="10"/>
        <v>NOT AN ADD-ON</v>
      </c>
      <c r="V154" s="4" t="str">
        <f t="shared" si="9"/>
        <v>LIFE SCIENCESLIFE SCIENCESLIMITEDNOT AN ADD-ON</v>
      </c>
    </row>
    <row r="155" spans="1:22" ht="29.25" customHeight="1" thickBot="1">
      <c r="A155" s="10" t="s">
        <v>21</v>
      </c>
      <c r="B155" s="10" t="s">
        <v>22</v>
      </c>
      <c r="C155" s="10" t="s">
        <v>140</v>
      </c>
      <c r="D155" s="10" t="s">
        <v>141</v>
      </c>
      <c r="E155" s="10" t="s">
        <v>142</v>
      </c>
      <c r="F155" s="10" t="s">
        <v>143</v>
      </c>
      <c r="G155" s="11">
        <v>4090</v>
      </c>
      <c r="H155" s="163" t="s">
        <v>144</v>
      </c>
      <c r="I155" s="166" t="s">
        <v>145</v>
      </c>
      <c r="J155" s="170" t="s">
        <v>146</v>
      </c>
      <c r="K155" s="10" t="s">
        <v>30</v>
      </c>
      <c r="L155" s="10">
        <v>10</v>
      </c>
      <c r="M155" s="10">
        <f t="shared" si="8"/>
        <v>3.33</v>
      </c>
      <c r="N155" s="10">
        <v>10</v>
      </c>
      <c r="O155" s="12">
        <v>3.3333333333333335</v>
      </c>
      <c r="P155" s="11">
        <v>6390</v>
      </c>
      <c r="Q155" s="10" t="s">
        <v>48</v>
      </c>
      <c r="R155" s="4" t="s">
        <v>1278</v>
      </c>
      <c r="S155" s="4" t="s">
        <v>1278</v>
      </c>
      <c r="T155" s="4" t="s">
        <v>19</v>
      </c>
      <c r="U155" s="4" t="str">
        <f t="shared" si="10"/>
        <v>NOT AN ADD-ON</v>
      </c>
      <c r="V155" s="4" t="str">
        <f t="shared" si="9"/>
        <v>ASSET MANAGEMENT (CORE)ASSET MANAGEMENT (CORE)AUTHORIZEDNOT AN ADD-ON</v>
      </c>
    </row>
    <row r="156" spans="1:22" ht="29.25" customHeight="1" thickBot="1">
      <c r="A156" s="10" t="s">
        <v>21</v>
      </c>
      <c r="B156" s="10" t="s">
        <v>22</v>
      </c>
      <c r="C156" s="10" t="s">
        <v>140</v>
      </c>
      <c r="D156" s="10" t="s">
        <v>141</v>
      </c>
      <c r="E156" s="10" t="s">
        <v>142</v>
      </c>
      <c r="F156" s="10" t="s">
        <v>143</v>
      </c>
      <c r="G156" s="11">
        <v>4090</v>
      </c>
      <c r="H156" s="163" t="s">
        <v>222</v>
      </c>
      <c r="I156" s="166" t="s">
        <v>223</v>
      </c>
      <c r="J156" s="163" t="s">
        <v>224</v>
      </c>
      <c r="K156" s="10" t="s">
        <v>30</v>
      </c>
      <c r="L156" s="10">
        <v>5</v>
      </c>
      <c r="M156" s="10">
        <f t="shared" si="8"/>
        <v>1.67</v>
      </c>
      <c r="N156" s="10">
        <v>10</v>
      </c>
      <c r="O156" s="12">
        <v>3.3333333333333335</v>
      </c>
      <c r="P156" s="11">
        <v>6390</v>
      </c>
      <c r="Q156" s="10" t="s">
        <v>48</v>
      </c>
      <c r="R156" s="4" t="s">
        <v>1278</v>
      </c>
      <c r="S156" s="4" t="s">
        <v>1278</v>
      </c>
      <c r="T156" s="4" t="s">
        <v>19</v>
      </c>
      <c r="U156" s="4" t="str">
        <f t="shared" si="10"/>
        <v>NOT AN ADD-ON</v>
      </c>
      <c r="V156" s="4" t="str">
        <f t="shared" si="9"/>
        <v>ASSET MANAGEMENT (CORE)ASSET MANAGEMENT (CORE)AUTHORIZEDNOT AN ADD-ON</v>
      </c>
    </row>
    <row r="157" spans="1:22" ht="27" thickBot="1">
      <c r="A157" s="10" t="s">
        <v>21</v>
      </c>
      <c r="B157" s="10" t="s">
        <v>22</v>
      </c>
      <c r="C157" s="10" t="s">
        <v>140</v>
      </c>
      <c r="D157" s="10" t="s">
        <v>141</v>
      </c>
      <c r="E157" s="10" t="s">
        <v>142</v>
      </c>
      <c r="F157" s="10" t="s">
        <v>143</v>
      </c>
      <c r="G157" s="11">
        <v>2400</v>
      </c>
      <c r="H157" s="163" t="s">
        <v>261</v>
      </c>
      <c r="I157" s="166" t="s">
        <v>262</v>
      </c>
      <c r="J157" s="163" t="s">
        <v>263</v>
      </c>
      <c r="K157" s="10" t="s">
        <v>30</v>
      </c>
      <c r="L157" s="10">
        <v>5</v>
      </c>
      <c r="M157" s="10">
        <f t="shared" si="8"/>
        <v>1.67</v>
      </c>
      <c r="N157" s="10">
        <v>5</v>
      </c>
      <c r="O157" s="12">
        <v>1.6666666666666667</v>
      </c>
      <c r="P157" s="11">
        <v>3200</v>
      </c>
      <c r="Q157" s="10" t="s">
        <v>48</v>
      </c>
      <c r="R157" s="4" t="s">
        <v>1278</v>
      </c>
      <c r="S157" s="4" t="s">
        <v>1278</v>
      </c>
      <c r="T157" s="4" t="s">
        <v>672</v>
      </c>
      <c r="U157" s="4" t="str">
        <f t="shared" si="10"/>
        <v>NOT AN ADD-ON</v>
      </c>
      <c r="V157" s="4" t="str">
        <f t="shared" si="9"/>
        <v>ASSET MANAGEMENT (CORE)ASSET MANAGEMENT (CORE)LIMITEDNOT AN ADD-ON</v>
      </c>
    </row>
    <row r="158" spans="1:22" ht="29.25" customHeight="1" thickBot="1">
      <c r="A158" s="10" t="s">
        <v>21</v>
      </c>
      <c r="B158" s="10" t="s">
        <v>22</v>
      </c>
      <c r="C158" s="10" t="s">
        <v>140</v>
      </c>
      <c r="D158" s="10" t="s">
        <v>141</v>
      </c>
      <c r="E158" s="10" t="s">
        <v>142</v>
      </c>
      <c r="F158" s="10" t="s">
        <v>143</v>
      </c>
      <c r="G158" s="11">
        <v>2400</v>
      </c>
      <c r="H158" s="163" t="s">
        <v>269</v>
      </c>
      <c r="I158" s="166" t="s">
        <v>270</v>
      </c>
      <c r="J158" s="163" t="s">
        <v>271</v>
      </c>
      <c r="K158" s="10" t="s">
        <v>30</v>
      </c>
      <c r="L158" s="10">
        <v>5</v>
      </c>
      <c r="M158" s="10">
        <f t="shared" si="8"/>
        <v>1.67</v>
      </c>
      <c r="N158" s="10">
        <v>5</v>
      </c>
      <c r="O158" s="12">
        <v>1.6666666666666667</v>
      </c>
      <c r="P158" s="11">
        <v>3200</v>
      </c>
      <c r="Q158" s="10" t="s">
        <v>48</v>
      </c>
      <c r="R158" s="4" t="s">
        <v>1278</v>
      </c>
      <c r="S158" s="4" t="s">
        <v>1278</v>
      </c>
      <c r="T158" s="4" t="s">
        <v>672</v>
      </c>
      <c r="U158" s="4" t="str">
        <f t="shared" si="10"/>
        <v>NOT AN ADD-ON</v>
      </c>
      <c r="V158" s="4" t="str">
        <f t="shared" si="9"/>
        <v>ASSET MANAGEMENT (CORE)ASSET MANAGEMENT (CORE)LIMITEDNOT AN ADD-ON</v>
      </c>
    </row>
    <row r="159" spans="1:22" ht="15" thickBot="1">
      <c r="A159" s="10" t="s">
        <v>21</v>
      </c>
      <c r="B159" s="10" t="s">
        <v>22</v>
      </c>
      <c r="C159" s="10" t="s">
        <v>593</v>
      </c>
      <c r="D159" s="10" t="s">
        <v>594</v>
      </c>
      <c r="E159" s="10" t="s">
        <v>595</v>
      </c>
      <c r="F159" s="10" t="s">
        <v>596</v>
      </c>
      <c r="G159" s="11">
        <v>4900</v>
      </c>
      <c r="H159" s="163" t="s">
        <v>624</v>
      </c>
      <c r="I159" s="166" t="s">
        <v>625</v>
      </c>
      <c r="J159" s="163" t="s">
        <v>621</v>
      </c>
      <c r="K159" s="10" t="s">
        <v>30</v>
      </c>
      <c r="L159" s="10">
        <v>15</v>
      </c>
      <c r="M159" s="10">
        <f t="shared" si="8"/>
        <v>5</v>
      </c>
      <c r="N159" s="10">
        <v>15</v>
      </c>
      <c r="O159" s="12">
        <v>5</v>
      </c>
      <c r="P159" s="11">
        <v>7660</v>
      </c>
      <c r="Q159" s="10" t="s">
        <v>48</v>
      </c>
      <c r="R159" s="4" t="s">
        <v>1281</v>
      </c>
      <c r="S159" s="4" t="s">
        <v>1279</v>
      </c>
      <c r="T159" s="4" t="s">
        <v>19</v>
      </c>
      <c r="U159" s="4" t="str">
        <f t="shared" si="10"/>
        <v>NOT AN ADD-ON</v>
      </c>
      <c r="V159" s="4" t="str">
        <f t="shared" si="9"/>
        <v>NUCLEAR POWERINDUSTRY SOLUTIONAUTHORIZEDNOT AN ADD-ON</v>
      </c>
    </row>
    <row r="160" spans="1:22" ht="29.25" customHeight="1" thickBot="1">
      <c r="A160" s="10" t="s">
        <v>21</v>
      </c>
      <c r="B160" s="10" t="s">
        <v>22</v>
      </c>
      <c r="C160" s="10" t="s">
        <v>593</v>
      </c>
      <c r="D160" s="10" t="s">
        <v>594</v>
      </c>
      <c r="E160" s="10" t="s">
        <v>595</v>
      </c>
      <c r="F160" s="10" t="s">
        <v>596</v>
      </c>
      <c r="G160" s="11">
        <v>4900</v>
      </c>
      <c r="H160" s="163" t="s">
        <v>662</v>
      </c>
      <c r="I160" s="166" t="s">
        <v>663</v>
      </c>
      <c r="J160" s="163" t="s">
        <v>659</v>
      </c>
      <c r="K160" s="10" t="s">
        <v>30</v>
      </c>
      <c r="L160" s="10">
        <v>15</v>
      </c>
      <c r="M160" s="10">
        <f t="shared" si="8"/>
        <v>5</v>
      </c>
      <c r="N160" s="10">
        <v>15</v>
      </c>
      <c r="O160" s="12">
        <v>5</v>
      </c>
      <c r="P160" s="11">
        <v>7660</v>
      </c>
      <c r="Q160" s="10" t="s">
        <v>48</v>
      </c>
      <c r="R160" s="4" t="s">
        <v>1281</v>
      </c>
      <c r="S160" s="4" t="s">
        <v>1279</v>
      </c>
      <c r="T160" s="4" t="s">
        <v>19</v>
      </c>
      <c r="U160" s="4" t="str">
        <f t="shared" si="10"/>
        <v>NOT AN ADD-ON</v>
      </c>
      <c r="V160" s="4" t="str">
        <f t="shared" si="9"/>
        <v>NUCLEAR POWERINDUSTRY SOLUTIONAUTHORIZEDNOT AN ADD-ON</v>
      </c>
    </row>
    <row r="161" spans="1:22" ht="15" thickBot="1">
      <c r="A161" s="10" t="s">
        <v>21</v>
      </c>
      <c r="B161" s="10" t="s">
        <v>22</v>
      </c>
      <c r="C161" s="10" t="s">
        <v>686</v>
      </c>
      <c r="D161" s="10" t="s">
        <v>687</v>
      </c>
      <c r="E161" s="10" t="s">
        <v>688</v>
      </c>
      <c r="F161" s="10" t="s">
        <v>689</v>
      </c>
      <c r="G161" s="11">
        <v>4900</v>
      </c>
      <c r="H161" s="163" t="s">
        <v>717</v>
      </c>
      <c r="I161" s="166" t="s">
        <v>718</v>
      </c>
      <c r="J161" s="163" t="s">
        <v>714</v>
      </c>
      <c r="K161" s="10" t="s">
        <v>30</v>
      </c>
      <c r="L161" s="10">
        <v>15</v>
      </c>
      <c r="M161" s="10">
        <f t="shared" si="8"/>
        <v>5</v>
      </c>
      <c r="N161" s="10">
        <v>15</v>
      </c>
      <c r="O161" s="12">
        <v>5</v>
      </c>
      <c r="P161" s="11">
        <v>7660</v>
      </c>
      <c r="Q161" s="10" t="s">
        <v>48</v>
      </c>
      <c r="R161" s="4" t="s">
        <v>1282</v>
      </c>
      <c r="S161" s="4" t="s">
        <v>1279</v>
      </c>
      <c r="T161" s="4" t="s">
        <v>19</v>
      </c>
      <c r="U161" s="4" t="str">
        <f t="shared" si="10"/>
        <v>NOT AN ADD-ON</v>
      </c>
      <c r="V161" s="4" t="str">
        <f t="shared" si="9"/>
        <v>OIL AND GASINDUSTRY SOLUTIONAUTHORIZEDNOT AN ADD-ON</v>
      </c>
    </row>
    <row r="162" spans="1:22" ht="29.25" customHeight="1" thickBot="1">
      <c r="A162" s="10" t="s">
        <v>21</v>
      </c>
      <c r="B162" s="10" t="s">
        <v>22</v>
      </c>
      <c r="C162" s="10" t="s">
        <v>686</v>
      </c>
      <c r="D162" s="10" t="s">
        <v>687</v>
      </c>
      <c r="E162" s="10" t="s">
        <v>688</v>
      </c>
      <c r="F162" s="10" t="s">
        <v>689</v>
      </c>
      <c r="G162" s="11">
        <v>4900</v>
      </c>
      <c r="H162" s="163" t="s">
        <v>754</v>
      </c>
      <c r="I162" s="166" t="s">
        <v>755</v>
      </c>
      <c r="J162" s="163" t="s">
        <v>746</v>
      </c>
      <c r="K162" s="10" t="s">
        <v>30</v>
      </c>
      <c r="L162" s="10">
        <v>15</v>
      </c>
      <c r="M162" s="10">
        <f t="shared" si="8"/>
        <v>5</v>
      </c>
      <c r="N162" s="10">
        <v>15</v>
      </c>
      <c r="O162" s="12">
        <v>5</v>
      </c>
      <c r="P162" s="11">
        <v>7660</v>
      </c>
      <c r="Q162" s="10" t="s">
        <v>48</v>
      </c>
      <c r="R162" s="4" t="s">
        <v>1282</v>
      </c>
      <c r="S162" s="4" t="s">
        <v>1279</v>
      </c>
      <c r="T162" s="4" t="s">
        <v>19</v>
      </c>
      <c r="U162" s="4" t="str">
        <f t="shared" si="10"/>
        <v>NOT AN ADD-ON</v>
      </c>
      <c r="V162" s="4" t="str">
        <f t="shared" si="9"/>
        <v>OIL AND GASINDUSTRY SOLUTIONAUTHORIZEDNOT AN ADD-ON</v>
      </c>
    </row>
    <row r="163" spans="1:22" ht="29.25" customHeight="1" thickBot="1">
      <c r="A163" s="10" t="s">
        <v>21</v>
      </c>
      <c r="B163" s="10" t="s">
        <v>22</v>
      </c>
      <c r="C163" s="10" t="s">
        <v>778</v>
      </c>
      <c r="D163" s="10" t="s">
        <v>779</v>
      </c>
      <c r="E163" s="10" t="s">
        <v>780</v>
      </c>
      <c r="F163" s="10" t="s">
        <v>781</v>
      </c>
      <c r="G163" s="11">
        <v>4900</v>
      </c>
      <c r="H163" s="163" t="s">
        <v>809</v>
      </c>
      <c r="I163" s="166" t="s">
        <v>810</v>
      </c>
      <c r="J163" s="163" t="s">
        <v>806</v>
      </c>
      <c r="K163" s="10" t="s">
        <v>30</v>
      </c>
      <c r="L163" s="10">
        <v>15</v>
      </c>
      <c r="M163" s="10">
        <f t="shared" si="8"/>
        <v>5</v>
      </c>
      <c r="N163" s="10">
        <v>15</v>
      </c>
      <c r="O163" s="12">
        <v>5</v>
      </c>
      <c r="P163" s="11">
        <v>7660</v>
      </c>
      <c r="Q163" s="10" t="s">
        <v>48</v>
      </c>
      <c r="R163" s="4" t="s">
        <v>1283</v>
      </c>
      <c r="S163" s="4" t="s">
        <v>1279</v>
      </c>
      <c r="T163" s="4" t="s">
        <v>19</v>
      </c>
      <c r="U163" s="4" t="str">
        <f t="shared" si="10"/>
        <v>NOT AN ADD-ON</v>
      </c>
      <c r="V163" s="4" t="str">
        <f t="shared" si="9"/>
        <v>TRANSPORATIONINDUSTRY SOLUTIONAUTHORIZEDNOT AN ADD-ON</v>
      </c>
    </row>
    <row r="164" spans="1:22" ht="29.25" customHeight="1" thickBot="1">
      <c r="A164" s="10" t="s">
        <v>21</v>
      </c>
      <c r="B164" s="10" t="s">
        <v>22</v>
      </c>
      <c r="C164" s="10" t="s">
        <v>778</v>
      </c>
      <c r="D164" s="10" t="s">
        <v>779</v>
      </c>
      <c r="E164" s="10" t="s">
        <v>780</v>
      </c>
      <c r="F164" s="10" t="s">
        <v>781</v>
      </c>
      <c r="G164" s="11">
        <v>4900</v>
      </c>
      <c r="H164" s="163" t="s">
        <v>847</v>
      </c>
      <c r="I164" s="166" t="s">
        <v>848</v>
      </c>
      <c r="J164" s="163" t="s">
        <v>844</v>
      </c>
      <c r="K164" s="10" t="s">
        <v>30</v>
      </c>
      <c r="L164" s="10">
        <v>15</v>
      </c>
      <c r="M164" s="10">
        <f t="shared" si="8"/>
        <v>5</v>
      </c>
      <c r="N164" s="10">
        <v>15</v>
      </c>
      <c r="O164" s="12">
        <v>5</v>
      </c>
      <c r="P164" s="11">
        <v>7660</v>
      </c>
      <c r="Q164" s="10" t="s">
        <v>48</v>
      </c>
      <c r="R164" s="4" t="s">
        <v>1283</v>
      </c>
      <c r="S164" s="4" t="s">
        <v>1279</v>
      </c>
      <c r="T164" s="4" t="s">
        <v>19</v>
      </c>
      <c r="U164" s="4" t="str">
        <f t="shared" si="10"/>
        <v>NOT AN ADD-ON</v>
      </c>
      <c r="V164" s="4" t="str">
        <f t="shared" si="9"/>
        <v>TRANSPORATIONINDUSTRY SOLUTIONAUTHORIZEDNOT AN ADD-ON</v>
      </c>
    </row>
    <row r="165" spans="1:22" ht="15" thickBot="1">
      <c r="A165" s="10" t="s">
        <v>21</v>
      </c>
      <c r="B165" s="10" t="s">
        <v>22</v>
      </c>
      <c r="C165" s="10" t="s">
        <v>870</v>
      </c>
      <c r="D165" s="10" t="s">
        <v>871</v>
      </c>
      <c r="E165" s="10" t="s">
        <v>872</v>
      </c>
      <c r="F165" s="10" t="s">
        <v>873</v>
      </c>
      <c r="G165" s="11">
        <v>4900</v>
      </c>
      <c r="H165" s="163" t="s">
        <v>901</v>
      </c>
      <c r="I165" s="166" t="s">
        <v>902</v>
      </c>
      <c r="J165" s="163" t="s">
        <v>898</v>
      </c>
      <c r="K165" s="10" t="s">
        <v>30</v>
      </c>
      <c r="L165" s="10">
        <v>15</v>
      </c>
      <c r="M165" s="10">
        <f t="shared" si="8"/>
        <v>5</v>
      </c>
      <c r="N165" s="10">
        <v>15</v>
      </c>
      <c r="O165" s="12">
        <v>5</v>
      </c>
      <c r="P165" s="11">
        <v>7660</v>
      </c>
      <c r="Q165" s="10" t="s">
        <v>48</v>
      </c>
      <c r="R165" s="4" t="s">
        <v>1284</v>
      </c>
      <c r="S165" s="4" t="s">
        <v>1279</v>
      </c>
      <c r="T165" s="4" t="s">
        <v>19</v>
      </c>
      <c r="U165" s="4" t="str">
        <f t="shared" si="10"/>
        <v>NOT AN ADD-ON</v>
      </c>
      <c r="V165" s="4" t="str">
        <f t="shared" si="9"/>
        <v>UTILITIESINDUSTRY SOLUTIONAUTHORIZEDNOT AN ADD-ON</v>
      </c>
    </row>
    <row r="166" spans="1:22" ht="29.25" customHeight="1" thickBot="1">
      <c r="A166" s="10" t="s">
        <v>21</v>
      </c>
      <c r="B166" s="10" t="s">
        <v>22</v>
      </c>
      <c r="C166" s="10" t="s">
        <v>870</v>
      </c>
      <c r="D166" s="10" t="s">
        <v>871</v>
      </c>
      <c r="E166" s="10" t="s">
        <v>872</v>
      </c>
      <c r="F166" s="10" t="s">
        <v>873</v>
      </c>
      <c r="G166" s="11">
        <v>4900</v>
      </c>
      <c r="H166" s="163" t="s">
        <v>935</v>
      </c>
      <c r="I166" s="166" t="s">
        <v>936</v>
      </c>
      <c r="J166" s="163" t="s">
        <v>932</v>
      </c>
      <c r="K166" s="10" t="s">
        <v>30</v>
      </c>
      <c r="L166" s="10">
        <v>15</v>
      </c>
      <c r="M166" s="10">
        <f t="shared" si="8"/>
        <v>5</v>
      </c>
      <c r="N166" s="10">
        <v>15</v>
      </c>
      <c r="O166" s="12">
        <v>5</v>
      </c>
      <c r="P166" s="11">
        <v>7660</v>
      </c>
      <c r="Q166" s="10" t="s">
        <v>48</v>
      </c>
      <c r="R166" s="4" t="s">
        <v>1284</v>
      </c>
      <c r="S166" s="4" t="s">
        <v>1279</v>
      </c>
      <c r="T166" s="4" t="s">
        <v>19</v>
      </c>
      <c r="U166" s="4" t="str">
        <f t="shared" si="10"/>
        <v>NOT AN ADD-ON</v>
      </c>
      <c r="V166" s="4" t="str">
        <f t="shared" si="9"/>
        <v>UTILITIESINDUSTRY SOLUTIONAUTHORIZEDNOT AN ADD-ON</v>
      </c>
    </row>
    <row r="167" spans="1:22" ht="15" thickBot="1">
      <c r="A167" s="10" t="s">
        <v>21</v>
      </c>
      <c r="B167" s="10" t="s">
        <v>22</v>
      </c>
      <c r="C167" s="10" t="s">
        <v>500</v>
      </c>
      <c r="D167" s="10" t="s">
        <v>501</v>
      </c>
      <c r="E167" s="10" t="s">
        <v>502</v>
      </c>
      <c r="F167" s="10" t="s">
        <v>503</v>
      </c>
      <c r="G167" s="11">
        <v>4470</v>
      </c>
      <c r="H167" s="163" t="s">
        <v>532</v>
      </c>
      <c r="I167" s="166" t="s">
        <v>533</v>
      </c>
      <c r="J167" s="163" t="s">
        <v>529</v>
      </c>
      <c r="K167" s="10" t="s">
        <v>30</v>
      </c>
      <c r="L167" s="10">
        <v>10</v>
      </c>
      <c r="M167" s="10">
        <f t="shared" si="8"/>
        <v>3.33</v>
      </c>
      <c r="N167" s="15">
        <v>5</v>
      </c>
      <c r="O167" s="16">
        <v>1.67</v>
      </c>
      <c r="P167" s="11">
        <v>6980</v>
      </c>
      <c r="Q167" s="10" t="s">
        <v>48</v>
      </c>
      <c r="R167" s="4" t="s">
        <v>1292</v>
      </c>
      <c r="S167" s="4" t="s">
        <v>1292</v>
      </c>
      <c r="T167" s="4" t="s">
        <v>19</v>
      </c>
      <c r="U167" s="4" t="str">
        <f t="shared" si="10"/>
        <v>NOT AN ADD-ON</v>
      </c>
      <c r="V167" s="4" t="str">
        <f t="shared" si="9"/>
        <v>LIFE SCIENCESLIFE SCIENCESAUTHORIZEDNOT AN ADD-ON</v>
      </c>
    </row>
    <row r="168" spans="1:22" ht="27" thickBot="1">
      <c r="A168" s="10" t="s">
        <v>21</v>
      </c>
      <c r="B168" s="10" t="s">
        <v>22</v>
      </c>
      <c r="C168" s="10" t="s">
        <v>500</v>
      </c>
      <c r="D168" s="10" t="s">
        <v>501</v>
      </c>
      <c r="E168" s="10" t="s">
        <v>502</v>
      </c>
      <c r="F168" s="10" t="s">
        <v>503</v>
      </c>
      <c r="G168" s="11">
        <v>4470</v>
      </c>
      <c r="H168" s="163" t="s">
        <v>569</v>
      </c>
      <c r="I168" s="166" t="s">
        <v>570</v>
      </c>
      <c r="J168" s="163" t="s">
        <v>561</v>
      </c>
      <c r="K168" s="10" t="s">
        <v>30</v>
      </c>
      <c r="L168" s="10">
        <v>10</v>
      </c>
      <c r="M168" s="10">
        <f t="shared" si="8"/>
        <v>3.33</v>
      </c>
      <c r="N168" s="10">
        <v>5</v>
      </c>
      <c r="O168" s="12">
        <v>1.6666666666666667</v>
      </c>
      <c r="P168" s="11">
        <v>712</v>
      </c>
      <c r="Q168" s="10" t="s">
        <v>48</v>
      </c>
      <c r="R168" s="4" t="s">
        <v>1292</v>
      </c>
      <c r="S168" s="4" t="s">
        <v>1292</v>
      </c>
      <c r="T168" s="4" t="s">
        <v>19</v>
      </c>
      <c r="U168" s="4" t="str">
        <f t="shared" si="10"/>
        <v>NOT AN ADD-ON</v>
      </c>
      <c r="V168" s="4" t="str">
        <f t="shared" si="9"/>
        <v>LIFE SCIENCESLIFE SCIENCESAUTHORIZEDNOT AN ADD-ON</v>
      </c>
    </row>
    <row r="169" spans="1:22" ht="29.25" customHeight="1" thickBot="1">
      <c r="A169" s="10" t="s">
        <v>21</v>
      </c>
      <c r="B169" s="10" t="s">
        <v>22</v>
      </c>
      <c r="C169" s="10" t="s">
        <v>23</v>
      </c>
      <c r="D169" s="10" t="s">
        <v>24</v>
      </c>
      <c r="E169" s="10" t="s">
        <v>25</v>
      </c>
      <c r="F169" s="10" t="s">
        <v>26</v>
      </c>
      <c r="G169" s="11">
        <v>2310</v>
      </c>
      <c r="H169" s="163" t="s">
        <v>90</v>
      </c>
      <c r="I169" s="158" t="s">
        <v>91</v>
      </c>
      <c r="J169" s="163" t="s">
        <v>90</v>
      </c>
      <c r="K169" s="10" t="s">
        <v>30</v>
      </c>
      <c r="L169" s="10">
        <v>5</v>
      </c>
      <c r="M169" s="10">
        <f t="shared" si="8"/>
        <v>1.67</v>
      </c>
      <c r="N169" s="10">
        <v>5</v>
      </c>
      <c r="O169" s="12">
        <f t="shared" ref="O169:O178" si="11">N169/3</f>
        <v>1.6666666666666667</v>
      </c>
      <c r="P169" s="11">
        <v>2310</v>
      </c>
      <c r="Q169" s="10" t="s">
        <v>33</v>
      </c>
      <c r="R169" s="4" t="s">
        <v>42</v>
      </c>
      <c r="S169" s="4" t="s">
        <v>42</v>
      </c>
      <c r="T169" s="4" t="s">
        <v>19</v>
      </c>
      <c r="U169" s="4" t="str">
        <f t="shared" si="10"/>
        <v>NOT AN ADD-ON</v>
      </c>
      <c r="V169" s="4" t="str">
        <f t="shared" si="9"/>
        <v>ANYWHEREANYWHEREAUTHORIZEDNOT AN ADD-ON</v>
      </c>
    </row>
    <row r="170" spans="1:22" ht="15" thickBot="1">
      <c r="A170" s="10" t="s">
        <v>21</v>
      </c>
      <c r="B170" s="10" t="s">
        <v>22</v>
      </c>
      <c r="C170" s="10" t="s">
        <v>23</v>
      </c>
      <c r="D170" s="10" t="s">
        <v>24</v>
      </c>
      <c r="E170" s="10" t="s">
        <v>25</v>
      </c>
      <c r="F170" s="10" t="s">
        <v>26</v>
      </c>
      <c r="G170" s="11">
        <v>1390</v>
      </c>
      <c r="H170" s="163" t="s">
        <v>92</v>
      </c>
      <c r="I170" s="158" t="s">
        <v>93</v>
      </c>
      <c r="J170" s="163" t="s">
        <v>90</v>
      </c>
      <c r="K170" s="10" t="s">
        <v>30</v>
      </c>
      <c r="L170" s="10">
        <v>5</v>
      </c>
      <c r="M170" s="10">
        <f t="shared" si="8"/>
        <v>1.67</v>
      </c>
      <c r="N170" s="10">
        <v>5</v>
      </c>
      <c r="O170" s="12">
        <f t="shared" si="11"/>
        <v>1.6666666666666667</v>
      </c>
      <c r="P170" s="11">
        <v>2310</v>
      </c>
      <c r="Q170" s="10" t="s">
        <v>36</v>
      </c>
      <c r="R170" s="4" t="s">
        <v>42</v>
      </c>
      <c r="S170" s="4" t="s">
        <v>42</v>
      </c>
      <c r="T170" s="4" t="s">
        <v>19</v>
      </c>
      <c r="U170" s="4" t="str">
        <f t="shared" si="10"/>
        <v>NOT AN ADD-ON</v>
      </c>
      <c r="V170" s="4" t="str">
        <f t="shared" si="9"/>
        <v>ANYWHEREANYWHEREAUTHORIZEDNOT AN ADD-ON</v>
      </c>
    </row>
    <row r="171" spans="1:22" ht="15" thickBot="1">
      <c r="A171" s="10" t="s">
        <v>21</v>
      </c>
      <c r="B171" s="10" t="s">
        <v>22</v>
      </c>
      <c r="C171" s="10" t="s">
        <v>23</v>
      </c>
      <c r="D171" s="10" t="s">
        <v>24</v>
      </c>
      <c r="E171" s="10" t="s">
        <v>25</v>
      </c>
      <c r="F171" s="10" t="s">
        <v>26</v>
      </c>
      <c r="G171" s="11">
        <v>1570</v>
      </c>
      <c r="H171" s="163" t="s">
        <v>86</v>
      </c>
      <c r="I171" s="166" t="s">
        <v>87</v>
      </c>
      <c r="J171" s="163" t="s">
        <v>64</v>
      </c>
      <c r="K171" s="10" t="s">
        <v>30</v>
      </c>
      <c r="L171" s="10">
        <v>5</v>
      </c>
      <c r="M171" s="10">
        <f t="shared" si="8"/>
        <v>1.67</v>
      </c>
      <c r="N171" s="10">
        <v>5</v>
      </c>
      <c r="O171" s="12">
        <f t="shared" si="11"/>
        <v>1.6666666666666667</v>
      </c>
      <c r="P171" s="11">
        <v>7030</v>
      </c>
      <c r="Q171" s="10" t="s">
        <v>48</v>
      </c>
      <c r="R171" s="4" t="s">
        <v>42</v>
      </c>
      <c r="S171" s="4" t="s">
        <v>42</v>
      </c>
      <c r="T171" s="4" t="s">
        <v>19</v>
      </c>
      <c r="U171" s="4" t="str">
        <f t="shared" si="10"/>
        <v>NOT AN ADD-ON</v>
      </c>
      <c r="V171" s="4" t="str">
        <f t="shared" si="9"/>
        <v>ANYWHEREANYWHEREAUTHORIZEDNOT AN ADD-ON</v>
      </c>
    </row>
    <row r="172" spans="1:22" ht="29.25" customHeight="1" thickBot="1">
      <c r="A172" s="10" t="s">
        <v>21</v>
      </c>
      <c r="B172" s="10" t="s">
        <v>22</v>
      </c>
      <c r="C172" s="10" t="s">
        <v>23</v>
      </c>
      <c r="D172" s="10" t="s">
        <v>24</v>
      </c>
      <c r="E172" s="10" t="s">
        <v>25</v>
      </c>
      <c r="F172" s="10" t="s">
        <v>26</v>
      </c>
      <c r="G172" s="11">
        <v>2310</v>
      </c>
      <c r="H172" s="163" t="s">
        <v>82</v>
      </c>
      <c r="I172" s="158" t="s">
        <v>83</v>
      </c>
      <c r="J172" s="163" t="s">
        <v>82</v>
      </c>
      <c r="K172" s="10" t="s">
        <v>30</v>
      </c>
      <c r="L172" s="10">
        <v>5</v>
      </c>
      <c r="M172" s="10">
        <f t="shared" si="8"/>
        <v>1.67</v>
      </c>
      <c r="N172" s="10">
        <v>5</v>
      </c>
      <c r="O172" s="12">
        <f t="shared" si="11"/>
        <v>1.6666666666666667</v>
      </c>
      <c r="P172" s="11">
        <v>2310</v>
      </c>
      <c r="Q172" s="10" t="s">
        <v>33</v>
      </c>
      <c r="R172" s="4" t="s">
        <v>42</v>
      </c>
      <c r="S172" s="4" t="s">
        <v>42</v>
      </c>
      <c r="T172" s="4" t="s">
        <v>19</v>
      </c>
      <c r="U172" s="4" t="str">
        <f t="shared" si="10"/>
        <v>NOT AN ADD-ON</v>
      </c>
      <c r="V172" s="4" t="str">
        <f t="shared" si="9"/>
        <v>ANYWHEREANYWHEREAUTHORIZEDNOT AN ADD-ON</v>
      </c>
    </row>
    <row r="173" spans="1:22" ht="29.25" customHeight="1" thickBot="1">
      <c r="A173" s="10" t="s">
        <v>21</v>
      </c>
      <c r="B173" s="10" t="s">
        <v>22</v>
      </c>
      <c r="C173" s="10" t="s">
        <v>23</v>
      </c>
      <c r="D173" s="10" t="s">
        <v>24</v>
      </c>
      <c r="E173" s="10" t="s">
        <v>25</v>
      </c>
      <c r="F173" s="10" t="s">
        <v>26</v>
      </c>
      <c r="G173" s="11">
        <v>1390</v>
      </c>
      <c r="H173" s="163" t="s">
        <v>84</v>
      </c>
      <c r="I173" s="158" t="s">
        <v>85</v>
      </c>
      <c r="J173" s="163" t="s">
        <v>82</v>
      </c>
      <c r="K173" s="10" t="s">
        <v>30</v>
      </c>
      <c r="L173" s="10">
        <v>5</v>
      </c>
      <c r="M173" s="10">
        <f t="shared" si="8"/>
        <v>1.67</v>
      </c>
      <c r="N173" s="10">
        <v>5</v>
      </c>
      <c r="O173" s="12">
        <f t="shared" si="11"/>
        <v>1.6666666666666667</v>
      </c>
      <c r="P173" s="11">
        <v>2310</v>
      </c>
      <c r="Q173" s="10" t="s">
        <v>36</v>
      </c>
      <c r="R173" s="4" t="s">
        <v>42</v>
      </c>
      <c r="S173" s="4" t="s">
        <v>42</v>
      </c>
      <c r="T173" s="4" t="s">
        <v>19</v>
      </c>
      <c r="U173" s="4" t="str">
        <f t="shared" ref="U173:U204" si="12">IF(ISNUMBER(SEARCH("ADD-ON",$I173)),"ADD-ON","NOT AN ADD-ON")</f>
        <v>NOT AN ADD-ON</v>
      </c>
      <c r="V173" s="4" t="str">
        <f t="shared" si="9"/>
        <v>ANYWHEREANYWHEREAUTHORIZEDNOT AN ADD-ON</v>
      </c>
    </row>
    <row r="174" spans="1:22" ht="27" thickBot="1">
      <c r="A174" s="10" t="s">
        <v>21</v>
      </c>
      <c r="B174" s="10" t="s">
        <v>22</v>
      </c>
      <c r="C174" s="10" t="s">
        <v>23</v>
      </c>
      <c r="D174" s="10" t="s">
        <v>24</v>
      </c>
      <c r="E174" s="10" t="s">
        <v>25</v>
      </c>
      <c r="F174" s="10" t="s">
        <v>26</v>
      </c>
      <c r="G174" s="11">
        <v>1570</v>
      </c>
      <c r="H174" s="163" t="s">
        <v>78</v>
      </c>
      <c r="I174" s="166" t="s">
        <v>79</v>
      </c>
      <c r="J174" s="163" t="s">
        <v>72</v>
      </c>
      <c r="K174" s="10" t="s">
        <v>30</v>
      </c>
      <c r="L174" s="10">
        <v>5</v>
      </c>
      <c r="M174" s="10">
        <f t="shared" si="8"/>
        <v>1.67</v>
      </c>
      <c r="N174" s="10">
        <v>5</v>
      </c>
      <c r="O174" s="12">
        <f t="shared" si="11"/>
        <v>1.6666666666666667</v>
      </c>
      <c r="P174" s="11">
        <v>7030</v>
      </c>
      <c r="Q174" s="10" t="s">
        <v>48</v>
      </c>
      <c r="R174" s="4" t="s">
        <v>42</v>
      </c>
      <c r="S174" s="4" t="s">
        <v>42</v>
      </c>
      <c r="T174" s="4" t="s">
        <v>19</v>
      </c>
      <c r="U174" s="4" t="str">
        <f t="shared" si="12"/>
        <v>NOT AN ADD-ON</v>
      </c>
      <c r="V174" s="4" t="str">
        <f t="shared" si="9"/>
        <v>ANYWHEREANYWHEREAUTHORIZEDNOT AN ADD-ON</v>
      </c>
    </row>
    <row r="175" spans="1:22" ht="15" thickBot="1">
      <c r="A175" s="10" t="s">
        <v>21</v>
      </c>
      <c r="B175" s="10" t="s">
        <v>22</v>
      </c>
      <c r="C175" s="10" t="s">
        <v>23</v>
      </c>
      <c r="D175" s="10" t="s">
        <v>24</v>
      </c>
      <c r="E175" s="10" t="s">
        <v>25</v>
      </c>
      <c r="F175" s="10" t="s">
        <v>26</v>
      </c>
      <c r="G175" s="11">
        <v>1400</v>
      </c>
      <c r="H175" s="163" t="s">
        <v>29</v>
      </c>
      <c r="I175" s="158" t="s">
        <v>32</v>
      </c>
      <c r="J175" s="163" t="s">
        <v>29</v>
      </c>
      <c r="K175" s="10" t="s">
        <v>30</v>
      </c>
      <c r="L175" s="10">
        <v>0</v>
      </c>
      <c r="M175" s="10">
        <f t="shared" si="8"/>
        <v>0</v>
      </c>
      <c r="N175" s="10">
        <v>5</v>
      </c>
      <c r="O175" s="12">
        <f t="shared" si="11"/>
        <v>1.6666666666666667</v>
      </c>
      <c r="P175" s="11">
        <v>1400</v>
      </c>
      <c r="Q175" s="10" t="s">
        <v>33</v>
      </c>
      <c r="R175" s="4" t="s">
        <v>42</v>
      </c>
      <c r="S175" s="4" t="s">
        <v>42</v>
      </c>
      <c r="T175" s="4" t="s">
        <v>19</v>
      </c>
      <c r="U175" s="4" t="str">
        <f t="shared" si="12"/>
        <v>ADD-ON</v>
      </c>
      <c r="V175" s="4" t="str">
        <f t="shared" si="9"/>
        <v>ANYWHEREANYWHEREAUTHORIZEDADD-ON</v>
      </c>
    </row>
    <row r="176" spans="1:22" ht="15" thickBot="1">
      <c r="A176" s="10" t="s">
        <v>21</v>
      </c>
      <c r="B176" s="10" t="s">
        <v>22</v>
      </c>
      <c r="C176" s="10" t="s">
        <v>23</v>
      </c>
      <c r="D176" s="10" t="s">
        <v>24</v>
      </c>
      <c r="E176" s="10" t="s">
        <v>25</v>
      </c>
      <c r="F176" s="10" t="s">
        <v>26</v>
      </c>
      <c r="G176" s="11">
        <v>839</v>
      </c>
      <c r="H176" s="163" t="s">
        <v>34</v>
      </c>
      <c r="I176" s="158" t="s">
        <v>35</v>
      </c>
      <c r="J176" s="163" t="s">
        <v>29</v>
      </c>
      <c r="K176" s="10" t="s">
        <v>30</v>
      </c>
      <c r="L176" s="10">
        <v>0</v>
      </c>
      <c r="M176" s="10">
        <f t="shared" si="8"/>
        <v>0</v>
      </c>
      <c r="N176" s="10">
        <v>5</v>
      </c>
      <c r="O176" s="12">
        <f t="shared" si="11"/>
        <v>1.6666666666666667</v>
      </c>
      <c r="P176" s="11">
        <v>1400</v>
      </c>
      <c r="Q176" s="10" t="s">
        <v>36</v>
      </c>
      <c r="R176" s="4" t="s">
        <v>42</v>
      </c>
      <c r="S176" s="4" t="s">
        <v>42</v>
      </c>
      <c r="T176" s="4" t="s">
        <v>19</v>
      </c>
      <c r="U176" s="4" t="str">
        <f t="shared" si="12"/>
        <v>ADD-ON</v>
      </c>
      <c r="V176" s="4" t="str">
        <f t="shared" si="9"/>
        <v>ANYWHEREANYWHEREAUTHORIZEDADD-ON</v>
      </c>
    </row>
    <row r="177" spans="1:22" ht="29.25" customHeight="1" thickBot="1">
      <c r="A177" s="10" t="s">
        <v>21</v>
      </c>
      <c r="B177" s="10" t="s">
        <v>22</v>
      </c>
      <c r="C177" s="10" t="s">
        <v>23</v>
      </c>
      <c r="D177" s="10" t="s">
        <v>24</v>
      </c>
      <c r="E177" s="10" t="s">
        <v>25</v>
      </c>
      <c r="F177" s="10" t="s">
        <v>26</v>
      </c>
      <c r="G177" s="11">
        <v>1400</v>
      </c>
      <c r="H177" s="163" t="s">
        <v>58</v>
      </c>
      <c r="I177" s="158" t="s">
        <v>59</v>
      </c>
      <c r="J177" s="163" t="s">
        <v>58</v>
      </c>
      <c r="K177" s="10" t="s">
        <v>30</v>
      </c>
      <c r="L177" s="10">
        <v>0</v>
      </c>
      <c r="M177" s="10">
        <f t="shared" si="8"/>
        <v>0</v>
      </c>
      <c r="N177" s="10">
        <v>5</v>
      </c>
      <c r="O177" s="12">
        <f t="shared" si="11"/>
        <v>1.6666666666666667</v>
      </c>
      <c r="P177" s="11">
        <v>1400</v>
      </c>
      <c r="Q177" s="10" t="s">
        <v>33</v>
      </c>
      <c r="R177" s="4" t="s">
        <v>42</v>
      </c>
      <c r="S177" s="4" t="s">
        <v>42</v>
      </c>
      <c r="T177" s="4" t="s">
        <v>19</v>
      </c>
      <c r="U177" s="4" t="str">
        <f t="shared" si="12"/>
        <v>ADD-ON</v>
      </c>
      <c r="V177" s="4" t="str">
        <f t="shared" si="9"/>
        <v>ANYWHEREANYWHEREAUTHORIZEDADD-ON</v>
      </c>
    </row>
    <row r="178" spans="1:22" ht="29.25" customHeight="1" thickBot="1">
      <c r="A178" s="10" t="s">
        <v>21</v>
      </c>
      <c r="B178" s="10" t="s">
        <v>22</v>
      </c>
      <c r="C178" s="10" t="s">
        <v>23</v>
      </c>
      <c r="D178" s="10" t="s">
        <v>24</v>
      </c>
      <c r="E178" s="10" t="s">
        <v>25</v>
      </c>
      <c r="F178" s="10" t="s">
        <v>26</v>
      </c>
      <c r="G178" s="11">
        <v>839</v>
      </c>
      <c r="H178" s="163" t="s">
        <v>60</v>
      </c>
      <c r="I178" s="158" t="s">
        <v>61</v>
      </c>
      <c r="J178" s="163" t="s">
        <v>58</v>
      </c>
      <c r="K178" s="10" t="s">
        <v>30</v>
      </c>
      <c r="L178" s="10">
        <v>0</v>
      </c>
      <c r="M178" s="10">
        <f t="shared" si="8"/>
        <v>0</v>
      </c>
      <c r="N178" s="10">
        <v>5</v>
      </c>
      <c r="O178" s="12">
        <f t="shared" si="11"/>
        <v>1.6666666666666667</v>
      </c>
      <c r="P178" s="11">
        <v>1400</v>
      </c>
      <c r="Q178" s="10" t="s">
        <v>36</v>
      </c>
      <c r="R178" s="4" t="s">
        <v>42</v>
      </c>
      <c r="S178" s="4" t="s">
        <v>42</v>
      </c>
      <c r="T178" s="4" t="s">
        <v>19</v>
      </c>
      <c r="U178" s="4" t="str">
        <f t="shared" si="12"/>
        <v>ADD-ON</v>
      </c>
      <c r="V178" s="4" t="str">
        <f t="shared" si="9"/>
        <v>ANYWHEREANYWHEREAUTHORIZEDADD-ON</v>
      </c>
    </row>
    <row r="179" spans="1:22" ht="15" thickBot="1">
      <c r="A179" s="10" t="s">
        <v>21</v>
      </c>
      <c r="B179" s="10" t="s">
        <v>22</v>
      </c>
      <c r="C179" s="10" t="s">
        <v>301</v>
      </c>
      <c r="D179" s="10" t="s">
        <v>141</v>
      </c>
      <c r="E179" s="10" t="s">
        <v>142</v>
      </c>
      <c r="F179" s="10" t="s">
        <v>143</v>
      </c>
      <c r="G179" s="11">
        <v>645</v>
      </c>
      <c r="H179" s="163" t="s">
        <v>305</v>
      </c>
      <c r="I179" s="166" t="s">
        <v>306</v>
      </c>
      <c r="J179" s="163" t="s">
        <v>304</v>
      </c>
      <c r="K179" s="10" t="s">
        <v>30</v>
      </c>
      <c r="L179" s="10">
        <v>0</v>
      </c>
      <c r="M179" s="10">
        <f t="shared" si="8"/>
        <v>0</v>
      </c>
      <c r="N179" s="10">
        <v>10</v>
      </c>
      <c r="O179" s="12">
        <v>3.3333333333333335</v>
      </c>
      <c r="P179" s="11">
        <v>2020</v>
      </c>
      <c r="Q179" s="10" t="s">
        <v>48</v>
      </c>
      <c r="R179" s="4" t="s">
        <v>1285</v>
      </c>
      <c r="S179" s="4" t="s">
        <v>507</v>
      </c>
      <c r="T179" s="4" t="s">
        <v>19</v>
      </c>
      <c r="U179" s="4" t="str">
        <f t="shared" si="12"/>
        <v>NOT AN ADD-ON</v>
      </c>
      <c r="V179" s="4" t="str">
        <f t="shared" si="9"/>
        <v>SCHEDULERADD-ONAUTHORIZEDNOT AN ADD-ON</v>
      </c>
    </row>
    <row r="180" spans="1:22" ht="27" thickBot="1">
      <c r="A180" s="10" t="s">
        <v>21</v>
      </c>
      <c r="B180" s="10" t="s">
        <v>22</v>
      </c>
      <c r="C180" s="10" t="s">
        <v>301</v>
      </c>
      <c r="D180" s="10" t="s">
        <v>141</v>
      </c>
      <c r="E180" s="10" t="s">
        <v>142</v>
      </c>
      <c r="F180" s="10" t="s">
        <v>143</v>
      </c>
      <c r="G180" s="11">
        <v>1380</v>
      </c>
      <c r="H180" s="163" t="s">
        <v>302</v>
      </c>
      <c r="I180" s="166" t="s">
        <v>303</v>
      </c>
      <c r="J180" s="163" t="s">
        <v>304</v>
      </c>
      <c r="K180" s="10" t="s">
        <v>30</v>
      </c>
      <c r="L180" s="10">
        <v>0</v>
      </c>
      <c r="M180" s="10">
        <f t="shared" si="8"/>
        <v>0</v>
      </c>
      <c r="N180" s="10">
        <v>10</v>
      </c>
      <c r="O180" s="12">
        <v>3.3333333333333335</v>
      </c>
      <c r="P180" s="11">
        <v>2020</v>
      </c>
      <c r="Q180" s="10" t="s">
        <v>48</v>
      </c>
      <c r="R180" s="4" t="s">
        <v>1285</v>
      </c>
      <c r="S180" s="4" t="s">
        <v>507</v>
      </c>
      <c r="T180" s="4" t="s">
        <v>19</v>
      </c>
      <c r="U180" s="4" t="str">
        <f t="shared" si="12"/>
        <v>NOT AN ADD-ON</v>
      </c>
      <c r="V180" s="4" t="str">
        <f t="shared" si="9"/>
        <v>SCHEDULERADD-ONAUTHORIZEDNOT AN ADD-ON</v>
      </c>
    </row>
    <row r="181" spans="1:22" ht="27" thickBot="1">
      <c r="A181" s="10" t="s">
        <v>21</v>
      </c>
      <c r="B181" s="10" t="s">
        <v>22</v>
      </c>
      <c r="C181" s="10" t="s">
        <v>301</v>
      </c>
      <c r="D181" s="10" t="s">
        <v>141</v>
      </c>
      <c r="E181" s="10" t="s">
        <v>142</v>
      </c>
      <c r="F181" s="10" t="s">
        <v>143</v>
      </c>
      <c r="G181" s="11">
        <v>645</v>
      </c>
      <c r="H181" s="163" t="s">
        <v>331</v>
      </c>
      <c r="I181" s="166" t="s">
        <v>332</v>
      </c>
      <c r="J181" s="163" t="s">
        <v>330</v>
      </c>
      <c r="K181" s="10" t="s">
        <v>30</v>
      </c>
      <c r="L181" s="10">
        <v>0</v>
      </c>
      <c r="M181" s="10">
        <f t="shared" si="8"/>
        <v>0</v>
      </c>
      <c r="N181" s="10">
        <v>10</v>
      </c>
      <c r="O181" s="12">
        <v>3.3333333333333335</v>
      </c>
      <c r="P181" s="11">
        <v>2020</v>
      </c>
      <c r="Q181" s="10" t="s">
        <v>48</v>
      </c>
      <c r="R181" s="4" t="s">
        <v>1285</v>
      </c>
      <c r="S181" s="4" t="s">
        <v>507</v>
      </c>
      <c r="T181" s="4" t="s">
        <v>19</v>
      </c>
      <c r="U181" s="4" t="str">
        <f t="shared" si="12"/>
        <v>NOT AN ADD-ON</v>
      </c>
      <c r="V181" s="4" t="str">
        <f t="shared" si="9"/>
        <v>SCHEDULERADD-ONAUTHORIZEDNOT AN ADD-ON</v>
      </c>
    </row>
    <row r="182" spans="1:22" ht="29.25" customHeight="1" thickBot="1">
      <c r="A182" s="10" t="s">
        <v>21</v>
      </c>
      <c r="B182" s="10" t="s">
        <v>22</v>
      </c>
      <c r="C182" s="10" t="s">
        <v>301</v>
      </c>
      <c r="D182" s="10" t="s">
        <v>141</v>
      </c>
      <c r="E182" s="10" t="s">
        <v>142</v>
      </c>
      <c r="F182" s="10" t="s">
        <v>143</v>
      </c>
      <c r="G182" s="11">
        <v>1380</v>
      </c>
      <c r="H182" s="163" t="s">
        <v>328</v>
      </c>
      <c r="I182" s="166" t="s">
        <v>329</v>
      </c>
      <c r="J182" s="163" t="s">
        <v>330</v>
      </c>
      <c r="K182" s="10" t="s">
        <v>30</v>
      </c>
      <c r="L182" s="10">
        <v>0</v>
      </c>
      <c r="M182" s="10">
        <f t="shared" si="8"/>
        <v>0</v>
      </c>
      <c r="N182" s="10">
        <v>10</v>
      </c>
      <c r="O182" s="12">
        <v>3.3333333333333335</v>
      </c>
      <c r="P182" s="11">
        <v>2020</v>
      </c>
      <c r="Q182" s="10" t="s">
        <v>48</v>
      </c>
      <c r="R182" s="4" t="s">
        <v>1285</v>
      </c>
      <c r="S182" s="4" t="s">
        <v>507</v>
      </c>
      <c r="T182" s="4" t="s">
        <v>19</v>
      </c>
      <c r="U182" s="4" t="str">
        <f t="shared" si="12"/>
        <v>NOT AN ADD-ON</v>
      </c>
      <c r="V182" s="4" t="str">
        <f t="shared" si="9"/>
        <v>SCHEDULERADD-ONAUTHORIZEDNOT AN ADD-ON</v>
      </c>
    </row>
    <row r="183" spans="1:22" ht="15" thickBot="1">
      <c r="A183" s="10" t="s">
        <v>21</v>
      </c>
      <c r="B183" s="10" t="s">
        <v>22</v>
      </c>
      <c r="C183" s="10" t="s">
        <v>448</v>
      </c>
      <c r="D183" s="10" t="s">
        <v>449</v>
      </c>
      <c r="E183" s="10" t="s">
        <v>450</v>
      </c>
      <c r="F183" s="10" t="s">
        <v>451</v>
      </c>
      <c r="G183" s="11">
        <v>11400</v>
      </c>
      <c r="H183" s="163" t="s">
        <v>454</v>
      </c>
      <c r="I183" s="158" t="s">
        <v>455</v>
      </c>
      <c r="J183" s="163" t="s">
        <v>454</v>
      </c>
      <c r="K183" s="10" t="s">
        <v>30</v>
      </c>
      <c r="L183" s="10">
        <v>15</v>
      </c>
      <c r="M183" s="10">
        <f t="shared" si="8"/>
        <v>5</v>
      </c>
      <c r="N183" s="10">
        <v>15</v>
      </c>
      <c r="O183" s="12">
        <v>5</v>
      </c>
      <c r="P183" s="11">
        <v>11400</v>
      </c>
      <c r="Q183" s="10" t="s">
        <v>33</v>
      </c>
      <c r="R183" s="4" t="s">
        <v>1280</v>
      </c>
      <c r="S183" s="4" t="s">
        <v>1279</v>
      </c>
      <c r="T183" s="4" t="s">
        <v>19</v>
      </c>
      <c r="U183" s="4" t="str">
        <f t="shared" si="12"/>
        <v>NOT AN ADD-ON</v>
      </c>
      <c r="V183" s="4" t="str">
        <f t="shared" si="9"/>
        <v>AVIATIONINDUSTRY SOLUTIONAUTHORIZEDNOT AN ADD-ON</v>
      </c>
    </row>
    <row r="184" spans="1:22" ht="29.25" customHeight="1" thickBot="1">
      <c r="A184" s="10" t="s">
        <v>21</v>
      </c>
      <c r="B184" s="10" t="s">
        <v>22</v>
      </c>
      <c r="C184" s="10" t="s">
        <v>448</v>
      </c>
      <c r="D184" s="10" t="s">
        <v>449</v>
      </c>
      <c r="E184" s="10" t="s">
        <v>450</v>
      </c>
      <c r="F184" s="10" t="s">
        <v>451</v>
      </c>
      <c r="G184" s="11">
        <v>6880</v>
      </c>
      <c r="H184" s="163" t="s">
        <v>456</v>
      </c>
      <c r="I184" s="158" t="s">
        <v>457</v>
      </c>
      <c r="J184" s="163" t="s">
        <v>454</v>
      </c>
      <c r="K184" s="10" t="s">
        <v>30</v>
      </c>
      <c r="L184" s="10">
        <v>15</v>
      </c>
      <c r="M184" s="10">
        <f t="shared" si="8"/>
        <v>5</v>
      </c>
      <c r="N184" s="10">
        <v>15</v>
      </c>
      <c r="O184" s="12">
        <v>5</v>
      </c>
      <c r="P184" s="11">
        <v>11400</v>
      </c>
      <c r="Q184" s="10" t="s">
        <v>36</v>
      </c>
      <c r="R184" s="4" t="s">
        <v>1280</v>
      </c>
      <c r="S184" s="4" t="s">
        <v>1279</v>
      </c>
      <c r="T184" s="4" t="s">
        <v>19</v>
      </c>
      <c r="U184" s="4" t="str">
        <f t="shared" si="12"/>
        <v>NOT AN ADD-ON</v>
      </c>
      <c r="V184" s="4" t="str">
        <f t="shared" si="9"/>
        <v>AVIATIONINDUSTRY SOLUTIONAUTHORIZEDNOT AN ADD-ON</v>
      </c>
    </row>
    <row r="185" spans="1:22" ht="15" thickBot="1">
      <c r="A185" s="10" t="s">
        <v>21</v>
      </c>
      <c r="B185" s="10" t="s">
        <v>22</v>
      </c>
      <c r="C185" s="10" t="s">
        <v>448</v>
      </c>
      <c r="D185" s="10" t="s">
        <v>449</v>
      </c>
      <c r="E185" s="10" t="s">
        <v>450</v>
      </c>
      <c r="F185" s="10" t="s">
        <v>451</v>
      </c>
      <c r="G185" s="11">
        <v>31600</v>
      </c>
      <c r="H185" s="163" t="s">
        <v>460</v>
      </c>
      <c r="I185" s="158" t="s">
        <v>461</v>
      </c>
      <c r="J185" s="163" t="s">
        <v>460</v>
      </c>
      <c r="K185" s="10" t="s">
        <v>40</v>
      </c>
      <c r="L185" s="10">
        <v>15</v>
      </c>
      <c r="M185" s="10">
        <f t="shared" si="8"/>
        <v>15</v>
      </c>
      <c r="N185" s="10">
        <v>15</v>
      </c>
      <c r="O185" s="12">
        <v>1</v>
      </c>
      <c r="P185" s="11">
        <v>31600</v>
      </c>
      <c r="Q185" s="10" t="s">
        <v>33</v>
      </c>
      <c r="R185" s="4" t="s">
        <v>1280</v>
      </c>
      <c r="S185" s="4" t="s">
        <v>1279</v>
      </c>
      <c r="T185" s="4" t="s">
        <v>19</v>
      </c>
      <c r="U185" s="4" t="str">
        <f t="shared" si="12"/>
        <v>NOT AN ADD-ON</v>
      </c>
      <c r="V185" s="4" t="str">
        <f t="shared" si="9"/>
        <v>AVIATIONINDUSTRY SOLUTIONAUTHORIZEDNOT AN ADD-ON</v>
      </c>
    </row>
    <row r="186" spans="1:22" ht="15" thickBot="1">
      <c r="A186" s="10" t="s">
        <v>21</v>
      </c>
      <c r="B186" s="10" t="s">
        <v>22</v>
      </c>
      <c r="C186" s="10" t="s">
        <v>448</v>
      </c>
      <c r="D186" s="10" t="s">
        <v>449</v>
      </c>
      <c r="E186" s="10" t="s">
        <v>450</v>
      </c>
      <c r="F186" s="10" t="s">
        <v>451</v>
      </c>
      <c r="G186" s="11">
        <v>18800</v>
      </c>
      <c r="H186" s="163" t="s">
        <v>462</v>
      </c>
      <c r="I186" s="158" t="s">
        <v>463</v>
      </c>
      <c r="J186" s="163" t="s">
        <v>460</v>
      </c>
      <c r="K186" s="10" t="s">
        <v>40</v>
      </c>
      <c r="L186" s="10">
        <v>15</v>
      </c>
      <c r="M186" s="10">
        <f t="shared" si="8"/>
        <v>15</v>
      </c>
      <c r="N186" s="10">
        <v>15</v>
      </c>
      <c r="O186" s="12">
        <v>1</v>
      </c>
      <c r="P186" s="11">
        <v>31600</v>
      </c>
      <c r="Q186" s="10" t="s">
        <v>36</v>
      </c>
      <c r="R186" s="4" t="s">
        <v>1280</v>
      </c>
      <c r="S186" s="4" t="s">
        <v>1279</v>
      </c>
      <c r="T186" s="4" t="s">
        <v>19</v>
      </c>
      <c r="U186" s="4" t="str">
        <f t="shared" si="12"/>
        <v>NOT AN ADD-ON</v>
      </c>
      <c r="V186" s="4" t="str">
        <f t="shared" si="9"/>
        <v>AVIATIONINDUSTRY SOLUTIONAUTHORIZEDNOT AN ADD-ON</v>
      </c>
    </row>
    <row r="187" spans="1:22" ht="29.25" customHeight="1" thickBot="1">
      <c r="A187" s="10" t="s">
        <v>21</v>
      </c>
      <c r="B187" s="10" t="s">
        <v>22</v>
      </c>
      <c r="C187" s="10" t="s">
        <v>448</v>
      </c>
      <c r="D187" s="10" t="s">
        <v>449</v>
      </c>
      <c r="E187" s="10" t="s">
        <v>450</v>
      </c>
      <c r="F187" s="10" t="s">
        <v>451</v>
      </c>
      <c r="G187" s="11">
        <v>3840</v>
      </c>
      <c r="H187" s="163" t="s">
        <v>478</v>
      </c>
      <c r="I187" s="158" t="s">
        <v>479</v>
      </c>
      <c r="J187" s="163" t="s">
        <v>478</v>
      </c>
      <c r="K187" s="10" t="s">
        <v>30</v>
      </c>
      <c r="L187" s="10">
        <v>5</v>
      </c>
      <c r="M187" s="10">
        <f t="shared" si="8"/>
        <v>1.67</v>
      </c>
      <c r="N187" s="10">
        <v>5</v>
      </c>
      <c r="O187" s="12">
        <v>1.6666666666666667</v>
      </c>
      <c r="P187" s="11">
        <v>3840</v>
      </c>
      <c r="Q187" s="10" t="s">
        <v>33</v>
      </c>
      <c r="R187" s="4" t="s">
        <v>1280</v>
      </c>
      <c r="S187" s="4" t="s">
        <v>1279</v>
      </c>
      <c r="T187" s="4" t="s">
        <v>672</v>
      </c>
      <c r="U187" s="4" t="str">
        <f t="shared" si="12"/>
        <v>NOT AN ADD-ON</v>
      </c>
      <c r="V187" s="4" t="str">
        <f t="shared" si="9"/>
        <v>AVIATIONINDUSTRY SOLUTIONLIMITEDNOT AN ADD-ON</v>
      </c>
    </row>
    <row r="188" spans="1:22" ht="29.25" customHeight="1" thickBot="1">
      <c r="A188" s="10" t="s">
        <v>21</v>
      </c>
      <c r="B188" s="10" t="s">
        <v>22</v>
      </c>
      <c r="C188" s="10" t="s">
        <v>448</v>
      </c>
      <c r="D188" s="10" t="s">
        <v>449</v>
      </c>
      <c r="E188" s="10" t="s">
        <v>450</v>
      </c>
      <c r="F188" s="10" t="s">
        <v>451</v>
      </c>
      <c r="G188" s="11">
        <v>2310</v>
      </c>
      <c r="H188" s="163" t="s">
        <v>480</v>
      </c>
      <c r="I188" s="158" t="s">
        <v>481</v>
      </c>
      <c r="J188" s="163" t="s">
        <v>478</v>
      </c>
      <c r="K188" s="10" t="s">
        <v>30</v>
      </c>
      <c r="L188" s="10">
        <v>5</v>
      </c>
      <c r="M188" s="10">
        <f t="shared" si="8"/>
        <v>1.67</v>
      </c>
      <c r="N188" s="10">
        <v>5</v>
      </c>
      <c r="O188" s="12">
        <v>1.6666666666666667</v>
      </c>
      <c r="P188" s="11">
        <v>3840</v>
      </c>
      <c r="Q188" s="10" t="s">
        <v>36</v>
      </c>
      <c r="R188" s="4" t="s">
        <v>1280</v>
      </c>
      <c r="S188" s="4" t="s">
        <v>1279</v>
      </c>
      <c r="T188" s="4" t="s">
        <v>672</v>
      </c>
      <c r="U188" s="4" t="str">
        <f t="shared" si="12"/>
        <v>NOT AN ADD-ON</v>
      </c>
      <c r="V188" s="4" t="str">
        <f t="shared" si="9"/>
        <v>AVIATIONINDUSTRY SOLUTIONLIMITEDNOT AN ADD-ON</v>
      </c>
    </row>
    <row r="189" spans="1:22" ht="29.25" customHeight="1" thickBot="1">
      <c r="A189" s="10" t="s">
        <v>21</v>
      </c>
      <c r="B189" s="10" t="s">
        <v>22</v>
      </c>
      <c r="C189" s="10" t="s">
        <v>448</v>
      </c>
      <c r="D189" s="10" t="s">
        <v>449</v>
      </c>
      <c r="E189" s="10" t="s">
        <v>450</v>
      </c>
      <c r="F189" s="10" t="s">
        <v>451</v>
      </c>
      <c r="G189" s="11">
        <v>10500</v>
      </c>
      <c r="H189" s="163" t="s">
        <v>484</v>
      </c>
      <c r="I189" s="158" t="s">
        <v>485</v>
      </c>
      <c r="J189" s="163" t="s">
        <v>484</v>
      </c>
      <c r="K189" s="10" t="s">
        <v>40</v>
      </c>
      <c r="L189" s="10">
        <v>5</v>
      </c>
      <c r="M189" s="10">
        <f t="shared" si="8"/>
        <v>5</v>
      </c>
      <c r="N189" s="10">
        <v>5</v>
      </c>
      <c r="O189" s="12">
        <v>1</v>
      </c>
      <c r="P189" s="11">
        <v>10500</v>
      </c>
      <c r="Q189" s="10" t="s">
        <v>33</v>
      </c>
      <c r="R189" s="4" t="s">
        <v>1280</v>
      </c>
      <c r="S189" s="4" t="s">
        <v>1279</v>
      </c>
      <c r="T189" s="4" t="s">
        <v>672</v>
      </c>
      <c r="U189" s="4" t="str">
        <f t="shared" si="12"/>
        <v>NOT AN ADD-ON</v>
      </c>
      <c r="V189" s="4" t="str">
        <f t="shared" si="9"/>
        <v>AVIATIONINDUSTRY SOLUTIONLIMITEDNOT AN ADD-ON</v>
      </c>
    </row>
    <row r="190" spans="1:22" ht="15" thickBot="1">
      <c r="A190" s="10" t="s">
        <v>21</v>
      </c>
      <c r="B190" s="10" t="s">
        <v>22</v>
      </c>
      <c r="C190" s="10" t="s">
        <v>448</v>
      </c>
      <c r="D190" s="10" t="s">
        <v>449</v>
      </c>
      <c r="E190" s="10" t="s">
        <v>450</v>
      </c>
      <c r="F190" s="10" t="s">
        <v>451</v>
      </c>
      <c r="G190" s="11">
        <v>6320</v>
      </c>
      <c r="H190" s="163" t="s">
        <v>486</v>
      </c>
      <c r="I190" s="158" t="s">
        <v>487</v>
      </c>
      <c r="J190" s="163" t="s">
        <v>484</v>
      </c>
      <c r="K190" s="10" t="s">
        <v>40</v>
      </c>
      <c r="L190" s="10">
        <v>5</v>
      </c>
      <c r="M190" s="10">
        <f t="shared" si="8"/>
        <v>5</v>
      </c>
      <c r="N190" s="10">
        <v>5</v>
      </c>
      <c r="O190" s="12">
        <v>1</v>
      </c>
      <c r="P190" s="11">
        <v>10500</v>
      </c>
      <c r="Q190" s="10" t="s">
        <v>36</v>
      </c>
      <c r="R190" s="4" t="s">
        <v>1280</v>
      </c>
      <c r="S190" s="4" t="s">
        <v>1279</v>
      </c>
      <c r="T190" s="4" t="s">
        <v>672</v>
      </c>
      <c r="U190" s="4" t="str">
        <f t="shared" si="12"/>
        <v>NOT AN ADD-ON</v>
      </c>
      <c r="V190" s="4" t="str">
        <f t="shared" si="9"/>
        <v>AVIATIONINDUSTRY SOLUTIONLIMITEDNOT AN ADD-ON</v>
      </c>
    </row>
    <row r="191" spans="1:22" ht="15" thickBot="1">
      <c r="A191" s="10" t="s">
        <v>21</v>
      </c>
      <c r="B191" s="10" t="s">
        <v>22</v>
      </c>
      <c r="C191" s="10" t="s">
        <v>448</v>
      </c>
      <c r="D191" s="10" t="s">
        <v>449</v>
      </c>
      <c r="E191" s="10" t="s">
        <v>450</v>
      </c>
      <c r="F191" s="10" t="s">
        <v>451</v>
      </c>
      <c r="G191" s="11">
        <v>31600</v>
      </c>
      <c r="H191" s="163" t="s">
        <v>472</v>
      </c>
      <c r="I191" s="158" t="s">
        <v>473</v>
      </c>
      <c r="J191" s="163" t="s">
        <v>472</v>
      </c>
      <c r="K191" s="10" t="s">
        <v>40</v>
      </c>
      <c r="L191" s="10">
        <v>15</v>
      </c>
      <c r="M191" s="10">
        <f t="shared" si="8"/>
        <v>15</v>
      </c>
      <c r="N191" s="10">
        <v>15</v>
      </c>
      <c r="O191" s="12">
        <v>1</v>
      </c>
      <c r="P191" s="11">
        <v>31600</v>
      </c>
      <c r="Q191" s="10" t="s">
        <v>33</v>
      </c>
      <c r="R191" s="4" t="s">
        <v>1280</v>
      </c>
      <c r="S191" s="4" t="s">
        <v>1279</v>
      </c>
      <c r="T191" s="4" t="s">
        <v>19</v>
      </c>
      <c r="U191" s="4" t="str">
        <f t="shared" si="12"/>
        <v>NOT AN ADD-ON</v>
      </c>
      <c r="V191" s="4" t="str">
        <f t="shared" si="9"/>
        <v>AVIATIONINDUSTRY SOLUTIONAUTHORIZEDNOT AN ADD-ON</v>
      </c>
    </row>
    <row r="192" spans="1:22" ht="29.25" customHeight="1" thickBot="1">
      <c r="A192" s="10" t="s">
        <v>21</v>
      </c>
      <c r="B192" s="10" t="s">
        <v>22</v>
      </c>
      <c r="C192" s="10" t="s">
        <v>448</v>
      </c>
      <c r="D192" s="10" t="s">
        <v>449</v>
      </c>
      <c r="E192" s="10" t="s">
        <v>450</v>
      </c>
      <c r="F192" s="10" t="s">
        <v>451</v>
      </c>
      <c r="G192" s="11">
        <v>18800</v>
      </c>
      <c r="H192" s="163" t="s">
        <v>474</v>
      </c>
      <c r="I192" s="158" t="s">
        <v>475</v>
      </c>
      <c r="J192" s="163" t="s">
        <v>472</v>
      </c>
      <c r="K192" s="10" t="s">
        <v>40</v>
      </c>
      <c r="L192" s="10">
        <v>15</v>
      </c>
      <c r="M192" s="10">
        <f t="shared" si="8"/>
        <v>15</v>
      </c>
      <c r="N192" s="10">
        <v>15</v>
      </c>
      <c r="O192" s="12">
        <v>1</v>
      </c>
      <c r="P192" s="11">
        <v>31600</v>
      </c>
      <c r="Q192" s="10" t="s">
        <v>36</v>
      </c>
      <c r="R192" s="4" t="s">
        <v>1280</v>
      </c>
      <c r="S192" s="4" t="s">
        <v>1279</v>
      </c>
      <c r="T192" s="4" t="s">
        <v>19</v>
      </c>
      <c r="U192" s="4" t="str">
        <f t="shared" si="12"/>
        <v>NOT AN ADD-ON</v>
      </c>
      <c r="V192" s="4" t="str">
        <f t="shared" si="9"/>
        <v>AVIATIONINDUSTRY SOLUTIONAUTHORIZEDNOT AN ADD-ON</v>
      </c>
    </row>
    <row r="193" spans="1:22" ht="15" thickBot="1">
      <c r="A193" s="10" t="s">
        <v>21</v>
      </c>
      <c r="B193" s="10" t="s">
        <v>22</v>
      </c>
      <c r="C193" s="10" t="s">
        <v>140</v>
      </c>
      <c r="D193" s="10" t="s">
        <v>141</v>
      </c>
      <c r="E193" s="10" t="s">
        <v>142</v>
      </c>
      <c r="F193" s="10" t="s">
        <v>143</v>
      </c>
      <c r="G193" s="11">
        <v>3620</v>
      </c>
      <c r="H193" s="163" t="s">
        <v>184</v>
      </c>
      <c r="I193" s="158" t="s">
        <v>185</v>
      </c>
      <c r="J193" s="163" t="s">
        <v>184</v>
      </c>
      <c r="K193" s="10" t="s">
        <v>40</v>
      </c>
      <c r="L193" s="10">
        <v>5</v>
      </c>
      <c r="M193" s="10">
        <f t="shared" si="8"/>
        <v>5</v>
      </c>
      <c r="N193" s="10">
        <v>5</v>
      </c>
      <c r="O193" s="12">
        <v>1</v>
      </c>
      <c r="P193" s="11">
        <v>3620</v>
      </c>
      <c r="Q193" s="10" t="s">
        <v>33</v>
      </c>
      <c r="R193" s="4" t="s">
        <v>1278</v>
      </c>
      <c r="S193" s="4" t="s">
        <v>1278</v>
      </c>
      <c r="T193" s="4" t="s">
        <v>1381</v>
      </c>
      <c r="U193" s="4" t="str">
        <f t="shared" si="12"/>
        <v>NOT AN ADD-ON</v>
      </c>
      <c r="V193" s="4" t="str">
        <f t="shared" si="9"/>
        <v>ASSET MANAGEMENT (CORE)ASSET MANAGEMENT (CORE)EXPRESSNOT AN ADD-ON</v>
      </c>
    </row>
    <row r="194" spans="1:22" ht="15" thickBot="1">
      <c r="A194" s="10" t="s">
        <v>21</v>
      </c>
      <c r="B194" s="10" t="s">
        <v>22</v>
      </c>
      <c r="C194" s="10" t="s">
        <v>140</v>
      </c>
      <c r="D194" s="10" t="s">
        <v>141</v>
      </c>
      <c r="E194" s="10" t="s">
        <v>142</v>
      </c>
      <c r="F194" s="10" t="s">
        <v>143</v>
      </c>
      <c r="G194" s="11">
        <v>2170</v>
      </c>
      <c r="H194" s="163" t="s">
        <v>186</v>
      </c>
      <c r="I194" s="158" t="s">
        <v>187</v>
      </c>
      <c r="J194" s="163" t="s">
        <v>184</v>
      </c>
      <c r="K194" s="10" t="s">
        <v>40</v>
      </c>
      <c r="L194" s="10">
        <v>5</v>
      </c>
      <c r="M194" s="10">
        <f t="shared" si="8"/>
        <v>5</v>
      </c>
      <c r="N194" s="10">
        <v>5</v>
      </c>
      <c r="O194" s="12">
        <v>1</v>
      </c>
      <c r="P194" s="11">
        <v>3620</v>
      </c>
      <c r="Q194" s="10" t="s">
        <v>36</v>
      </c>
      <c r="R194" s="4" t="s">
        <v>1278</v>
      </c>
      <c r="S194" s="4" t="s">
        <v>1278</v>
      </c>
      <c r="T194" s="4" t="s">
        <v>1381</v>
      </c>
      <c r="U194" s="4" t="str">
        <f t="shared" si="12"/>
        <v>NOT AN ADD-ON</v>
      </c>
      <c r="V194" s="4" t="str">
        <f t="shared" si="9"/>
        <v>ASSET MANAGEMENT (CORE)ASSET MANAGEMENT (CORE)EXPRESSNOT AN ADD-ON</v>
      </c>
    </row>
    <row r="195" spans="1:22" ht="29.25" customHeight="1" thickBot="1">
      <c r="A195" s="10" t="s">
        <v>21</v>
      </c>
      <c r="B195" s="10" t="s">
        <v>22</v>
      </c>
      <c r="C195" s="10" t="s">
        <v>448</v>
      </c>
      <c r="D195" s="10" t="s">
        <v>449</v>
      </c>
      <c r="E195" s="10" t="s">
        <v>450</v>
      </c>
      <c r="F195" s="10" t="s">
        <v>451</v>
      </c>
      <c r="G195" s="11">
        <v>11400</v>
      </c>
      <c r="H195" s="163" t="s">
        <v>466</v>
      </c>
      <c r="I195" s="158" t="s">
        <v>467</v>
      </c>
      <c r="J195" s="163" t="s">
        <v>466</v>
      </c>
      <c r="K195" s="10" t="s">
        <v>30</v>
      </c>
      <c r="L195" s="10">
        <v>15</v>
      </c>
      <c r="M195" s="10">
        <f t="shared" ref="M195:M258" si="13">ROUND(IF(K195="Authorized User",L195/3,L195),2)</f>
        <v>5</v>
      </c>
      <c r="N195" s="10">
        <v>15</v>
      </c>
      <c r="O195" s="12">
        <v>5</v>
      </c>
      <c r="P195" s="11">
        <v>11400</v>
      </c>
      <c r="Q195" s="10" t="s">
        <v>33</v>
      </c>
      <c r="R195" s="4" t="s">
        <v>1280</v>
      </c>
      <c r="S195" s="4" t="s">
        <v>1279</v>
      </c>
      <c r="T195" s="4" t="s">
        <v>19</v>
      </c>
      <c r="U195" s="4" t="str">
        <f t="shared" si="12"/>
        <v>NOT AN ADD-ON</v>
      </c>
      <c r="V195" s="4" t="str">
        <f t="shared" ref="V195:V258" si="14">CONCATENATE(R195,S195,T195,U195)</f>
        <v>AVIATIONINDUSTRY SOLUTIONAUTHORIZEDNOT AN ADD-ON</v>
      </c>
    </row>
    <row r="196" spans="1:22" ht="29.25" customHeight="1" thickBot="1">
      <c r="A196" s="10" t="s">
        <v>21</v>
      </c>
      <c r="B196" s="10" t="s">
        <v>22</v>
      </c>
      <c r="C196" s="10" t="s">
        <v>448</v>
      </c>
      <c r="D196" s="10" t="s">
        <v>449</v>
      </c>
      <c r="E196" s="10" t="s">
        <v>450</v>
      </c>
      <c r="F196" s="10" t="s">
        <v>451</v>
      </c>
      <c r="G196" s="11">
        <v>6880</v>
      </c>
      <c r="H196" s="163" t="s">
        <v>468</v>
      </c>
      <c r="I196" s="158" t="s">
        <v>469</v>
      </c>
      <c r="J196" s="163" t="s">
        <v>466</v>
      </c>
      <c r="K196" s="10" t="s">
        <v>30</v>
      </c>
      <c r="L196" s="10">
        <v>15</v>
      </c>
      <c r="M196" s="10">
        <f t="shared" si="13"/>
        <v>5</v>
      </c>
      <c r="N196" s="10">
        <v>15</v>
      </c>
      <c r="O196" s="12">
        <v>5</v>
      </c>
      <c r="P196" s="11">
        <v>11400</v>
      </c>
      <c r="Q196" s="10" t="s">
        <v>36</v>
      </c>
      <c r="R196" s="4" t="s">
        <v>1280</v>
      </c>
      <c r="S196" s="4" t="s">
        <v>1279</v>
      </c>
      <c r="T196" s="4" t="s">
        <v>19</v>
      </c>
      <c r="U196" s="4" t="str">
        <f t="shared" si="12"/>
        <v>NOT AN ADD-ON</v>
      </c>
      <c r="V196" s="4" t="str">
        <f t="shared" si="14"/>
        <v>AVIATIONINDUSTRY SOLUTIONAUTHORIZEDNOT AN ADD-ON</v>
      </c>
    </row>
    <row r="197" spans="1:22" ht="15" thickBot="1">
      <c r="A197" s="10" t="s">
        <v>21</v>
      </c>
      <c r="B197" s="10" t="s">
        <v>22</v>
      </c>
      <c r="C197" s="10" t="s">
        <v>448</v>
      </c>
      <c r="D197" s="10" t="s">
        <v>449</v>
      </c>
      <c r="E197" s="10" t="s">
        <v>450</v>
      </c>
      <c r="F197" s="10" t="s">
        <v>451</v>
      </c>
      <c r="G197" s="11">
        <v>10500</v>
      </c>
      <c r="H197" s="163" t="s">
        <v>496</v>
      </c>
      <c r="I197" s="158" t="s">
        <v>497</v>
      </c>
      <c r="J197" s="163" t="s">
        <v>496</v>
      </c>
      <c r="K197" s="10" t="s">
        <v>40</v>
      </c>
      <c r="L197" s="10">
        <v>5</v>
      </c>
      <c r="M197" s="10">
        <f t="shared" si="13"/>
        <v>5</v>
      </c>
      <c r="N197" s="10">
        <v>5</v>
      </c>
      <c r="O197" s="12">
        <v>1</v>
      </c>
      <c r="P197" s="11">
        <v>10500</v>
      </c>
      <c r="Q197" s="10" t="s">
        <v>33</v>
      </c>
      <c r="R197" s="4" t="s">
        <v>1280</v>
      </c>
      <c r="S197" s="4" t="s">
        <v>1279</v>
      </c>
      <c r="T197" s="4" t="s">
        <v>672</v>
      </c>
      <c r="U197" s="4" t="str">
        <f t="shared" si="12"/>
        <v>NOT AN ADD-ON</v>
      </c>
      <c r="V197" s="4" t="str">
        <f t="shared" si="14"/>
        <v>AVIATIONINDUSTRY SOLUTIONLIMITEDNOT AN ADD-ON</v>
      </c>
    </row>
    <row r="198" spans="1:22" ht="15" thickBot="1">
      <c r="A198" s="10" t="s">
        <v>21</v>
      </c>
      <c r="B198" s="10" t="s">
        <v>22</v>
      </c>
      <c r="C198" s="10" t="s">
        <v>448</v>
      </c>
      <c r="D198" s="10" t="s">
        <v>449</v>
      </c>
      <c r="E198" s="10" t="s">
        <v>450</v>
      </c>
      <c r="F198" s="10" t="s">
        <v>451</v>
      </c>
      <c r="G198" s="11">
        <v>6320</v>
      </c>
      <c r="H198" s="163" t="s">
        <v>498</v>
      </c>
      <c r="I198" s="158" t="s">
        <v>499</v>
      </c>
      <c r="J198" s="163" t="s">
        <v>496</v>
      </c>
      <c r="K198" s="10" t="s">
        <v>40</v>
      </c>
      <c r="L198" s="10">
        <v>5</v>
      </c>
      <c r="M198" s="10">
        <f t="shared" si="13"/>
        <v>5</v>
      </c>
      <c r="N198" s="10">
        <v>5</v>
      </c>
      <c r="O198" s="12">
        <v>1</v>
      </c>
      <c r="P198" s="11">
        <v>10500</v>
      </c>
      <c r="Q198" s="10" t="s">
        <v>36</v>
      </c>
      <c r="R198" s="4" t="s">
        <v>1280</v>
      </c>
      <c r="S198" s="4" t="s">
        <v>1279</v>
      </c>
      <c r="T198" s="4" t="s">
        <v>672</v>
      </c>
      <c r="U198" s="4" t="str">
        <f t="shared" si="12"/>
        <v>NOT AN ADD-ON</v>
      </c>
      <c r="V198" s="4" t="str">
        <f t="shared" si="14"/>
        <v>AVIATIONINDUSTRY SOLUTIONLIMITEDNOT AN ADD-ON</v>
      </c>
    </row>
    <row r="199" spans="1:22" ht="15" thickBot="1">
      <c r="A199" s="10" t="s">
        <v>21</v>
      </c>
      <c r="B199" s="10" t="s">
        <v>22</v>
      </c>
      <c r="C199" s="10" t="s">
        <v>140</v>
      </c>
      <c r="D199" s="10" t="s">
        <v>141</v>
      </c>
      <c r="E199" s="10" t="s">
        <v>142</v>
      </c>
      <c r="F199" s="10" t="s">
        <v>143</v>
      </c>
      <c r="G199" s="11">
        <v>3620</v>
      </c>
      <c r="H199" s="163" t="s">
        <v>190</v>
      </c>
      <c r="I199" s="158" t="s">
        <v>201</v>
      </c>
      <c r="J199" s="163" t="s">
        <v>190</v>
      </c>
      <c r="K199" s="10" t="s">
        <v>40</v>
      </c>
      <c r="L199" s="10">
        <v>5</v>
      </c>
      <c r="M199" s="10">
        <f t="shared" si="13"/>
        <v>5</v>
      </c>
      <c r="N199" s="10">
        <v>5</v>
      </c>
      <c r="O199" s="12">
        <v>1</v>
      </c>
      <c r="P199" s="11">
        <v>3620</v>
      </c>
      <c r="Q199" s="10" t="s">
        <v>33</v>
      </c>
      <c r="R199" s="4" t="s">
        <v>1278</v>
      </c>
      <c r="S199" s="4" t="s">
        <v>1278</v>
      </c>
      <c r="T199" s="4" t="s">
        <v>1381</v>
      </c>
      <c r="U199" s="4" t="str">
        <f t="shared" si="12"/>
        <v>NOT AN ADD-ON</v>
      </c>
      <c r="V199" s="4" t="str">
        <f t="shared" si="14"/>
        <v>ASSET MANAGEMENT (CORE)ASSET MANAGEMENT (CORE)EXPRESSNOT AN ADD-ON</v>
      </c>
    </row>
    <row r="200" spans="1:22" ht="15" thickBot="1">
      <c r="A200" s="10" t="s">
        <v>21</v>
      </c>
      <c r="B200" s="10" t="s">
        <v>22</v>
      </c>
      <c r="C200" s="10" t="s">
        <v>140</v>
      </c>
      <c r="D200" s="10" t="s">
        <v>141</v>
      </c>
      <c r="E200" s="10" t="s">
        <v>142</v>
      </c>
      <c r="F200" s="10" t="s">
        <v>143</v>
      </c>
      <c r="G200" s="11">
        <v>2170</v>
      </c>
      <c r="H200" s="163" t="s">
        <v>202</v>
      </c>
      <c r="I200" s="158" t="s">
        <v>203</v>
      </c>
      <c r="J200" s="163" t="s">
        <v>190</v>
      </c>
      <c r="K200" s="10" t="s">
        <v>40</v>
      </c>
      <c r="L200" s="10">
        <v>5</v>
      </c>
      <c r="M200" s="10">
        <f t="shared" si="13"/>
        <v>5</v>
      </c>
      <c r="N200" s="10">
        <v>5</v>
      </c>
      <c r="O200" s="12">
        <v>1</v>
      </c>
      <c r="P200" s="11">
        <v>3620</v>
      </c>
      <c r="Q200" s="10" t="s">
        <v>36</v>
      </c>
      <c r="R200" s="4" t="s">
        <v>1278</v>
      </c>
      <c r="S200" s="4" t="s">
        <v>1278</v>
      </c>
      <c r="T200" s="4" t="s">
        <v>1381</v>
      </c>
      <c r="U200" s="4" t="str">
        <f t="shared" si="12"/>
        <v>NOT AN ADD-ON</v>
      </c>
      <c r="V200" s="4" t="str">
        <f t="shared" si="14"/>
        <v>ASSET MANAGEMENT (CORE)ASSET MANAGEMENT (CORE)EXPRESSNOT AN ADD-ON</v>
      </c>
    </row>
    <row r="201" spans="1:22" ht="15" thickBot="1">
      <c r="A201" s="10" t="s">
        <v>21</v>
      </c>
      <c r="B201" s="10" t="s">
        <v>22</v>
      </c>
      <c r="C201" s="10" t="s">
        <v>448</v>
      </c>
      <c r="D201" s="10" t="s">
        <v>449</v>
      </c>
      <c r="E201" s="10" t="s">
        <v>450</v>
      </c>
      <c r="F201" s="10" t="s">
        <v>451</v>
      </c>
      <c r="G201" s="11">
        <v>3840</v>
      </c>
      <c r="H201" s="163" t="s">
        <v>490</v>
      </c>
      <c r="I201" s="158" t="s">
        <v>491</v>
      </c>
      <c r="J201" s="163" t="s">
        <v>490</v>
      </c>
      <c r="K201" s="10" t="s">
        <v>30</v>
      </c>
      <c r="L201" s="10">
        <v>5</v>
      </c>
      <c r="M201" s="10">
        <f t="shared" si="13"/>
        <v>1.67</v>
      </c>
      <c r="N201" s="15">
        <v>5</v>
      </c>
      <c r="O201" s="16">
        <v>1.67</v>
      </c>
      <c r="P201" s="11">
        <v>3840</v>
      </c>
      <c r="Q201" s="10" t="s">
        <v>33</v>
      </c>
      <c r="R201" s="4" t="s">
        <v>1280</v>
      </c>
      <c r="S201" s="4" t="s">
        <v>1279</v>
      </c>
      <c r="T201" s="4" t="s">
        <v>672</v>
      </c>
      <c r="U201" s="4" t="str">
        <f t="shared" si="12"/>
        <v>NOT AN ADD-ON</v>
      </c>
      <c r="V201" s="4" t="str">
        <f t="shared" si="14"/>
        <v>AVIATIONINDUSTRY SOLUTIONLIMITEDNOT AN ADD-ON</v>
      </c>
    </row>
    <row r="202" spans="1:22" ht="15" thickBot="1">
      <c r="A202" s="10" t="s">
        <v>21</v>
      </c>
      <c r="B202" s="10" t="s">
        <v>22</v>
      </c>
      <c r="C202" s="10" t="s">
        <v>448</v>
      </c>
      <c r="D202" s="10" t="s">
        <v>449</v>
      </c>
      <c r="E202" s="10" t="s">
        <v>450</v>
      </c>
      <c r="F202" s="10" t="s">
        <v>451</v>
      </c>
      <c r="G202" s="11">
        <v>2310</v>
      </c>
      <c r="H202" s="163" t="s">
        <v>492</v>
      </c>
      <c r="I202" s="158" t="s">
        <v>493</v>
      </c>
      <c r="J202" s="163" t="s">
        <v>490</v>
      </c>
      <c r="K202" s="10" t="s">
        <v>30</v>
      </c>
      <c r="L202" s="10">
        <v>5</v>
      </c>
      <c r="M202" s="10">
        <f t="shared" si="13"/>
        <v>1.67</v>
      </c>
      <c r="N202" s="15">
        <v>5</v>
      </c>
      <c r="O202" s="16">
        <v>1.67</v>
      </c>
      <c r="P202" s="11">
        <v>3840</v>
      </c>
      <c r="Q202" s="10" t="s">
        <v>36</v>
      </c>
      <c r="R202" s="4" t="s">
        <v>1280</v>
      </c>
      <c r="S202" s="4" t="s">
        <v>1279</v>
      </c>
      <c r="T202" s="4" t="s">
        <v>672</v>
      </c>
      <c r="U202" s="4" t="str">
        <f t="shared" si="12"/>
        <v>NOT AN ADD-ON</v>
      </c>
      <c r="V202" s="4" t="str">
        <f t="shared" si="14"/>
        <v>AVIATIONINDUSTRY SOLUTIONLIMITEDNOT AN ADD-ON</v>
      </c>
    </row>
    <row r="203" spans="1:22" ht="15" thickBot="1">
      <c r="A203" s="10" t="s">
        <v>21</v>
      </c>
      <c r="B203" s="10" t="s">
        <v>1256</v>
      </c>
      <c r="C203" s="10" t="s">
        <v>1257</v>
      </c>
      <c r="D203" s="10" t="s">
        <v>1134</v>
      </c>
      <c r="E203" s="10" t="s">
        <v>1135</v>
      </c>
      <c r="F203" s="10" t="s">
        <v>1258</v>
      </c>
      <c r="G203" s="116">
        <v>4370</v>
      </c>
      <c r="H203" s="163" t="s">
        <v>1267</v>
      </c>
      <c r="I203" s="158" t="s">
        <v>1268</v>
      </c>
      <c r="J203" s="163" t="s">
        <v>1267</v>
      </c>
      <c r="K203" s="10" t="s">
        <v>375</v>
      </c>
      <c r="L203" s="10">
        <v>10</v>
      </c>
      <c r="M203" s="10">
        <f t="shared" si="13"/>
        <v>10</v>
      </c>
      <c r="N203" s="10">
        <v>10</v>
      </c>
      <c r="O203" s="12">
        <v>100</v>
      </c>
      <c r="P203" s="116">
        <v>4370</v>
      </c>
      <c r="Q203" s="10" t="s">
        <v>33</v>
      </c>
      <c r="R203" s="4" t="s">
        <v>1393</v>
      </c>
      <c r="S203" s="4" t="s">
        <v>1393</v>
      </c>
      <c r="T203" s="4" t="s">
        <v>1382</v>
      </c>
      <c r="U203" s="4" t="str">
        <f t="shared" si="12"/>
        <v>NOT AN ADD-ON</v>
      </c>
      <c r="V203" s="4" t="str">
        <f t="shared" si="14"/>
        <v>APM ASSET HEALTH INSIGHTSAPM ASSET HEALTH INSIGHTSRESOURCE VALUENOT AN ADD-ON</v>
      </c>
    </row>
    <row r="204" spans="1:22" ht="15" thickBot="1">
      <c r="A204" s="10" t="s">
        <v>21</v>
      </c>
      <c r="B204" s="10" t="s">
        <v>1256</v>
      </c>
      <c r="C204" s="10" t="s">
        <v>1257</v>
      </c>
      <c r="D204" s="10" t="s">
        <v>1134</v>
      </c>
      <c r="E204" s="10" t="s">
        <v>1135</v>
      </c>
      <c r="F204" s="10" t="s">
        <v>1258</v>
      </c>
      <c r="G204" s="116">
        <v>2620</v>
      </c>
      <c r="H204" s="163" t="s">
        <v>1269</v>
      </c>
      <c r="I204" s="158" t="s">
        <v>1270</v>
      </c>
      <c r="J204" s="163" t="s">
        <v>1267</v>
      </c>
      <c r="K204" s="10" t="s">
        <v>375</v>
      </c>
      <c r="L204" s="10">
        <v>10</v>
      </c>
      <c r="M204" s="10">
        <f t="shared" si="13"/>
        <v>10</v>
      </c>
      <c r="N204" s="10">
        <v>10</v>
      </c>
      <c r="O204" s="12">
        <v>1</v>
      </c>
      <c r="P204" s="116">
        <v>4370</v>
      </c>
      <c r="Q204" s="10" t="s">
        <v>36</v>
      </c>
      <c r="R204" s="4" t="s">
        <v>1393</v>
      </c>
      <c r="S204" s="4" t="s">
        <v>1393</v>
      </c>
      <c r="T204" s="4" t="s">
        <v>1382</v>
      </c>
      <c r="U204" s="4" t="str">
        <f t="shared" si="12"/>
        <v>NOT AN ADD-ON</v>
      </c>
      <c r="V204" s="4" t="str">
        <f t="shared" si="14"/>
        <v>APM ASSET HEALTH INSIGHTSAPM ASSET HEALTH INSIGHTSRESOURCE VALUENOT AN ADD-ON</v>
      </c>
    </row>
    <row r="205" spans="1:22" ht="15" thickBot="1">
      <c r="A205" s="10" t="s">
        <v>21</v>
      </c>
      <c r="B205" s="10" t="s">
        <v>1256</v>
      </c>
      <c r="C205" s="10" t="s">
        <v>1257</v>
      </c>
      <c r="D205" s="10" t="s">
        <v>1134</v>
      </c>
      <c r="E205" s="10" t="s">
        <v>1135</v>
      </c>
      <c r="F205" s="10" t="s">
        <v>1258</v>
      </c>
      <c r="G205" s="116">
        <v>4370</v>
      </c>
      <c r="H205" s="163" t="s">
        <v>1261</v>
      </c>
      <c r="I205" s="158" t="s">
        <v>1262</v>
      </c>
      <c r="J205" s="163" t="s">
        <v>1261</v>
      </c>
      <c r="K205" s="10" t="s">
        <v>375</v>
      </c>
      <c r="L205" s="10">
        <v>10</v>
      </c>
      <c r="M205" s="10">
        <f t="shared" si="13"/>
        <v>10</v>
      </c>
      <c r="N205" s="10">
        <v>10</v>
      </c>
      <c r="O205" s="12">
        <v>1</v>
      </c>
      <c r="P205" s="116">
        <v>4370</v>
      </c>
      <c r="Q205" s="10" t="s">
        <v>33</v>
      </c>
      <c r="R205" s="4" t="s">
        <v>1393</v>
      </c>
      <c r="S205" s="4" t="s">
        <v>1393</v>
      </c>
      <c r="T205" s="4" t="s">
        <v>1382</v>
      </c>
      <c r="U205" s="4" t="str">
        <f t="shared" ref="U205:U240" si="15">IF(ISNUMBER(SEARCH("ADD-ON",$I205)),"ADD-ON","NOT AN ADD-ON")</f>
        <v>NOT AN ADD-ON</v>
      </c>
      <c r="V205" s="4" t="str">
        <f t="shared" si="14"/>
        <v>APM ASSET HEALTH INSIGHTSAPM ASSET HEALTH INSIGHTSRESOURCE VALUENOT AN ADD-ON</v>
      </c>
    </row>
    <row r="206" spans="1:22" ht="29.25" customHeight="1" thickBot="1">
      <c r="A206" s="10" t="s">
        <v>21</v>
      </c>
      <c r="B206" s="10" t="s">
        <v>1256</v>
      </c>
      <c r="C206" s="10" t="s">
        <v>1257</v>
      </c>
      <c r="D206" s="10" t="s">
        <v>1134</v>
      </c>
      <c r="E206" s="10" t="s">
        <v>1135</v>
      </c>
      <c r="F206" s="10" t="s">
        <v>1258</v>
      </c>
      <c r="G206" s="116">
        <v>2620</v>
      </c>
      <c r="H206" s="163" t="s">
        <v>1263</v>
      </c>
      <c r="I206" s="166" t="s">
        <v>1264</v>
      </c>
      <c r="J206" s="163" t="s">
        <v>1261</v>
      </c>
      <c r="K206" s="10" t="s">
        <v>375</v>
      </c>
      <c r="L206" s="10">
        <v>10</v>
      </c>
      <c r="M206" s="10">
        <f t="shared" si="13"/>
        <v>10</v>
      </c>
      <c r="N206" s="10">
        <v>10</v>
      </c>
      <c r="O206" s="12">
        <v>1</v>
      </c>
      <c r="P206" s="116">
        <v>4370</v>
      </c>
      <c r="Q206" s="10" t="s">
        <v>36</v>
      </c>
      <c r="R206" s="4" t="s">
        <v>1393</v>
      </c>
      <c r="S206" s="4" t="s">
        <v>1393</v>
      </c>
      <c r="T206" s="4" t="s">
        <v>1382</v>
      </c>
      <c r="U206" s="4" t="str">
        <f t="shared" si="15"/>
        <v>NOT AN ADD-ON</v>
      </c>
      <c r="V206" s="4" t="str">
        <f t="shared" si="14"/>
        <v>APM ASSET HEALTH INSIGHTSAPM ASSET HEALTH INSIGHTSRESOURCE VALUENOT AN ADD-ON</v>
      </c>
    </row>
    <row r="207" spans="1:22" ht="15" thickBot="1">
      <c r="A207" s="10" t="s">
        <v>21</v>
      </c>
      <c r="B207" s="10" t="s">
        <v>22</v>
      </c>
      <c r="C207" s="10" t="s">
        <v>301</v>
      </c>
      <c r="D207" s="10" t="s">
        <v>141</v>
      </c>
      <c r="E207" s="10" t="s">
        <v>142</v>
      </c>
      <c r="F207" s="10" t="s">
        <v>339</v>
      </c>
      <c r="G207" s="11">
        <v>13700</v>
      </c>
      <c r="H207" s="163" t="s">
        <v>374</v>
      </c>
      <c r="I207" s="158" t="s">
        <v>376</v>
      </c>
      <c r="J207" s="163" t="s">
        <v>374</v>
      </c>
      <c r="K207" s="10" t="s">
        <v>375</v>
      </c>
      <c r="L207" s="10">
        <v>0</v>
      </c>
      <c r="M207" s="10">
        <f t="shared" si="13"/>
        <v>0</v>
      </c>
      <c r="N207" s="10">
        <v>10</v>
      </c>
      <c r="O207" s="12">
        <v>1</v>
      </c>
      <c r="P207" s="11">
        <v>13700</v>
      </c>
      <c r="Q207" s="10" t="s">
        <v>33</v>
      </c>
      <c r="R207" s="4" t="s">
        <v>1286</v>
      </c>
      <c r="S207" s="4" t="s">
        <v>507</v>
      </c>
      <c r="T207" s="4" t="s">
        <v>1382</v>
      </c>
      <c r="U207" s="4" t="str">
        <f t="shared" si="15"/>
        <v>NOT AN ADD-ON</v>
      </c>
      <c r="V207" s="4" t="str">
        <f t="shared" si="14"/>
        <v>SCHEDULER PLUSADD-ONRESOURCE VALUENOT AN ADD-ON</v>
      </c>
    </row>
    <row r="208" spans="1:22" ht="29.25" customHeight="1" thickBot="1">
      <c r="A208" s="10" t="s">
        <v>21</v>
      </c>
      <c r="B208" s="10" t="s">
        <v>22</v>
      </c>
      <c r="C208" s="10" t="s">
        <v>301</v>
      </c>
      <c r="D208" s="10" t="s">
        <v>141</v>
      </c>
      <c r="E208" s="10" t="s">
        <v>142</v>
      </c>
      <c r="F208" s="10" t="s">
        <v>339</v>
      </c>
      <c r="G208" s="11">
        <v>8200</v>
      </c>
      <c r="H208" s="163" t="s">
        <v>377</v>
      </c>
      <c r="I208" s="158" t="s">
        <v>378</v>
      </c>
      <c r="J208" s="163" t="s">
        <v>374</v>
      </c>
      <c r="K208" s="10" t="s">
        <v>375</v>
      </c>
      <c r="L208" s="10">
        <v>0</v>
      </c>
      <c r="M208" s="10">
        <f t="shared" si="13"/>
        <v>0</v>
      </c>
      <c r="N208" s="10">
        <v>10</v>
      </c>
      <c r="O208" s="12">
        <v>1</v>
      </c>
      <c r="P208" s="11">
        <v>13700</v>
      </c>
      <c r="Q208" s="10" t="s">
        <v>36</v>
      </c>
      <c r="R208" s="4" t="s">
        <v>1286</v>
      </c>
      <c r="S208" s="4" t="s">
        <v>507</v>
      </c>
      <c r="T208" s="4" t="s">
        <v>1382</v>
      </c>
      <c r="U208" s="4" t="str">
        <f t="shared" si="15"/>
        <v>NOT AN ADD-ON</v>
      </c>
      <c r="V208" s="4" t="str">
        <f t="shared" si="14"/>
        <v>SCHEDULER PLUSADD-ONRESOURCE VALUENOT AN ADD-ON</v>
      </c>
    </row>
    <row r="209" spans="1:22" ht="15" thickBot="1">
      <c r="A209" s="10" t="s">
        <v>21</v>
      </c>
      <c r="B209" s="10" t="s">
        <v>22</v>
      </c>
      <c r="C209" s="10" t="s">
        <v>301</v>
      </c>
      <c r="D209" s="10" t="s">
        <v>141</v>
      </c>
      <c r="E209" s="10" t="s">
        <v>142</v>
      </c>
      <c r="F209" s="10" t="s">
        <v>339</v>
      </c>
      <c r="G209" s="11">
        <v>13700</v>
      </c>
      <c r="H209" s="163" t="s">
        <v>381</v>
      </c>
      <c r="I209" s="166" t="s">
        <v>382</v>
      </c>
      <c r="J209" s="163" t="s">
        <v>381</v>
      </c>
      <c r="K209" s="10" t="s">
        <v>375</v>
      </c>
      <c r="L209" s="10">
        <v>0</v>
      </c>
      <c r="M209" s="10">
        <f t="shared" si="13"/>
        <v>0</v>
      </c>
      <c r="N209" s="10">
        <v>10</v>
      </c>
      <c r="O209" s="12">
        <v>1</v>
      </c>
      <c r="P209" s="11">
        <v>13700</v>
      </c>
      <c r="Q209" s="10" t="s">
        <v>33</v>
      </c>
      <c r="R209" s="4" t="s">
        <v>1286</v>
      </c>
      <c r="S209" s="4" t="s">
        <v>507</v>
      </c>
      <c r="T209" s="4" t="s">
        <v>1382</v>
      </c>
      <c r="U209" s="4" t="str">
        <f t="shared" si="15"/>
        <v>NOT AN ADD-ON</v>
      </c>
      <c r="V209" s="4" t="str">
        <f t="shared" si="14"/>
        <v>SCHEDULER PLUSADD-ONRESOURCE VALUENOT AN ADD-ON</v>
      </c>
    </row>
    <row r="210" spans="1:22" ht="29.25" customHeight="1" thickBot="1">
      <c r="A210" s="10" t="s">
        <v>21</v>
      </c>
      <c r="B210" s="10" t="s">
        <v>22</v>
      </c>
      <c r="C210" s="10" t="s">
        <v>301</v>
      </c>
      <c r="D210" s="10" t="s">
        <v>141</v>
      </c>
      <c r="E210" s="10" t="s">
        <v>142</v>
      </c>
      <c r="F210" s="10" t="s">
        <v>339</v>
      </c>
      <c r="G210" s="11">
        <v>8200</v>
      </c>
      <c r="H210" s="163" t="s">
        <v>383</v>
      </c>
      <c r="I210" s="166" t="s">
        <v>384</v>
      </c>
      <c r="J210" s="163" t="s">
        <v>381</v>
      </c>
      <c r="K210" s="10" t="s">
        <v>375</v>
      </c>
      <c r="L210" s="10">
        <v>0</v>
      </c>
      <c r="M210" s="10">
        <f t="shared" si="13"/>
        <v>0</v>
      </c>
      <c r="N210" s="10">
        <v>10</v>
      </c>
      <c r="O210" s="17">
        <v>1</v>
      </c>
      <c r="P210" s="11">
        <v>13700</v>
      </c>
      <c r="Q210" s="10" t="s">
        <v>36</v>
      </c>
      <c r="R210" s="4" t="s">
        <v>1286</v>
      </c>
      <c r="S210" s="4" t="s">
        <v>507</v>
      </c>
      <c r="T210" s="4" t="s">
        <v>1382</v>
      </c>
      <c r="U210" s="4" t="str">
        <f t="shared" si="15"/>
        <v>NOT AN ADD-ON</v>
      </c>
      <c r="V210" s="4" t="str">
        <f t="shared" si="14"/>
        <v>SCHEDULER PLUSADD-ONRESOURCE VALUENOT AN ADD-ON</v>
      </c>
    </row>
    <row r="211" spans="1:22" ht="15" thickBot="1">
      <c r="A211" s="10" t="s">
        <v>21</v>
      </c>
      <c r="B211" s="10" t="s">
        <v>22</v>
      </c>
      <c r="C211" s="10" t="s">
        <v>140</v>
      </c>
      <c r="D211" s="10" t="s">
        <v>141</v>
      </c>
      <c r="E211" s="10" t="s">
        <v>142</v>
      </c>
      <c r="F211" s="10" t="s">
        <v>143</v>
      </c>
      <c r="G211" s="11">
        <v>19400</v>
      </c>
      <c r="H211" s="163" t="s">
        <v>154</v>
      </c>
      <c r="I211" s="158" t="s">
        <v>155</v>
      </c>
      <c r="J211" s="163" t="s">
        <v>154</v>
      </c>
      <c r="K211" s="10" t="s">
        <v>40</v>
      </c>
      <c r="L211" s="10">
        <v>10</v>
      </c>
      <c r="M211" s="10">
        <f t="shared" si="13"/>
        <v>10</v>
      </c>
      <c r="N211" s="10">
        <v>10</v>
      </c>
      <c r="O211" s="17">
        <v>1</v>
      </c>
      <c r="P211" s="11">
        <v>19400</v>
      </c>
      <c r="Q211" s="10" t="s">
        <v>33</v>
      </c>
      <c r="R211" s="4" t="s">
        <v>1278</v>
      </c>
      <c r="S211" s="4" t="s">
        <v>1278</v>
      </c>
      <c r="T211" s="4" t="s">
        <v>19</v>
      </c>
      <c r="U211" s="4" t="str">
        <f t="shared" si="15"/>
        <v>NOT AN ADD-ON</v>
      </c>
      <c r="V211" s="4" t="str">
        <f t="shared" si="14"/>
        <v>ASSET MANAGEMENT (CORE)ASSET MANAGEMENT (CORE)AUTHORIZEDNOT AN ADD-ON</v>
      </c>
    </row>
    <row r="212" spans="1:22" ht="29.25" customHeight="1" thickBot="1">
      <c r="A212" s="10" t="s">
        <v>21</v>
      </c>
      <c r="B212" s="10" t="s">
        <v>22</v>
      </c>
      <c r="C212" s="10" t="s">
        <v>140</v>
      </c>
      <c r="D212" s="10" t="s">
        <v>141</v>
      </c>
      <c r="E212" s="10" t="s">
        <v>142</v>
      </c>
      <c r="F212" s="10" t="s">
        <v>143</v>
      </c>
      <c r="G212" s="11">
        <v>11600</v>
      </c>
      <c r="H212" s="163" t="s">
        <v>156</v>
      </c>
      <c r="I212" s="158" t="s">
        <v>157</v>
      </c>
      <c r="J212" s="163" t="s">
        <v>154</v>
      </c>
      <c r="K212" s="10" t="s">
        <v>40</v>
      </c>
      <c r="L212" s="10">
        <v>10</v>
      </c>
      <c r="M212" s="10">
        <f t="shared" si="13"/>
        <v>10</v>
      </c>
      <c r="N212" s="10">
        <v>10</v>
      </c>
      <c r="O212" s="17">
        <v>1</v>
      </c>
      <c r="P212" s="11">
        <v>19400</v>
      </c>
      <c r="Q212" s="10" t="s">
        <v>36</v>
      </c>
      <c r="R212" s="4" t="s">
        <v>1278</v>
      </c>
      <c r="S212" s="4" t="s">
        <v>1278</v>
      </c>
      <c r="T212" s="4" t="s">
        <v>19</v>
      </c>
      <c r="U212" s="4" t="str">
        <f t="shared" si="15"/>
        <v>NOT AN ADD-ON</v>
      </c>
      <c r="V212" s="4" t="str">
        <f t="shared" si="14"/>
        <v>ASSET MANAGEMENT (CORE)ASSET MANAGEMENT (CORE)AUTHORIZEDNOT AN ADD-ON</v>
      </c>
    </row>
    <row r="213" spans="1:22" ht="15" thickBot="1">
      <c r="A213" s="10" t="s">
        <v>21</v>
      </c>
      <c r="B213" s="10" t="s">
        <v>22</v>
      </c>
      <c r="C213" s="10" t="s">
        <v>140</v>
      </c>
      <c r="D213" s="10" t="s">
        <v>141</v>
      </c>
      <c r="E213" s="10" t="s">
        <v>142</v>
      </c>
      <c r="F213" s="10" t="s">
        <v>143</v>
      </c>
      <c r="G213" s="11">
        <v>4180</v>
      </c>
      <c r="H213" s="163" t="s">
        <v>170</v>
      </c>
      <c r="I213" s="166" t="s">
        <v>171</v>
      </c>
      <c r="J213" s="163" t="s">
        <v>154</v>
      </c>
      <c r="K213" s="10" t="s">
        <v>40</v>
      </c>
      <c r="L213" s="10">
        <v>10</v>
      </c>
      <c r="M213" s="10">
        <f t="shared" si="13"/>
        <v>10</v>
      </c>
      <c r="N213" s="10">
        <v>10</v>
      </c>
      <c r="O213" s="12">
        <v>1</v>
      </c>
      <c r="P213" s="11">
        <v>19400</v>
      </c>
      <c r="Q213" s="10" t="s">
        <v>48</v>
      </c>
      <c r="R213" s="4" t="s">
        <v>1278</v>
      </c>
      <c r="S213" s="4" t="s">
        <v>1278</v>
      </c>
      <c r="T213" s="4" t="s">
        <v>19</v>
      </c>
      <c r="U213" s="4" t="str">
        <f t="shared" si="15"/>
        <v>NOT AN ADD-ON</v>
      </c>
      <c r="V213" s="4" t="str">
        <f t="shared" si="14"/>
        <v>ASSET MANAGEMENT (CORE)ASSET MANAGEMENT (CORE)AUTHORIZEDNOT AN ADD-ON</v>
      </c>
    </row>
    <row r="214" spans="1:22" ht="15" thickBot="1">
      <c r="A214" s="10" t="s">
        <v>21</v>
      </c>
      <c r="B214" s="10" t="s">
        <v>22</v>
      </c>
      <c r="C214" s="10" t="s">
        <v>140</v>
      </c>
      <c r="D214" s="10" t="s">
        <v>141</v>
      </c>
      <c r="E214" s="10" t="s">
        <v>142</v>
      </c>
      <c r="F214" s="10" t="s">
        <v>143</v>
      </c>
      <c r="G214" s="11">
        <v>18400</v>
      </c>
      <c r="H214" s="163" t="s">
        <v>174</v>
      </c>
      <c r="I214" s="166" t="s">
        <v>175</v>
      </c>
      <c r="J214" s="163" t="s">
        <v>154</v>
      </c>
      <c r="K214" s="10" t="s">
        <v>40</v>
      </c>
      <c r="L214" s="10">
        <v>10</v>
      </c>
      <c r="M214" s="10">
        <f t="shared" si="13"/>
        <v>10</v>
      </c>
      <c r="N214" s="10">
        <v>10</v>
      </c>
      <c r="O214" s="12">
        <v>1</v>
      </c>
      <c r="P214" s="11">
        <v>19400</v>
      </c>
      <c r="Q214" s="10" t="s">
        <v>48</v>
      </c>
      <c r="R214" s="4" t="s">
        <v>1278</v>
      </c>
      <c r="S214" s="4" t="s">
        <v>1278</v>
      </c>
      <c r="T214" s="4" t="s">
        <v>19</v>
      </c>
      <c r="U214" s="4" t="str">
        <f t="shared" si="15"/>
        <v>NOT AN ADD-ON</v>
      </c>
      <c r="V214" s="4" t="str">
        <f t="shared" si="14"/>
        <v>ASSET MANAGEMENT (CORE)ASSET MANAGEMENT (CORE)AUTHORIZEDNOT AN ADD-ON</v>
      </c>
    </row>
    <row r="215" spans="1:22" ht="29.25" customHeight="1" thickBot="1">
      <c r="A215" s="10" t="s">
        <v>21</v>
      </c>
      <c r="B215" s="10" t="s">
        <v>22</v>
      </c>
      <c r="C215" s="10" t="s">
        <v>140</v>
      </c>
      <c r="D215" s="10" t="s">
        <v>141</v>
      </c>
      <c r="E215" s="10" t="s">
        <v>142</v>
      </c>
      <c r="F215" s="10" t="s">
        <v>143</v>
      </c>
      <c r="G215" s="11">
        <v>19400</v>
      </c>
      <c r="H215" s="163" t="s">
        <v>160</v>
      </c>
      <c r="I215" s="158" t="s">
        <v>167</v>
      </c>
      <c r="J215" s="163" t="s">
        <v>160</v>
      </c>
      <c r="K215" s="10" t="s">
        <v>40</v>
      </c>
      <c r="L215" s="10">
        <v>10</v>
      </c>
      <c r="M215" s="10">
        <f t="shared" si="13"/>
        <v>10</v>
      </c>
      <c r="N215" s="10">
        <v>10</v>
      </c>
      <c r="O215" s="12">
        <v>1</v>
      </c>
      <c r="P215" s="11">
        <v>19400</v>
      </c>
      <c r="Q215" s="10" t="s">
        <v>33</v>
      </c>
      <c r="R215" s="4" t="s">
        <v>1278</v>
      </c>
      <c r="S215" s="4" t="s">
        <v>1278</v>
      </c>
      <c r="T215" s="4" t="s">
        <v>19</v>
      </c>
      <c r="U215" s="4" t="str">
        <f t="shared" si="15"/>
        <v>NOT AN ADD-ON</v>
      </c>
      <c r="V215" s="4" t="str">
        <f t="shared" si="14"/>
        <v>ASSET MANAGEMENT (CORE)ASSET MANAGEMENT (CORE)AUTHORIZEDNOT AN ADD-ON</v>
      </c>
    </row>
    <row r="216" spans="1:22" ht="15" thickBot="1">
      <c r="A216" s="10" t="s">
        <v>21</v>
      </c>
      <c r="B216" s="10" t="s">
        <v>22</v>
      </c>
      <c r="C216" s="10" t="s">
        <v>140</v>
      </c>
      <c r="D216" s="10" t="s">
        <v>141</v>
      </c>
      <c r="E216" s="10" t="s">
        <v>142</v>
      </c>
      <c r="F216" s="10" t="s">
        <v>143</v>
      </c>
      <c r="G216" s="11">
        <v>11600</v>
      </c>
      <c r="H216" s="163" t="s">
        <v>168</v>
      </c>
      <c r="I216" s="158" t="s">
        <v>169</v>
      </c>
      <c r="J216" s="163" t="s">
        <v>160</v>
      </c>
      <c r="K216" s="10" t="s">
        <v>40</v>
      </c>
      <c r="L216" s="10">
        <v>10</v>
      </c>
      <c r="M216" s="10">
        <f t="shared" si="13"/>
        <v>10</v>
      </c>
      <c r="N216" s="10">
        <v>10</v>
      </c>
      <c r="O216" s="12">
        <v>1</v>
      </c>
      <c r="P216" s="11">
        <v>19400</v>
      </c>
      <c r="Q216" s="10" t="s">
        <v>36</v>
      </c>
      <c r="R216" s="4" t="s">
        <v>1278</v>
      </c>
      <c r="S216" s="4" t="s">
        <v>1278</v>
      </c>
      <c r="T216" s="4" t="s">
        <v>19</v>
      </c>
      <c r="U216" s="4" t="str">
        <f t="shared" si="15"/>
        <v>NOT AN ADD-ON</v>
      </c>
      <c r="V216" s="4" t="str">
        <f t="shared" si="14"/>
        <v>ASSET MANAGEMENT (CORE)ASSET MANAGEMENT (CORE)AUTHORIZEDNOT AN ADD-ON</v>
      </c>
    </row>
    <row r="217" spans="1:22" ht="29.25" customHeight="1" thickBot="1">
      <c r="A217" s="10" t="s">
        <v>21</v>
      </c>
      <c r="B217" s="10" t="s">
        <v>22</v>
      </c>
      <c r="C217" s="10" t="s">
        <v>140</v>
      </c>
      <c r="D217" s="10" t="s">
        <v>141</v>
      </c>
      <c r="E217" s="10" t="s">
        <v>142</v>
      </c>
      <c r="F217" s="10" t="s">
        <v>143</v>
      </c>
      <c r="G217" s="11">
        <v>4180</v>
      </c>
      <c r="H217" s="163" t="s">
        <v>161</v>
      </c>
      <c r="I217" s="166" t="s">
        <v>162</v>
      </c>
      <c r="J217" s="163" t="s">
        <v>160</v>
      </c>
      <c r="K217" s="10" t="s">
        <v>40</v>
      </c>
      <c r="L217" s="10">
        <v>10</v>
      </c>
      <c r="M217" s="10">
        <f t="shared" si="13"/>
        <v>10</v>
      </c>
      <c r="N217" s="10">
        <v>10</v>
      </c>
      <c r="O217" s="12">
        <v>1</v>
      </c>
      <c r="P217" s="11">
        <v>19400</v>
      </c>
      <c r="Q217" s="10" t="s">
        <v>48</v>
      </c>
      <c r="R217" s="4" t="s">
        <v>1278</v>
      </c>
      <c r="S217" s="4" t="s">
        <v>1278</v>
      </c>
      <c r="T217" s="4" t="s">
        <v>19</v>
      </c>
      <c r="U217" s="4" t="str">
        <f t="shared" si="15"/>
        <v>NOT AN ADD-ON</v>
      </c>
      <c r="V217" s="4" t="str">
        <f t="shared" si="14"/>
        <v>ASSET MANAGEMENT (CORE)ASSET MANAGEMENT (CORE)AUTHORIZEDNOT AN ADD-ON</v>
      </c>
    </row>
    <row r="218" spans="1:22" ht="29.25" customHeight="1" thickBot="1">
      <c r="A218" s="10" t="s">
        <v>21</v>
      </c>
      <c r="B218" s="10" t="s">
        <v>22</v>
      </c>
      <c r="C218" s="10" t="s">
        <v>140</v>
      </c>
      <c r="D218" s="10" t="s">
        <v>141</v>
      </c>
      <c r="E218" s="10" t="s">
        <v>142</v>
      </c>
      <c r="F218" s="10" t="s">
        <v>143</v>
      </c>
      <c r="G218" s="11">
        <v>18400</v>
      </c>
      <c r="H218" s="163" t="s">
        <v>163</v>
      </c>
      <c r="I218" s="166" t="s">
        <v>164</v>
      </c>
      <c r="J218" s="163" t="s">
        <v>160</v>
      </c>
      <c r="K218" s="10" t="s">
        <v>40</v>
      </c>
      <c r="L218" s="10">
        <v>10</v>
      </c>
      <c r="M218" s="10">
        <f t="shared" si="13"/>
        <v>10</v>
      </c>
      <c r="N218" s="10">
        <v>10</v>
      </c>
      <c r="O218" s="12">
        <v>1</v>
      </c>
      <c r="P218" s="11">
        <v>19400</v>
      </c>
      <c r="Q218" s="10" t="s">
        <v>48</v>
      </c>
      <c r="R218" s="4" t="s">
        <v>1278</v>
      </c>
      <c r="S218" s="4" t="s">
        <v>1278</v>
      </c>
      <c r="T218" s="4" t="s">
        <v>19</v>
      </c>
      <c r="U218" s="4" t="str">
        <f t="shared" si="15"/>
        <v>NOT AN ADD-ON</v>
      </c>
      <c r="V218" s="4" t="str">
        <f t="shared" si="14"/>
        <v>ASSET MANAGEMENT (CORE)ASSET MANAGEMENT (CORE)AUTHORIZEDNOT AN ADD-ON</v>
      </c>
    </row>
    <row r="219" spans="1:22" ht="29.25" customHeight="1" thickBot="1">
      <c r="A219" s="10" t="s">
        <v>21</v>
      </c>
      <c r="B219" s="10" t="s">
        <v>22</v>
      </c>
      <c r="C219" s="10" t="s">
        <v>140</v>
      </c>
      <c r="D219" s="10" t="s">
        <v>141</v>
      </c>
      <c r="E219" s="10" t="s">
        <v>142</v>
      </c>
      <c r="F219" s="10" t="s">
        <v>143</v>
      </c>
      <c r="G219" s="11">
        <v>733</v>
      </c>
      <c r="H219" s="163" t="s">
        <v>191</v>
      </c>
      <c r="I219" s="166" t="s">
        <v>192</v>
      </c>
      <c r="J219" s="163" t="s">
        <v>184</v>
      </c>
      <c r="K219" s="10" t="s">
        <v>40</v>
      </c>
      <c r="L219" s="10">
        <v>5</v>
      </c>
      <c r="M219" s="10">
        <f t="shared" si="13"/>
        <v>5</v>
      </c>
      <c r="N219" s="10">
        <v>5</v>
      </c>
      <c r="O219" s="12">
        <v>1</v>
      </c>
      <c r="P219" s="11">
        <v>3620</v>
      </c>
      <c r="Q219" s="10" t="s">
        <v>48</v>
      </c>
      <c r="R219" s="4" t="s">
        <v>1278</v>
      </c>
      <c r="S219" s="4" t="s">
        <v>1278</v>
      </c>
      <c r="T219" s="4" t="s">
        <v>1381</v>
      </c>
      <c r="U219" s="4" t="str">
        <f t="shared" si="15"/>
        <v>NOT AN ADD-ON</v>
      </c>
      <c r="V219" s="4" t="str">
        <f t="shared" si="14"/>
        <v>ASSET MANAGEMENT (CORE)ASSET MANAGEMENT (CORE)EXPRESSNOT AN ADD-ON</v>
      </c>
    </row>
    <row r="220" spans="1:22" ht="29.25" customHeight="1" thickBot="1">
      <c r="A220" s="10" t="s">
        <v>21</v>
      </c>
      <c r="B220" s="10" t="s">
        <v>22</v>
      </c>
      <c r="C220" s="10" t="s">
        <v>140</v>
      </c>
      <c r="D220" s="10" t="s">
        <v>141</v>
      </c>
      <c r="E220" s="10" t="s">
        <v>142</v>
      </c>
      <c r="F220" s="10" t="s">
        <v>143</v>
      </c>
      <c r="G220" s="11">
        <v>733</v>
      </c>
      <c r="H220" s="163" t="s">
        <v>188</v>
      </c>
      <c r="I220" s="166" t="s">
        <v>189</v>
      </c>
      <c r="J220" s="163" t="s">
        <v>190</v>
      </c>
      <c r="K220" s="10" t="s">
        <v>40</v>
      </c>
      <c r="L220" s="10">
        <v>5</v>
      </c>
      <c r="M220" s="10">
        <f t="shared" si="13"/>
        <v>5</v>
      </c>
      <c r="N220" s="10">
        <v>5</v>
      </c>
      <c r="O220" s="12">
        <v>1</v>
      </c>
      <c r="P220" s="11">
        <v>3620</v>
      </c>
      <c r="Q220" s="10" t="s">
        <v>48</v>
      </c>
      <c r="R220" s="4" t="s">
        <v>1278</v>
      </c>
      <c r="S220" s="4" t="s">
        <v>1278</v>
      </c>
      <c r="T220" s="4" t="s">
        <v>1381</v>
      </c>
      <c r="U220" s="4" t="str">
        <f t="shared" si="15"/>
        <v>NOT AN ADD-ON</v>
      </c>
      <c r="V220" s="4" t="str">
        <f t="shared" si="14"/>
        <v>ASSET MANAGEMENT (CORE)ASSET MANAGEMENT (CORE)EXPRESSNOT AN ADD-ON</v>
      </c>
    </row>
    <row r="221" spans="1:22" ht="15" thickBot="1">
      <c r="A221" s="10" t="s">
        <v>21</v>
      </c>
      <c r="B221" s="10" t="s">
        <v>22</v>
      </c>
      <c r="C221" s="10" t="s">
        <v>301</v>
      </c>
      <c r="D221" s="10" t="s">
        <v>141</v>
      </c>
      <c r="E221" s="10" t="s">
        <v>142</v>
      </c>
      <c r="F221" s="10" t="s">
        <v>143</v>
      </c>
      <c r="G221" s="11">
        <v>6130</v>
      </c>
      <c r="H221" s="163" t="s">
        <v>314</v>
      </c>
      <c r="I221" s="158" t="s">
        <v>315</v>
      </c>
      <c r="J221" s="163" t="s">
        <v>314</v>
      </c>
      <c r="K221" s="10" t="s">
        <v>40</v>
      </c>
      <c r="L221" s="10">
        <v>0</v>
      </c>
      <c r="M221" s="10">
        <f t="shared" si="13"/>
        <v>0</v>
      </c>
      <c r="N221" s="10">
        <v>10</v>
      </c>
      <c r="O221" s="12">
        <v>1</v>
      </c>
      <c r="P221" s="11">
        <v>6130</v>
      </c>
      <c r="Q221" s="10" t="s">
        <v>33</v>
      </c>
      <c r="R221" s="4" t="s">
        <v>1285</v>
      </c>
      <c r="S221" s="4" t="s">
        <v>507</v>
      </c>
      <c r="T221" s="4" t="s">
        <v>19</v>
      </c>
      <c r="U221" s="4" t="str">
        <f t="shared" si="15"/>
        <v>NOT AN ADD-ON</v>
      </c>
      <c r="V221" s="4" t="str">
        <f t="shared" si="14"/>
        <v>SCHEDULERADD-ONAUTHORIZEDNOT AN ADD-ON</v>
      </c>
    </row>
    <row r="222" spans="1:22" ht="15" thickBot="1">
      <c r="A222" s="10" t="s">
        <v>21</v>
      </c>
      <c r="B222" s="10" t="s">
        <v>22</v>
      </c>
      <c r="C222" s="10" t="s">
        <v>301</v>
      </c>
      <c r="D222" s="10" t="s">
        <v>141</v>
      </c>
      <c r="E222" s="10" t="s">
        <v>142</v>
      </c>
      <c r="F222" s="10" t="s">
        <v>143</v>
      </c>
      <c r="G222" s="11">
        <v>3680</v>
      </c>
      <c r="H222" s="163" t="s">
        <v>316</v>
      </c>
      <c r="I222" s="158" t="s">
        <v>317</v>
      </c>
      <c r="J222" s="163" t="s">
        <v>314</v>
      </c>
      <c r="K222" s="10" t="s">
        <v>40</v>
      </c>
      <c r="L222" s="10">
        <v>0</v>
      </c>
      <c r="M222" s="10">
        <f t="shared" si="13"/>
        <v>0</v>
      </c>
      <c r="N222" s="10">
        <v>10</v>
      </c>
      <c r="O222" s="12">
        <v>1</v>
      </c>
      <c r="P222" s="11">
        <v>6130</v>
      </c>
      <c r="Q222" s="10" t="s">
        <v>36</v>
      </c>
      <c r="R222" s="4" t="s">
        <v>1285</v>
      </c>
      <c r="S222" s="4" t="s">
        <v>507</v>
      </c>
      <c r="T222" s="4" t="s">
        <v>19</v>
      </c>
      <c r="U222" s="4" t="str">
        <f t="shared" si="15"/>
        <v>NOT AN ADD-ON</v>
      </c>
      <c r="V222" s="4" t="str">
        <f t="shared" si="14"/>
        <v>SCHEDULERADD-ONAUTHORIZEDNOT AN ADD-ON</v>
      </c>
    </row>
    <row r="223" spans="1:22" ht="15" thickBot="1">
      <c r="A223" s="10" t="s">
        <v>21</v>
      </c>
      <c r="B223" s="10" t="s">
        <v>22</v>
      </c>
      <c r="C223" s="10" t="s">
        <v>301</v>
      </c>
      <c r="D223" s="10" t="s">
        <v>141</v>
      </c>
      <c r="E223" s="10" t="s">
        <v>142</v>
      </c>
      <c r="F223" s="10" t="s">
        <v>143</v>
      </c>
      <c r="G223" s="11">
        <v>1330</v>
      </c>
      <c r="H223" s="163" t="s">
        <v>326</v>
      </c>
      <c r="I223" s="166" t="s">
        <v>327</v>
      </c>
      <c r="J223" s="163" t="s">
        <v>314</v>
      </c>
      <c r="K223" s="10" t="s">
        <v>40</v>
      </c>
      <c r="L223" s="10">
        <v>0</v>
      </c>
      <c r="M223" s="10">
        <f t="shared" si="13"/>
        <v>0</v>
      </c>
      <c r="N223" s="10">
        <v>10</v>
      </c>
      <c r="O223" s="12">
        <v>1</v>
      </c>
      <c r="P223" s="11">
        <v>6130</v>
      </c>
      <c r="Q223" s="10" t="s">
        <v>48</v>
      </c>
      <c r="R223" s="4" t="s">
        <v>1285</v>
      </c>
      <c r="S223" s="4" t="s">
        <v>507</v>
      </c>
      <c r="T223" s="4" t="s">
        <v>19</v>
      </c>
      <c r="U223" s="4" t="str">
        <f t="shared" si="15"/>
        <v>NOT AN ADD-ON</v>
      </c>
      <c r="V223" s="4" t="str">
        <f t="shared" si="14"/>
        <v>SCHEDULERADD-ONAUTHORIZEDNOT AN ADD-ON</v>
      </c>
    </row>
    <row r="224" spans="1:22" ht="29.25" customHeight="1" thickBot="1">
      <c r="A224" s="10" t="s">
        <v>21</v>
      </c>
      <c r="B224" s="10" t="s">
        <v>22</v>
      </c>
      <c r="C224" s="10" t="s">
        <v>301</v>
      </c>
      <c r="D224" s="10" t="s">
        <v>141</v>
      </c>
      <c r="E224" s="10" t="s">
        <v>142</v>
      </c>
      <c r="F224" s="10" t="s">
        <v>143</v>
      </c>
      <c r="G224" s="11">
        <v>6130</v>
      </c>
      <c r="H224" s="163" t="s">
        <v>322</v>
      </c>
      <c r="I224" s="158" t="s">
        <v>323</v>
      </c>
      <c r="J224" s="163" t="s">
        <v>322</v>
      </c>
      <c r="K224" s="10" t="s">
        <v>40</v>
      </c>
      <c r="L224" s="10">
        <v>0</v>
      </c>
      <c r="M224" s="10">
        <f t="shared" si="13"/>
        <v>0</v>
      </c>
      <c r="N224" s="10">
        <v>10</v>
      </c>
      <c r="O224" s="12">
        <v>1</v>
      </c>
      <c r="P224" s="11">
        <v>6130</v>
      </c>
      <c r="Q224" s="10" t="s">
        <v>33</v>
      </c>
      <c r="R224" s="4" t="s">
        <v>1285</v>
      </c>
      <c r="S224" s="4" t="s">
        <v>507</v>
      </c>
      <c r="T224" s="4" t="s">
        <v>19</v>
      </c>
      <c r="U224" s="4" t="str">
        <f t="shared" si="15"/>
        <v>NOT AN ADD-ON</v>
      </c>
      <c r="V224" s="4" t="str">
        <f t="shared" si="14"/>
        <v>SCHEDULERADD-ONAUTHORIZEDNOT AN ADD-ON</v>
      </c>
    </row>
    <row r="225" spans="1:22" ht="15" thickBot="1">
      <c r="A225" s="10" t="s">
        <v>21</v>
      </c>
      <c r="B225" s="10" t="s">
        <v>22</v>
      </c>
      <c r="C225" s="10" t="s">
        <v>301</v>
      </c>
      <c r="D225" s="10" t="s">
        <v>141</v>
      </c>
      <c r="E225" s="10" t="s">
        <v>142</v>
      </c>
      <c r="F225" s="10" t="s">
        <v>143</v>
      </c>
      <c r="G225" s="11">
        <v>3680</v>
      </c>
      <c r="H225" s="163" t="s">
        <v>324</v>
      </c>
      <c r="I225" s="158" t="s">
        <v>325</v>
      </c>
      <c r="J225" s="163" t="s">
        <v>322</v>
      </c>
      <c r="K225" s="10" t="s">
        <v>40</v>
      </c>
      <c r="L225" s="10">
        <v>0</v>
      </c>
      <c r="M225" s="10">
        <f t="shared" si="13"/>
        <v>0</v>
      </c>
      <c r="N225" s="10">
        <v>10</v>
      </c>
      <c r="O225" s="12">
        <v>1</v>
      </c>
      <c r="P225" s="11">
        <v>6130</v>
      </c>
      <c r="Q225" s="10" t="s">
        <v>36</v>
      </c>
      <c r="R225" s="4" t="s">
        <v>1285</v>
      </c>
      <c r="S225" s="4" t="s">
        <v>507</v>
      </c>
      <c r="T225" s="4" t="s">
        <v>19</v>
      </c>
      <c r="U225" s="4" t="str">
        <f t="shared" si="15"/>
        <v>NOT AN ADD-ON</v>
      </c>
      <c r="V225" s="4" t="str">
        <f t="shared" si="14"/>
        <v>SCHEDULERADD-ONAUTHORIZEDNOT AN ADD-ON</v>
      </c>
    </row>
    <row r="226" spans="1:22" ht="29.25" customHeight="1" thickBot="1">
      <c r="A226" s="10" t="s">
        <v>21</v>
      </c>
      <c r="B226" s="10" t="s">
        <v>22</v>
      </c>
      <c r="C226" s="10" t="s">
        <v>301</v>
      </c>
      <c r="D226" s="10" t="s">
        <v>141</v>
      </c>
      <c r="E226" s="10" t="s">
        <v>142</v>
      </c>
      <c r="F226" s="10" t="s">
        <v>143</v>
      </c>
      <c r="G226" s="11">
        <v>1330</v>
      </c>
      <c r="H226" s="163" t="s">
        <v>318</v>
      </c>
      <c r="I226" s="166" t="s">
        <v>319</v>
      </c>
      <c r="J226" s="163" t="s">
        <v>314</v>
      </c>
      <c r="K226" s="10" t="s">
        <v>40</v>
      </c>
      <c r="L226" s="10">
        <v>0</v>
      </c>
      <c r="M226" s="10">
        <f t="shared" si="13"/>
        <v>0</v>
      </c>
      <c r="N226" s="10">
        <v>10</v>
      </c>
      <c r="O226" s="12">
        <v>1</v>
      </c>
      <c r="P226" s="11">
        <v>6130</v>
      </c>
      <c r="Q226" s="10" t="s">
        <v>48</v>
      </c>
      <c r="R226" s="4" t="s">
        <v>1285</v>
      </c>
      <c r="S226" s="4" t="s">
        <v>507</v>
      </c>
      <c r="T226" s="4" t="s">
        <v>19</v>
      </c>
      <c r="U226" s="4" t="str">
        <f t="shared" si="15"/>
        <v>NOT AN ADD-ON</v>
      </c>
      <c r="V226" s="4" t="str">
        <f t="shared" si="14"/>
        <v>SCHEDULERADD-ONAUTHORIZEDNOT AN ADD-ON</v>
      </c>
    </row>
    <row r="227" spans="1:22" ht="15" thickBot="1">
      <c r="A227" s="10" t="s">
        <v>21</v>
      </c>
      <c r="B227" s="10" t="s">
        <v>22</v>
      </c>
      <c r="C227" s="10" t="s">
        <v>986</v>
      </c>
      <c r="D227" s="10" t="s">
        <v>141</v>
      </c>
      <c r="E227" s="10" t="s">
        <v>142</v>
      </c>
      <c r="F227" s="10" t="s">
        <v>143</v>
      </c>
      <c r="G227" s="11">
        <v>8160</v>
      </c>
      <c r="H227" s="163" t="s">
        <v>989</v>
      </c>
      <c r="I227" s="158" t="s">
        <v>990</v>
      </c>
      <c r="J227" s="163" t="s">
        <v>989</v>
      </c>
      <c r="K227" s="10" t="s">
        <v>40</v>
      </c>
      <c r="L227" s="10">
        <v>15</v>
      </c>
      <c r="M227" s="10">
        <f t="shared" si="13"/>
        <v>15</v>
      </c>
      <c r="N227" s="10">
        <v>15</v>
      </c>
      <c r="O227" s="12">
        <v>1</v>
      </c>
      <c r="P227" s="11">
        <v>8160</v>
      </c>
      <c r="Q227" s="10" t="s">
        <v>33</v>
      </c>
      <c r="R227" s="4" t="s">
        <v>1293</v>
      </c>
      <c r="S227" s="4" t="s">
        <v>1383</v>
      </c>
      <c r="T227" s="4" t="s">
        <v>19</v>
      </c>
      <c r="U227" s="4" t="str">
        <f t="shared" si="15"/>
        <v>NOT AN ADD-ON</v>
      </c>
      <c r="V227" s="4" t="str">
        <f t="shared" si="14"/>
        <v>HEALTH SAFETY AND ENVIRONMENT MANAGERHSEAUTHORIZEDNOT AN ADD-ON</v>
      </c>
    </row>
    <row r="228" spans="1:22" ht="15" thickBot="1">
      <c r="A228" s="10" t="s">
        <v>21</v>
      </c>
      <c r="B228" s="10" t="s">
        <v>22</v>
      </c>
      <c r="C228" s="10" t="s">
        <v>986</v>
      </c>
      <c r="D228" s="10" t="s">
        <v>141</v>
      </c>
      <c r="E228" s="10" t="s">
        <v>142</v>
      </c>
      <c r="F228" s="10" t="s">
        <v>143</v>
      </c>
      <c r="G228" s="11">
        <v>4890</v>
      </c>
      <c r="H228" s="163" t="s">
        <v>991</v>
      </c>
      <c r="I228" s="158" t="s">
        <v>992</v>
      </c>
      <c r="J228" s="163" t="s">
        <v>989</v>
      </c>
      <c r="K228" s="10" t="s">
        <v>40</v>
      </c>
      <c r="L228" s="10">
        <v>15</v>
      </c>
      <c r="M228" s="10">
        <f t="shared" si="13"/>
        <v>15</v>
      </c>
      <c r="N228" s="10">
        <v>15</v>
      </c>
      <c r="O228" s="12">
        <v>1</v>
      </c>
      <c r="P228" s="11">
        <v>8160</v>
      </c>
      <c r="Q228" s="10" t="s">
        <v>36</v>
      </c>
      <c r="R228" s="4" t="s">
        <v>1293</v>
      </c>
      <c r="S228" s="4" t="s">
        <v>1383</v>
      </c>
      <c r="T228" s="4" t="s">
        <v>19</v>
      </c>
      <c r="U228" s="4" t="str">
        <f t="shared" si="15"/>
        <v>NOT AN ADD-ON</v>
      </c>
      <c r="V228" s="4" t="str">
        <f t="shared" si="14"/>
        <v>HEALTH SAFETY AND ENVIRONMENT MANAGERHSEAUTHORIZEDNOT AN ADD-ON</v>
      </c>
    </row>
    <row r="229" spans="1:22" ht="29.25" customHeight="1" thickBot="1">
      <c r="A229" s="10" t="s">
        <v>21</v>
      </c>
      <c r="B229" s="10" t="s">
        <v>22</v>
      </c>
      <c r="C229" s="10" t="s">
        <v>986</v>
      </c>
      <c r="D229" s="10" t="s">
        <v>141</v>
      </c>
      <c r="E229" s="10" t="s">
        <v>142</v>
      </c>
      <c r="F229" s="10" t="s">
        <v>143</v>
      </c>
      <c r="G229" s="11">
        <v>1760</v>
      </c>
      <c r="H229" s="163" t="s">
        <v>1013</v>
      </c>
      <c r="I229" s="166" t="s">
        <v>1014</v>
      </c>
      <c r="J229" s="163" t="s">
        <v>989</v>
      </c>
      <c r="K229" s="10" t="s">
        <v>40</v>
      </c>
      <c r="L229" s="10">
        <v>15</v>
      </c>
      <c r="M229" s="10">
        <f t="shared" si="13"/>
        <v>15</v>
      </c>
      <c r="N229" s="10">
        <v>15</v>
      </c>
      <c r="O229" s="12">
        <v>1</v>
      </c>
      <c r="P229" s="11">
        <v>8160</v>
      </c>
      <c r="Q229" s="10" t="s">
        <v>48</v>
      </c>
      <c r="R229" s="4" t="s">
        <v>1293</v>
      </c>
      <c r="S229" s="4" t="s">
        <v>1383</v>
      </c>
      <c r="T229" s="4" t="s">
        <v>19</v>
      </c>
      <c r="U229" s="4" t="str">
        <f t="shared" si="15"/>
        <v>NOT AN ADD-ON</v>
      </c>
      <c r="V229" s="4" t="str">
        <f t="shared" si="14"/>
        <v>HEALTH SAFETY AND ENVIRONMENT MANAGERHSEAUTHORIZEDNOT AN ADD-ON</v>
      </c>
    </row>
    <row r="230" spans="1:22" ht="29.25" customHeight="1" thickBot="1">
      <c r="A230" s="10" t="s">
        <v>21</v>
      </c>
      <c r="B230" s="10" t="s">
        <v>22</v>
      </c>
      <c r="C230" s="10" t="s">
        <v>986</v>
      </c>
      <c r="D230" s="10" t="s">
        <v>141</v>
      </c>
      <c r="E230" s="10" t="s">
        <v>142</v>
      </c>
      <c r="F230" s="10" t="s">
        <v>143</v>
      </c>
      <c r="G230" s="11">
        <v>8160</v>
      </c>
      <c r="H230" s="163" t="s">
        <v>1007</v>
      </c>
      <c r="I230" s="158" t="s">
        <v>1010</v>
      </c>
      <c r="J230" s="163" t="s">
        <v>1007</v>
      </c>
      <c r="K230" s="10" t="s">
        <v>40</v>
      </c>
      <c r="L230" s="10">
        <v>15</v>
      </c>
      <c r="M230" s="10">
        <f t="shared" si="13"/>
        <v>15</v>
      </c>
      <c r="N230" s="10">
        <v>15</v>
      </c>
      <c r="O230" s="12">
        <v>1</v>
      </c>
      <c r="P230" s="11">
        <v>8160</v>
      </c>
      <c r="Q230" s="10" t="s">
        <v>33</v>
      </c>
      <c r="R230" s="4" t="s">
        <v>1293</v>
      </c>
      <c r="S230" s="4" t="s">
        <v>1383</v>
      </c>
      <c r="T230" s="4" t="s">
        <v>19</v>
      </c>
      <c r="U230" s="4" t="str">
        <f t="shared" si="15"/>
        <v>NOT AN ADD-ON</v>
      </c>
      <c r="V230" s="4" t="str">
        <f t="shared" si="14"/>
        <v>HEALTH SAFETY AND ENVIRONMENT MANAGERHSEAUTHORIZEDNOT AN ADD-ON</v>
      </c>
    </row>
    <row r="231" spans="1:22" ht="15" thickBot="1">
      <c r="A231" s="10" t="s">
        <v>21</v>
      </c>
      <c r="B231" s="10" t="s">
        <v>22</v>
      </c>
      <c r="C231" s="10" t="s">
        <v>986</v>
      </c>
      <c r="D231" s="10" t="s">
        <v>141</v>
      </c>
      <c r="E231" s="10" t="s">
        <v>142</v>
      </c>
      <c r="F231" s="10" t="s">
        <v>143</v>
      </c>
      <c r="G231" s="11">
        <v>4890</v>
      </c>
      <c r="H231" s="163" t="s">
        <v>1011</v>
      </c>
      <c r="I231" s="166" t="s">
        <v>1012</v>
      </c>
      <c r="J231" s="163" t="s">
        <v>1007</v>
      </c>
      <c r="K231" s="10" t="s">
        <v>40</v>
      </c>
      <c r="L231" s="10">
        <v>15</v>
      </c>
      <c r="M231" s="10">
        <f t="shared" si="13"/>
        <v>15</v>
      </c>
      <c r="N231" s="10">
        <v>15</v>
      </c>
      <c r="O231" s="12">
        <v>1</v>
      </c>
      <c r="P231" s="11">
        <v>8160</v>
      </c>
      <c r="Q231" s="10" t="s">
        <v>36</v>
      </c>
      <c r="R231" s="4" t="s">
        <v>1293</v>
      </c>
      <c r="S231" s="4" t="s">
        <v>1383</v>
      </c>
      <c r="T231" s="4" t="s">
        <v>19</v>
      </c>
      <c r="U231" s="4" t="str">
        <f t="shared" si="15"/>
        <v>NOT AN ADD-ON</v>
      </c>
      <c r="V231" s="4" t="str">
        <f t="shared" si="14"/>
        <v>HEALTH SAFETY AND ENVIRONMENT MANAGERHSEAUTHORIZEDNOT AN ADD-ON</v>
      </c>
    </row>
    <row r="232" spans="1:22" ht="27" thickBot="1">
      <c r="A232" s="10" t="s">
        <v>21</v>
      </c>
      <c r="B232" s="10" t="s">
        <v>22</v>
      </c>
      <c r="C232" s="10" t="s">
        <v>986</v>
      </c>
      <c r="D232" s="10" t="s">
        <v>141</v>
      </c>
      <c r="E232" s="10" t="s">
        <v>142</v>
      </c>
      <c r="F232" s="10" t="s">
        <v>143</v>
      </c>
      <c r="G232" s="11">
        <v>1760</v>
      </c>
      <c r="H232" s="163" t="s">
        <v>1005</v>
      </c>
      <c r="I232" s="166" t="s">
        <v>1006</v>
      </c>
      <c r="J232" s="163" t="s">
        <v>1007</v>
      </c>
      <c r="K232" s="10" t="s">
        <v>40</v>
      </c>
      <c r="L232" s="10">
        <v>15</v>
      </c>
      <c r="M232" s="10">
        <f t="shared" si="13"/>
        <v>15</v>
      </c>
      <c r="N232" s="10">
        <v>15</v>
      </c>
      <c r="O232" s="12">
        <v>1</v>
      </c>
      <c r="P232" s="11">
        <v>8160</v>
      </c>
      <c r="Q232" s="10" t="s">
        <v>48</v>
      </c>
      <c r="R232" s="4" t="s">
        <v>1293</v>
      </c>
      <c r="S232" s="4" t="s">
        <v>1383</v>
      </c>
      <c r="T232" s="4" t="s">
        <v>19</v>
      </c>
      <c r="U232" s="4" t="str">
        <f t="shared" si="15"/>
        <v>NOT AN ADD-ON</v>
      </c>
      <c r="V232" s="4" t="str">
        <f t="shared" si="14"/>
        <v>HEALTH SAFETY AND ENVIRONMENT MANAGERHSEAUTHORIZEDNOT AN ADD-ON</v>
      </c>
    </row>
    <row r="233" spans="1:22" ht="29.25" customHeight="1" thickBot="1">
      <c r="A233" s="10" t="s">
        <v>21</v>
      </c>
      <c r="B233" s="10" t="s">
        <v>22</v>
      </c>
      <c r="C233" s="10" t="s">
        <v>686</v>
      </c>
      <c r="D233" s="10" t="s">
        <v>687</v>
      </c>
      <c r="E233" s="10" t="s">
        <v>688</v>
      </c>
      <c r="F233" s="10" t="s">
        <v>689</v>
      </c>
      <c r="G233" s="11">
        <v>23400</v>
      </c>
      <c r="H233" s="163" t="s">
        <v>726</v>
      </c>
      <c r="I233" s="158" t="s">
        <v>727</v>
      </c>
      <c r="J233" s="163" t="s">
        <v>726</v>
      </c>
      <c r="K233" s="10" t="s">
        <v>40</v>
      </c>
      <c r="L233" s="10">
        <v>15</v>
      </c>
      <c r="M233" s="10">
        <f t="shared" si="13"/>
        <v>15</v>
      </c>
      <c r="N233" s="10">
        <v>15</v>
      </c>
      <c r="O233" s="12">
        <v>1</v>
      </c>
      <c r="P233" s="11">
        <v>23400</v>
      </c>
      <c r="Q233" s="10" t="s">
        <v>33</v>
      </c>
      <c r="R233" s="4" t="s">
        <v>1282</v>
      </c>
      <c r="S233" s="4" t="s">
        <v>1279</v>
      </c>
      <c r="T233" s="4" t="s">
        <v>19</v>
      </c>
      <c r="U233" s="4" t="str">
        <f t="shared" si="15"/>
        <v>NOT AN ADD-ON</v>
      </c>
      <c r="V233" s="4" t="str">
        <f t="shared" si="14"/>
        <v>OIL AND GASINDUSTRY SOLUTIONAUTHORIZEDNOT AN ADD-ON</v>
      </c>
    </row>
    <row r="234" spans="1:22" ht="29.25" customHeight="1" thickBot="1">
      <c r="A234" s="10" t="s">
        <v>21</v>
      </c>
      <c r="B234" s="10" t="s">
        <v>22</v>
      </c>
      <c r="C234" s="10" t="s">
        <v>686</v>
      </c>
      <c r="D234" s="10" t="s">
        <v>687</v>
      </c>
      <c r="E234" s="10" t="s">
        <v>688</v>
      </c>
      <c r="F234" s="10" t="s">
        <v>689</v>
      </c>
      <c r="G234" s="11">
        <v>14000</v>
      </c>
      <c r="H234" s="163" t="s">
        <v>728</v>
      </c>
      <c r="I234" s="158" t="s">
        <v>729</v>
      </c>
      <c r="J234" s="163" t="s">
        <v>726</v>
      </c>
      <c r="K234" s="10" t="s">
        <v>40</v>
      </c>
      <c r="L234" s="10">
        <v>15</v>
      </c>
      <c r="M234" s="10">
        <f t="shared" si="13"/>
        <v>15</v>
      </c>
      <c r="N234" s="10">
        <v>15</v>
      </c>
      <c r="O234" s="12">
        <v>1</v>
      </c>
      <c r="P234" s="11">
        <v>23400</v>
      </c>
      <c r="Q234" s="10" t="s">
        <v>36</v>
      </c>
      <c r="R234" s="4" t="s">
        <v>1282</v>
      </c>
      <c r="S234" s="4" t="s">
        <v>1279</v>
      </c>
      <c r="T234" s="4" t="s">
        <v>19</v>
      </c>
      <c r="U234" s="4" t="str">
        <f t="shared" si="15"/>
        <v>NOT AN ADD-ON</v>
      </c>
      <c r="V234" s="4" t="str">
        <f t="shared" si="14"/>
        <v>OIL AND GASINDUSTRY SOLUTIONAUTHORIZEDNOT AN ADD-ON</v>
      </c>
    </row>
    <row r="235" spans="1:22" ht="15" thickBot="1">
      <c r="A235" s="10" t="s">
        <v>21</v>
      </c>
      <c r="B235" s="10" t="s">
        <v>22</v>
      </c>
      <c r="C235" s="10" t="s">
        <v>686</v>
      </c>
      <c r="D235" s="10" t="s">
        <v>687</v>
      </c>
      <c r="E235" s="10" t="s">
        <v>688</v>
      </c>
      <c r="F235" s="10" t="s">
        <v>689</v>
      </c>
      <c r="G235" s="11">
        <v>8260</v>
      </c>
      <c r="H235" s="163" t="s">
        <v>742</v>
      </c>
      <c r="I235" s="166" t="s">
        <v>743</v>
      </c>
      <c r="J235" s="163" t="s">
        <v>726</v>
      </c>
      <c r="K235" s="10" t="s">
        <v>40</v>
      </c>
      <c r="L235" s="10">
        <v>15</v>
      </c>
      <c r="M235" s="10">
        <f t="shared" si="13"/>
        <v>15</v>
      </c>
      <c r="N235" s="10">
        <v>15</v>
      </c>
      <c r="O235" s="12">
        <v>1</v>
      </c>
      <c r="P235" s="11">
        <v>23400</v>
      </c>
      <c r="Q235" s="10" t="s">
        <v>48</v>
      </c>
      <c r="R235" s="4" t="s">
        <v>1282</v>
      </c>
      <c r="S235" s="4" t="s">
        <v>1279</v>
      </c>
      <c r="T235" s="4" t="s">
        <v>19</v>
      </c>
      <c r="U235" s="4" t="str">
        <f t="shared" si="15"/>
        <v>NOT AN ADD-ON</v>
      </c>
      <c r="V235" s="4" t="str">
        <f t="shared" si="14"/>
        <v>OIL AND GASINDUSTRY SOLUTIONAUTHORIZEDNOT AN ADD-ON</v>
      </c>
    </row>
    <row r="236" spans="1:22" ht="15" thickBot="1">
      <c r="A236" s="10" t="s">
        <v>21</v>
      </c>
      <c r="B236" s="10" t="s">
        <v>22</v>
      </c>
      <c r="C236" s="10" t="s">
        <v>686</v>
      </c>
      <c r="D236" s="10" t="s">
        <v>687</v>
      </c>
      <c r="E236" s="10" t="s">
        <v>688</v>
      </c>
      <c r="F236" s="10" t="s">
        <v>689</v>
      </c>
      <c r="G236" s="11">
        <v>5030</v>
      </c>
      <c r="H236" s="163" t="s">
        <v>740</v>
      </c>
      <c r="I236" s="166" t="s">
        <v>741</v>
      </c>
      <c r="J236" s="163" t="s">
        <v>726</v>
      </c>
      <c r="K236" s="10" t="s">
        <v>40</v>
      </c>
      <c r="L236" s="10">
        <v>15</v>
      </c>
      <c r="M236" s="10">
        <f t="shared" si="13"/>
        <v>15</v>
      </c>
      <c r="N236" s="10">
        <v>15</v>
      </c>
      <c r="O236" s="12">
        <v>1</v>
      </c>
      <c r="P236" s="11">
        <v>23400</v>
      </c>
      <c r="Q236" s="10" t="s">
        <v>48</v>
      </c>
      <c r="R236" s="4" t="s">
        <v>1282</v>
      </c>
      <c r="S236" s="4" t="s">
        <v>1279</v>
      </c>
      <c r="T236" s="4" t="s">
        <v>19</v>
      </c>
      <c r="U236" s="4" t="str">
        <f t="shared" si="15"/>
        <v>NOT AN ADD-ON</v>
      </c>
      <c r="V236" s="4" t="str">
        <f t="shared" si="14"/>
        <v>OIL AND GASINDUSTRY SOLUTIONAUTHORIZEDNOT AN ADD-ON</v>
      </c>
    </row>
    <row r="237" spans="1:22" ht="29.25" customHeight="1" thickBot="1">
      <c r="A237" s="10" t="s">
        <v>21</v>
      </c>
      <c r="B237" s="10" t="s">
        <v>22</v>
      </c>
      <c r="C237" s="10" t="s">
        <v>686</v>
      </c>
      <c r="D237" s="10" t="s">
        <v>687</v>
      </c>
      <c r="E237" s="10" t="s">
        <v>688</v>
      </c>
      <c r="F237" s="10" t="s">
        <v>689</v>
      </c>
      <c r="G237" s="11">
        <v>23400</v>
      </c>
      <c r="H237" s="163" t="s">
        <v>732</v>
      </c>
      <c r="I237" s="158" t="s">
        <v>737</v>
      </c>
      <c r="J237" s="163" t="s">
        <v>732</v>
      </c>
      <c r="K237" s="10" t="s">
        <v>40</v>
      </c>
      <c r="L237" s="10">
        <v>15</v>
      </c>
      <c r="M237" s="10">
        <f t="shared" si="13"/>
        <v>15</v>
      </c>
      <c r="N237" s="10">
        <v>15</v>
      </c>
      <c r="O237" s="12">
        <v>1</v>
      </c>
      <c r="P237" s="11">
        <v>23400</v>
      </c>
      <c r="Q237" s="10" t="s">
        <v>33</v>
      </c>
      <c r="R237" s="4" t="s">
        <v>1282</v>
      </c>
      <c r="S237" s="4" t="s">
        <v>1279</v>
      </c>
      <c r="T237" s="4" t="s">
        <v>19</v>
      </c>
      <c r="U237" s="4" t="str">
        <f t="shared" si="15"/>
        <v>NOT AN ADD-ON</v>
      </c>
      <c r="V237" s="4" t="str">
        <f t="shared" si="14"/>
        <v>OIL AND GASINDUSTRY SOLUTIONAUTHORIZEDNOT AN ADD-ON</v>
      </c>
    </row>
    <row r="238" spans="1:22" ht="15" thickBot="1">
      <c r="A238" s="10" t="s">
        <v>21</v>
      </c>
      <c r="B238" s="10" t="s">
        <v>22</v>
      </c>
      <c r="C238" s="10" t="s">
        <v>686</v>
      </c>
      <c r="D238" s="10" t="s">
        <v>687</v>
      </c>
      <c r="E238" s="10" t="s">
        <v>688</v>
      </c>
      <c r="F238" s="10" t="s">
        <v>689</v>
      </c>
      <c r="G238" s="11">
        <v>14000</v>
      </c>
      <c r="H238" s="163" t="s">
        <v>738</v>
      </c>
      <c r="I238" s="158" t="s">
        <v>739</v>
      </c>
      <c r="J238" s="163" t="s">
        <v>732</v>
      </c>
      <c r="K238" s="10" t="s">
        <v>40</v>
      </c>
      <c r="L238" s="10">
        <v>15</v>
      </c>
      <c r="M238" s="10">
        <f t="shared" si="13"/>
        <v>15</v>
      </c>
      <c r="N238" s="10">
        <v>15</v>
      </c>
      <c r="O238" s="12">
        <v>1</v>
      </c>
      <c r="P238" s="11">
        <v>23400</v>
      </c>
      <c r="Q238" s="10" t="s">
        <v>36</v>
      </c>
      <c r="R238" s="4" t="s">
        <v>1282</v>
      </c>
      <c r="S238" s="4" t="s">
        <v>1279</v>
      </c>
      <c r="T238" s="4" t="s">
        <v>19</v>
      </c>
      <c r="U238" s="4" t="str">
        <f t="shared" si="15"/>
        <v>NOT AN ADD-ON</v>
      </c>
      <c r="V238" s="4" t="str">
        <f t="shared" si="14"/>
        <v>OIL AND GASINDUSTRY SOLUTIONAUTHORIZEDNOT AN ADD-ON</v>
      </c>
    </row>
    <row r="239" spans="1:22" ht="15" thickBot="1">
      <c r="A239" s="10" t="s">
        <v>21</v>
      </c>
      <c r="B239" s="10" t="s">
        <v>22</v>
      </c>
      <c r="C239" s="10" t="s">
        <v>686</v>
      </c>
      <c r="D239" s="10" t="s">
        <v>687</v>
      </c>
      <c r="E239" s="10" t="s">
        <v>688</v>
      </c>
      <c r="F239" s="10" t="s">
        <v>689</v>
      </c>
      <c r="G239" s="11">
        <v>8260</v>
      </c>
      <c r="H239" s="163" t="s">
        <v>733</v>
      </c>
      <c r="I239" s="166" t="s">
        <v>734</v>
      </c>
      <c r="J239" s="163" t="s">
        <v>732</v>
      </c>
      <c r="K239" s="10" t="s">
        <v>40</v>
      </c>
      <c r="L239" s="10">
        <v>15</v>
      </c>
      <c r="M239" s="10">
        <f t="shared" si="13"/>
        <v>15</v>
      </c>
      <c r="N239" s="10">
        <v>15</v>
      </c>
      <c r="O239" s="12">
        <v>1</v>
      </c>
      <c r="P239" s="11">
        <v>23400</v>
      </c>
      <c r="Q239" s="10" t="s">
        <v>48</v>
      </c>
      <c r="R239" s="4" t="s">
        <v>1282</v>
      </c>
      <c r="S239" s="4" t="s">
        <v>1279</v>
      </c>
      <c r="T239" s="4" t="s">
        <v>19</v>
      </c>
      <c r="U239" s="4" t="str">
        <f t="shared" si="15"/>
        <v>NOT AN ADD-ON</v>
      </c>
      <c r="V239" s="4" t="str">
        <f t="shared" si="14"/>
        <v>OIL AND GASINDUSTRY SOLUTIONAUTHORIZEDNOT AN ADD-ON</v>
      </c>
    </row>
    <row r="240" spans="1:22" ht="29.25" customHeight="1" thickBot="1">
      <c r="A240" s="10" t="s">
        <v>21</v>
      </c>
      <c r="B240" s="10" t="s">
        <v>22</v>
      </c>
      <c r="C240" s="10" t="s">
        <v>686</v>
      </c>
      <c r="D240" s="10" t="s">
        <v>687</v>
      </c>
      <c r="E240" s="10" t="s">
        <v>688</v>
      </c>
      <c r="F240" s="10" t="s">
        <v>689</v>
      </c>
      <c r="G240" s="11">
        <v>5030</v>
      </c>
      <c r="H240" s="163" t="s">
        <v>730</v>
      </c>
      <c r="I240" s="166" t="s">
        <v>731</v>
      </c>
      <c r="J240" s="163" t="s">
        <v>732</v>
      </c>
      <c r="K240" s="10" t="s">
        <v>40</v>
      </c>
      <c r="L240" s="10">
        <v>15</v>
      </c>
      <c r="M240" s="10">
        <f t="shared" si="13"/>
        <v>15</v>
      </c>
      <c r="N240" s="10">
        <v>15</v>
      </c>
      <c r="O240" s="12">
        <v>1</v>
      </c>
      <c r="P240" s="11">
        <v>23400</v>
      </c>
      <c r="Q240" s="10" t="s">
        <v>48</v>
      </c>
      <c r="R240" s="4" t="s">
        <v>1282</v>
      </c>
      <c r="S240" s="4" t="s">
        <v>1279</v>
      </c>
      <c r="T240" s="4" t="s">
        <v>19</v>
      </c>
      <c r="U240" s="4" t="str">
        <f t="shared" si="15"/>
        <v>NOT AN ADD-ON</v>
      </c>
      <c r="V240" s="4" t="str">
        <f t="shared" si="14"/>
        <v>OIL AND GASINDUSTRY SOLUTIONAUTHORIZEDNOT AN ADD-ON</v>
      </c>
    </row>
    <row r="241" spans="1:22" ht="15" thickBot="1">
      <c r="A241" s="10" t="s">
        <v>21</v>
      </c>
      <c r="B241" s="10" t="s">
        <v>22</v>
      </c>
      <c r="C241" s="10" t="s">
        <v>686</v>
      </c>
      <c r="D241" s="10" t="s">
        <v>687</v>
      </c>
      <c r="E241" s="10" t="s">
        <v>688</v>
      </c>
      <c r="F241" s="10" t="s">
        <v>689</v>
      </c>
      <c r="G241" s="11">
        <v>6570</v>
      </c>
      <c r="H241" s="163" t="s">
        <v>698</v>
      </c>
      <c r="I241" s="158" t="s">
        <v>699</v>
      </c>
      <c r="J241" s="163" t="s">
        <v>698</v>
      </c>
      <c r="K241" s="10" t="s">
        <v>40</v>
      </c>
      <c r="L241" s="10">
        <v>5</v>
      </c>
      <c r="M241" s="10">
        <f t="shared" si="13"/>
        <v>5</v>
      </c>
      <c r="N241" s="10">
        <v>15</v>
      </c>
      <c r="O241" s="12">
        <v>1</v>
      </c>
      <c r="P241" s="11">
        <v>6570</v>
      </c>
      <c r="Q241" s="10" t="s">
        <v>33</v>
      </c>
      <c r="R241" s="4" t="s">
        <v>1282</v>
      </c>
      <c r="S241" s="4" t="s">
        <v>1279</v>
      </c>
      <c r="T241" s="4" t="s">
        <v>19</v>
      </c>
      <c r="U241" s="4" t="s">
        <v>507</v>
      </c>
      <c r="V241" s="4" t="str">
        <f t="shared" si="14"/>
        <v>OIL AND GASINDUSTRY SOLUTIONAUTHORIZEDADD-ON</v>
      </c>
    </row>
    <row r="242" spans="1:22" ht="29.25" customHeight="1" thickBot="1">
      <c r="A242" s="10" t="s">
        <v>21</v>
      </c>
      <c r="B242" s="10" t="s">
        <v>22</v>
      </c>
      <c r="C242" s="10" t="s">
        <v>686</v>
      </c>
      <c r="D242" s="10" t="s">
        <v>687</v>
      </c>
      <c r="E242" s="10" t="s">
        <v>688</v>
      </c>
      <c r="F242" s="10" t="s">
        <v>689</v>
      </c>
      <c r="G242" s="11">
        <v>3940</v>
      </c>
      <c r="H242" s="163" t="s">
        <v>700</v>
      </c>
      <c r="I242" s="158" t="s">
        <v>701</v>
      </c>
      <c r="J242" s="163" t="s">
        <v>698</v>
      </c>
      <c r="K242" s="10" t="s">
        <v>40</v>
      </c>
      <c r="L242" s="10">
        <v>5</v>
      </c>
      <c r="M242" s="10">
        <f t="shared" si="13"/>
        <v>5</v>
      </c>
      <c r="N242" s="10">
        <v>15</v>
      </c>
      <c r="O242" s="12">
        <v>1</v>
      </c>
      <c r="P242" s="11">
        <v>6570</v>
      </c>
      <c r="Q242" s="10" t="s">
        <v>36</v>
      </c>
      <c r="R242" s="4" t="s">
        <v>1282</v>
      </c>
      <c r="S242" s="4" t="s">
        <v>1279</v>
      </c>
      <c r="T242" s="4" t="s">
        <v>19</v>
      </c>
      <c r="U242" s="4" t="s">
        <v>507</v>
      </c>
      <c r="V242" s="4" t="str">
        <f t="shared" si="14"/>
        <v>OIL AND GASINDUSTRY SOLUTIONAUTHORIZEDADD-ON</v>
      </c>
    </row>
    <row r="243" spans="1:22" ht="15" thickBot="1">
      <c r="A243" s="10" t="s">
        <v>21</v>
      </c>
      <c r="B243" s="10" t="s">
        <v>22</v>
      </c>
      <c r="C243" s="10" t="s">
        <v>686</v>
      </c>
      <c r="D243" s="10" t="s">
        <v>687</v>
      </c>
      <c r="E243" s="10" t="s">
        <v>688</v>
      </c>
      <c r="F243" s="10" t="s">
        <v>689</v>
      </c>
      <c r="G243" s="11">
        <v>1410</v>
      </c>
      <c r="H243" s="163" t="s">
        <v>710</v>
      </c>
      <c r="I243" s="166" t="s">
        <v>711</v>
      </c>
      <c r="J243" s="163" t="s">
        <v>698</v>
      </c>
      <c r="K243" s="10" t="s">
        <v>40</v>
      </c>
      <c r="L243" s="10">
        <v>5</v>
      </c>
      <c r="M243" s="10">
        <f t="shared" si="13"/>
        <v>5</v>
      </c>
      <c r="N243" s="10">
        <v>15</v>
      </c>
      <c r="O243" s="12">
        <v>5</v>
      </c>
      <c r="P243" s="11">
        <v>6570</v>
      </c>
      <c r="Q243" s="10" t="s">
        <v>48</v>
      </c>
      <c r="R243" s="4" t="s">
        <v>1282</v>
      </c>
      <c r="S243" s="4" t="s">
        <v>1279</v>
      </c>
      <c r="T243" s="4" t="s">
        <v>19</v>
      </c>
      <c r="U243" s="4" t="s">
        <v>507</v>
      </c>
      <c r="V243" s="4" t="str">
        <f t="shared" si="14"/>
        <v>OIL AND GASINDUSTRY SOLUTIONAUTHORIZEDADD-ON</v>
      </c>
    </row>
    <row r="244" spans="1:22" ht="15" thickBot="1">
      <c r="A244" s="10" t="s">
        <v>21</v>
      </c>
      <c r="B244" s="10" t="s">
        <v>22</v>
      </c>
      <c r="C244" s="10" t="s">
        <v>686</v>
      </c>
      <c r="D244" s="10" t="s">
        <v>687</v>
      </c>
      <c r="E244" s="10" t="s">
        <v>688</v>
      </c>
      <c r="F244" s="10" t="s">
        <v>689</v>
      </c>
      <c r="G244" s="11">
        <v>6570</v>
      </c>
      <c r="H244" s="163" t="s">
        <v>704</v>
      </c>
      <c r="I244" s="158" t="s">
        <v>707</v>
      </c>
      <c r="J244" s="163" t="s">
        <v>704</v>
      </c>
      <c r="K244" s="10" t="s">
        <v>40</v>
      </c>
      <c r="L244" s="10">
        <v>5</v>
      </c>
      <c r="M244" s="10">
        <f t="shared" si="13"/>
        <v>5</v>
      </c>
      <c r="N244" s="10">
        <v>15</v>
      </c>
      <c r="O244" s="12">
        <v>1</v>
      </c>
      <c r="P244" s="11">
        <v>6570</v>
      </c>
      <c r="Q244" s="10" t="s">
        <v>33</v>
      </c>
      <c r="R244" s="4" t="s">
        <v>1282</v>
      </c>
      <c r="S244" s="4" t="s">
        <v>1279</v>
      </c>
      <c r="T244" s="4" t="s">
        <v>19</v>
      </c>
      <c r="U244" s="4" t="str">
        <f t="shared" ref="U244:U254" si="16">IF(ISNUMBER(SEARCH("ADD-ON",$I244)),"ADD-ON","NOT AN ADD-ON")</f>
        <v>ADD-ON</v>
      </c>
      <c r="V244" s="4" t="str">
        <f t="shared" si="14"/>
        <v>OIL AND GASINDUSTRY SOLUTIONAUTHORIZEDADD-ON</v>
      </c>
    </row>
    <row r="245" spans="1:22" ht="15" thickBot="1">
      <c r="A245" s="10" t="s">
        <v>21</v>
      </c>
      <c r="B245" s="10" t="s">
        <v>22</v>
      </c>
      <c r="C245" s="10" t="s">
        <v>686</v>
      </c>
      <c r="D245" s="10" t="s">
        <v>687</v>
      </c>
      <c r="E245" s="10" t="s">
        <v>688</v>
      </c>
      <c r="F245" s="10" t="s">
        <v>689</v>
      </c>
      <c r="G245" s="11">
        <v>3940</v>
      </c>
      <c r="H245" s="163" t="s">
        <v>708</v>
      </c>
      <c r="I245" s="158" t="s">
        <v>709</v>
      </c>
      <c r="J245" s="163" t="s">
        <v>704</v>
      </c>
      <c r="K245" s="10" t="s">
        <v>40</v>
      </c>
      <c r="L245" s="10">
        <v>5</v>
      </c>
      <c r="M245" s="10">
        <f t="shared" si="13"/>
        <v>5</v>
      </c>
      <c r="N245" s="10">
        <v>15</v>
      </c>
      <c r="O245" s="12">
        <v>1</v>
      </c>
      <c r="P245" s="11">
        <v>6570</v>
      </c>
      <c r="Q245" s="10" t="s">
        <v>36</v>
      </c>
      <c r="R245" s="4" t="s">
        <v>1282</v>
      </c>
      <c r="S245" s="4" t="s">
        <v>1279</v>
      </c>
      <c r="T245" s="4" t="s">
        <v>19</v>
      </c>
      <c r="U245" s="4" t="str">
        <f t="shared" si="16"/>
        <v>ADD-ON</v>
      </c>
      <c r="V245" s="4" t="str">
        <f t="shared" si="14"/>
        <v>OIL AND GASINDUSTRY SOLUTIONAUTHORIZEDADD-ON</v>
      </c>
    </row>
    <row r="246" spans="1:22" ht="27" thickBot="1">
      <c r="A246" s="10" t="s">
        <v>21</v>
      </c>
      <c r="B246" s="10" t="s">
        <v>22</v>
      </c>
      <c r="C246" s="10" t="s">
        <v>686</v>
      </c>
      <c r="D246" s="10" t="s">
        <v>687</v>
      </c>
      <c r="E246" s="10" t="s">
        <v>688</v>
      </c>
      <c r="F246" s="10" t="s">
        <v>689</v>
      </c>
      <c r="G246" s="11">
        <v>1410</v>
      </c>
      <c r="H246" s="163" t="s">
        <v>702</v>
      </c>
      <c r="I246" s="166" t="s">
        <v>703</v>
      </c>
      <c r="J246" s="163" t="s">
        <v>704</v>
      </c>
      <c r="K246" s="10" t="s">
        <v>40</v>
      </c>
      <c r="L246" s="10">
        <v>5</v>
      </c>
      <c r="M246" s="10">
        <f t="shared" si="13"/>
        <v>5</v>
      </c>
      <c r="N246" s="10">
        <v>15</v>
      </c>
      <c r="O246" s="12">
        <v>1</v>
      </c>
      <c r="P246" s="11">
        <v>6570</v>
      </c>
      <c r="Q246" s="10" t="s">
        <v>48</v>
      </c>
      <c r="R246" s="4" t="s">
        <v>1282</v>
      </c>
      <c r="S246" s="4" t="s">
        <v>1279</v>
      </c>
      <c r="T246" s="4" t="s">
        <v>19</v>
      </c>
      <c r="U246" s="4" t="str">
        <f t="shared" si="16"/>
        <v>ADD-ON</v>
      </c>
      <c r="V246" s="4" t="str">
        <f t="shared" si="14"/>
        <v>OIL AND GASINDUSTRY SOLUTIONAUTHORIZEDADD-ON</v>
      </c>
    </row>
    <row r="247" spans="1:22" ht="15" thickBot="1">
      <c r="A247" s="10" t="s">
        <v>21</v>
      </c>
      <c r="B247" s="10" t="s">
        <v>22</v>
      </c>
      <c r="C247" s="10" t="s">
        <v>870</v>
      </c>
      <c r="D247" s="10" t="s">
        <v>871</v>
      </c>
      <c r="E247" s="10" t="s">
        <v>872</v>
      </c>
      <c r="F247" s="10" t="s">
        <v>873</v>
      </c>
      <c r="G247" s="11">
        <v>23400</v>
      </c>
      <c r="H247" s="163" t="s">
        <v>910</v>
      </c>
      <c r="I247" s="158" t="s">
        <v>911</v>
      </c>
      <c r="J247" s="163" t="s">
        <v>910</v>
      </c>
      <c r="K247" s="10" t="s">
        <v>40</v>
      </c>
      <c r="L247" s="10">
        <v>15</v>
      </c>
      <c r="M247" s="10">
        <f t="shared" si="13"/>
        <v>15</v>
      </c>
      <c r="N247" s="10">
        <v>15</v>
      </c>
      <c r="O247" s="12">
        <v>1</v>
      </c>
      <c r="P247" s="11">
        <v>23400</v>
      </c>
      <c r="Q247" s="10" t="s">
        <v>33</v>
      </c>
      <c r="R247" s="4" t="s">
        <v>1284</v>
      </c>
      <c r="S247" s="4" t="s">
        <v>1279</v>
      </c>
      <c r="T247" s="4" t="s">
        <v>19</v>
      </c>
      <c r="U247" s="4" t="str">
        <f t="shared" si="16"/>
        <v>NOT AN ADD-ON</v>
      </c>
      <c r="V247" s="4" t="str">
        <f t="shared" si="14"/>
        <v>UTILITIESINDUSTRY SOLUTIONAUTHORIZEDNOT AN ADD-ON</v>
      </c>
    </row>
    <row r="248" spans="1:22" ht="15" thickBot="1">
      <c r="A248" s="10" t="s">
        <v>21</v>
      </c>
      <c r="B248" s="10" t="s">
        <v>22</v>
      </c>
      <c r="C248" s="10" t="s">
        <v>870</v>
      </c>
      <c r="D248" s="10" t="s">
        <v>871</v>
      </c>
      <c r="E248" s="10" t="s">
        <v>872</v>
      </c>
      <c r="F248" s="10" t="s">
        <v>873</v>
      </c>
      <c r="G248" s="11">
        <v>14000</v>
      </c>
      <c r="H248" s="163" t="s">
        <v>912</v>
      </c>
      <c r="I248" s="158" t="s">
        <v>913</v>
      </c>
      <c r="J248" s="163" t="s">
        <v>910</v>
      </c>
      <c r="K248" s="10" t="s">
        <v>40</v>
      </c>
      <c r="L248" s="10">
        <v>15</v>
      </c>
      <c r="M248" s="10">
        <f t="shared" si="13"/>
        <v>15</v>
      </c>
      <c r="N248" s="10">
        <v>15</v>
      </c>
      <c r="O248" s="12">
        <v>1</v>
      </c>
      <c r="P248" s="11">
        <v>23400</v>
      </c>
      <c r="Q248" s="10" t="s">
        <v>36</v>
      </c>
      <c r="R248" s="4" t="s">
        <v>1284</v>
      </c>
      <c r="S248" s="4" t="s">
        <v>1279</v>
      </c>
      <c r="T248" s="4" t="s">
        <v>19</v>
      </c>
      <c r="U248" s="4" t="str">
        <f t="shared" si="16"/>
        <v>NOT AN ADD-ON</v>
      </c>
      <c r="V248" s="4" t="str">
        <f t="shared" si="14"/>
        <v>UTILITIESINDUSTRY SOLUTIONAUTHORIZEDNOT AN ADD-ON</v>
      </c>
    </row>
    <row r="249" spans="1:22" ht="15" thickBot="1">
      <c r="A249" s="10" t="s">
        <v>21</v>
      </c>
      <c r="B249" s="10" t="s">
        <v>22</v>
      </c>
      <c r="C249" s="10" t="s">
        <v>870</v>
      </c>
      <c r="D249" s="10" t="s">
        <v>871</v>
      </c>
      <c r="E249" s="10" t="s">
        <v>872</v>
      </c>
      <c r="F249" s="10" t="s">
        <v>873</v>
      </c>
      <c r="G249" s="11">
        <v>8260</v>
      </c>
      <c r="H249" s="163" t="s">
        <v>922</v>
      </c>
      <c r="I249" s="166" t="s">
        <v>923</v>
      </c>
      <c r="J249" s="163" t="s">
        <v>910</v>
      </c>
      <c r="K249" s="10" t="s">
        <v>40</v>
      </c>
      <c r="L249" s="10">
        <v>15</v>
      </c>
      <c r="M249" s="10">
        <f t="shared" si="13"/>
        <v>15</v>
      </c>
      <c r="N249" s="10">
        <v>15</v>
      </c>
      <c r="O249" s="12">
        <v>1</v>
      </c>
      <c r="P249" s="11">
        <v>23400</v>
      </c>
      <c r="Q249" s="10" t="s">
        <v>48</v>
      </c>
      <c r="R249" s="4" t="s">
        <v>1284</v>
      </c>
      <c r="S249" s="4" t="s">
        <v>1279</v>
      </c>
      <c r="T249" s="4" t="s">
        <v>19</v>
      </c>
      <c r="U249" s="4" t="str">
        <f t="shared" si="16"/>
        <v>NOT AN ADD-ON</v>
      </c>
      <c r="V249" s="4" t="str">
        <f t="shared" si="14"/>
        <v>UTILITIESINDUSTRY SOLUTIONAUTHORIZEDNOT AN ADD-ON</v>
      </c>
    </row>
    <row r="250" spans="1:22" ht="15" thickBot="1">
      <c r="A250" s="10" t="s">
        <v>21</v>
      </c>
      <c r="B250" s="10" t="s">
        <v>22</v>
      </c>
      <c r="C250" s="10" t="s">
        <v>870</v>
      </c>
      <c r="D250" s="10" t="s">
        <v>871</v>
      </c>
      <c r="E250" s="10" t="s">
        <v>872</v>
      </c>
      <c r="F250" s="10" t="s">
        <v>873</v>
      </c>
      <c r="G250" s="11">
        <v>5030</v>
      </c>
      <c r="H250" s="163" t="s">
        <v>920</v>
      </c>
      <c r="I250" s="158" t="s">
        <v>921</v>
      </c>
      <c r="J250" s="163" t="s">
        <v>910</v>
      </c>
      <c r="K250" s="10" t="s">
        <v>40</v>
      </c>
      <c r="L250" s="10">
        <v>15</v>
      </c>
      <c r="M250" s="10">
        <f t="shared" si="13"/>
        <v>15</v>
      </c>
      <c r="N250" s="10">
        <v>15</v>
      </c>
      <c r="O250" s="12">
        <v>1</v>
      </c>
      <c r="P250" s="11">
        <v>23400</v>
      </c>
      <c r="Q250" s="10" t="s">
        <v>48</v>
      </c>
      <c r="R250" s="4" t="s">
        <v>1284</v>
      </c>
      <c r="S250" s="4" t="s">
        <v>1279</v>
      </c>
      <c r="T250" s="4" t="s">
        <v>19</v>
      </c>
      <c r="U250" s="4" t="str">
        <f t="shared" si="16"/>
        <v>NOT AN ADD-ON</v>
      </c>
      <c r="V250" s="4" t="str">
        <f t="shared" si="14"/>
        <v>UTILITIESINDUSTRY SOLUTIONAUTHORIZEDNOT AN ADD-ON</v>
      </c>
    </row>
    <row r="251" spans="1:22" ht="29.25" customHeight="1" thickBot="1">
      <c r="A251" s="10" t="s">
        <v>21</v>
      </c>
      <c r="B251" s="10" t="s">
        <v>22</v>
      </c>
      <c r="C251" s="10" t="s">
        <v>870</v>
      </c>
      <c r="D251" s="10" t="s">
        <v>871</v>
      </c>
      <c r="E251" s="10" t="s">
        <v>872</v>
      </c>
      <c r="F251" s="10" t="s">
        <v>873</v>
      </c>
      <c r="G251" s="11">
        <v>23400</v>
      </c>
      <c r="H251" s="163" t="s">
        <v>916</v>
      </c>
      <c r="I251" s="158" t="s">
        <v>917</v>
      </c>
      <c r="J251" s="163" t="s">
        <v>916</v>
      </c>
      <c r="K251" s="10" t="s">
        <v>40</v>
      </c>
      <c r="L251" s="10">
        <v>15</v>
      </c>
      <c r="M251" s="10">
        <f t="shared" si="13"/>
        <v>15</v>
      </c>
      <c r="N251" s="10">
        <v>15</v>
      </c>
      <c r="O251" s="12">
        <v>1</v>
      </c>
      <c r="P251" s="11">
        <v>23400</v>
      </c>
      <c r="Q251" s="10" t="s">
        <v>33</v>
      </c>
      <c r="R251" s="4" t="s">
        <v>1284</v>
      </c>
      <c r="S251" s="4" t="s">
        <v>1279</v>
      </c>
      <c r="T251" s="4" t="s">
        <v>19</v>
      </c>
      <c r="U251" s="4" t="str">
        <f t="shared" si="16"/>
        <v>NOT AN ADD-ON</v>
      </c>
      <c r="V251" s="4" t="str">
        <f t="shared" si="14"/>
        <v>UTILITIESINDUSTRY SOLUTIONAUTHORIZEDNOT AN ADD-ON</v>
      </c>
    </row>
    <row r="252" spans="1:22" ht="29.25" customHeight="1" thickBot="1">
      <c r="A252" s="10" t="s">
        <v>21</v>
      </c>
      <c r="B252" s="10" t="s">
        <v>22</v>
      </c>
      <c r="C252" s="10" t="s">
        <v>870</v>
      </c>
      <c r="D252" s="10" t="s">
        <v>871</v>
      </c>
      <c r="E252" s="10" t="s">
        <v>872</v>
      </c>
      <c r="F252" s="10" t="s">
        <v>873</v>
      </c>
      <c r="G252" s="11">
        <v>14000</v>
      </c>
      <c r="H252" s="163" t="s">
        <v>918</v>
      </c>
      <c r="I252" s="158" t="s">
        <v>919</v>
      </c>
      <c r="J252" s="163" t="s">
        <v>916</v>
      </c>
      <c r="K252" s="10" t="s">
        <v>40</v>
      </c>
      <c r="L252" s="10">
        <v>15</v>
      </c>
      <c r="M252" s="10">
        <f t="shared" si="13"/>
        <v>15</v>
      </c>
      <c r="N252" s="10">
        <v>15</v>
      </c>
      <c r="O252" s="12">
        <v>1</v>
      </c>
      <c r="P252" s="11">
        <v>23400</v>
      </c>
      <c r="Q252" s="10" t="s">
        <v>36</v>
      </c>
      <c r="R252" s="4" t="s">
        <v>1284</v>
      </c>
      <c r="S252" s="4" t="s">
        <v>1279</v>
      </c>
      <c r="T252" s="4" t="s">
        <v>19</v>
      </c>
      <c r="U252" s="4" t="str">
        <f t="shared" si="16"/>
        <v>NOT AN ADD-ON</v>
      </c>
      <c r="V252" s="4" t="str">
        <f t="shared" si="14"/>
        <v>UTILITIESINDUSTRY SOLUTIONAUTHORIZEDNOT AN ADD-ON</v>
      </c>
    </row>
    <row r="253" spans="1:22" ht="29.25" customHeight="1" thickBot="1">
      <c r="A253" s="10" t="s">
        <v>21</v>
      </c>
      <c r="B253" s="10" t="s">
        <v>22</v>
      </c>
      <c r="C253" s="10" t="s">
        <v>870</v>
      </c>
      <c r="D253" s="10" t="s">
        <v>871</v>
      </c>
      <c r="E253" s="10" t="s">
        <v>872</v>
      </c>
      <c r="F253" s="10" t="s">
        <v>873</v>
      </c>
      <c r="G253" s="11">
        <v>8260</v>
      </c>
      <c r="H253" s="163" t="s">
        <v>960</v>
      </c>
      <c r="I253" s="166" t="s">
        <v>961</v>
      </c>
      <c r="J253" s="163" t="s">
        <v>916</v>
      </c>
      <c r="K253" s="10" t="s">
        <v>40</v>
      </c>
      <c r="L253" s="10">
        <v>15</v>
      </c>
      <c r="M253" s="10">
        <f t="shared" si="13"/>
        <v>15</v>
      </c>
      <c r="N253" s="10">
        <v>15</v>
      </c>
      <c r="O253" s="12">
        <v>1</v>
      </c>
      <c r="P253" s="11">
        <v>23400</v>
      </c>
      <c r="Q253" s="10" t="s">
        <v>48</v>
      </c>
      <c r="R253" s="4" t="s">
        <v>1284</v>
      </c>
      <c r="S253" s="4" t="s">
        <v>1279</v>
      </c>
      <c r="T253" s="4" t="s">
        <v>19</v>
      </c>
      <c r="U253" s="4" t="str">
        <f t="shared" si="16"/>
        <v>NOT AN ADD-ON</v>
      </c>
      <c r="V253" s="4" t="str">
        <f t="shared" si="14"/>
        <v>UTILITIESINDUSTRY SOLUTIONAUTHORIZEDNOT AN ADD-ON</v>
      </c>
    </row>
    <row r="254" spans="1:22" ht="29.25" customHeight="1" thickBot="1">
      <c r="A254" s="10" t="s">
        <v>21</v>
      </c>
      <c r="B254" s="10" t="s">
        <v>22</v>
      </c>
      <c r="C254" s="10" t="s">
        <v>870</v>
      </c>
      <c r="D254" s="10" t="s">
        <v>871</v>
      </c>
      <c r="E254" s="10" t="s">
        <v>872</v>
      </c>
      <c r="F254" s="10" t="s">
        <v>873</v>
      </c>
      <c r="G254" s="11">
        <v>5030</v>
      </c>
      <c r="H254" s="163" t="s">
        <v>958</v>
      </c>
      <c r="I254" s="166" t="s">
        <v>959</v>
      </c>
      <c r="J254" s="163" t="s">
        <v>916</v>
      </c>
      <c r="K254" s="10" t="s">
        <v>40</v>
      </c>
      <c r="L254" s="10">
        <v>15</v>
      </c>
      <c r="M254" s="10">
        <f t="shared" si="13"/>
        <v>15</v>
      </c>
      <c r="N254" s="10">
        <v>15</v>
      </c>
      <c r="O254" s="12">
        <v>1</v>
      </c>
      <c r="P254" s="11">
        <v>23400</v>
      </c>
      <c r="Q254" s="10" t="s">
        <v>48</v>
      </c>
      <c r="R254" s="4" t="s">
        <v>1284</v>
      </c>
      <c r="S254" s="4" t="s">
        <v>1279</v>
      </c>
      <c r="T254" s="4" t="s">
        <v>19</v>
      </c>
      <c r="U254" s="4" t="str">
        <f t="shared" si="16"/>
        <v>NOT AN ADD-ON</v>
      </c>
      <c r="V254" s="4" t="str">
        <f t="shared" si="14"/>
        <v>UTILITIESINDUSTRY SOLUTIONAUTHORIZEDNOT AN ADD-ON</v>
      </c>
    </row>
    <row r="255" spans="1:22" ht="15" thickBot="1">
      <c r="A255" s="10" t="s">
        <v>21</v>
      </c>
      <c r="B255" s="10" t="s">
        <v>22</v>
      </c>
      <c r="C255" s="10" t="s">
        <v>870</v>
      </c>
      <c r="D255" s="10" t="s">
        <v>871</v>
      </c>
      <c r="E255" s="10" t="s">
        <v>872</v>
      </c>
      <c r="F255" s="10" t="s">
        <v>873</v>
      </c>
      <c r="G255" s="11">
        <v>6570</v>
      </c>
      <c r="H255" s="163" t="s">
        <v>882</v>
      </c>
      <c r="I255" s="158" t="s">
        <v>883</v>
      </c>
      <c r="J255" s="163" t="s">
        <v>882</v>
      </c>
      <c r="K255" s="10" t="s">
        <v>40</v>
      </c>
      <c r="L255" s="10">
        <v>5</v>
      </c>
      <c r="M255" s="10">
        <f t="shared" si="13"/>
        <v>5</v>
      </c>
      <c r="N255" s="10">
        <v>15</v>
      </c>
      <c r="O255" s="12">
        <v>1</v>
      </c>
      <c r="P255" s="11">
        <v>6570</v>
      </c>
      <c r="Q255" s="10" t="s">
        <v>33</v>
      </c>
      <c r="R255" s="4" t="s">
        <v>1284</v>
      </c>
      <c r="S255" s="4" t="s">
        <v>1279</v>
      </c>
      <c r="T255" s="4" t="s">
        <v>19</v>
      </c>
      <c r="U255" s="4" t="s">
        <v>507</v>
      </c>
      <c r="V255" s="4" t="str">
        <f t="shared" si="14"/>
        <v>UTILITIESINDUSTRY SOLUTIONAUTHORIZEDADD-ON</v>
      </c>
    </row>
    <row r="256" spans="1:22" ht="15" thickBot="1">
      <c r="A256" s="10" t="s">
        <v>21</v>
      </c>
      <c r="B256" s="10" t="s">
        <v>22</v>
      </c>
      <c r="C256" s="10" t="s">
        <v>870</v>
      </c>
      <c r="D256" s="10" t="s">
        <v>871</v>
      </c>
      <c r="E256" s="10" t="s">
        <v>872</v>
      </c>
      <c r="F256" s="10" t="s">
        <v>873</v>
      </c>
      <c r="G256" s="11">
        <v>3940</v>
      </c>
      <c r="H256" s="163" t="s">
        <v>884</v>
      </c>
      <c r="I256" s="158" t="s">
        <v>885</v>
      </c>
      <c r="J256" s="163" t="s">
        <v>882</v>
      </c>
      <c r="K256" s="10" t="s">
        <v>40</v>
      </c>
      <c r="L256" s="10">
        <v>5</v>
      </c>
      <c r="M256" s="10">
        <f t="shared" si="13"/>
        <v>5</v>
      </c>
      <c r="N256" s="10">
        <v>15</v>
      </c>
      <c r="O256" s="12">
        <v>1</v>
      </c>
      <c r="P256" s="11">
        <v>6570</v>
      </c>
      <c r="Q256" s="10" t="s">
        <v>36</v>
      </c>
      <c r="R256" s="4" t="s">
        <v>1284</v>
      </c>
      <c r="S256" s="4" t="s">
        <v>1279</v>
      </c>
      <c r="T256" s="4" t="s">
        <v>19</v>
      </c>
      <c r="U256" s="4" t="s">
        <v>507</v>
      </c>
      <c r="V256" s="4" t="str">
        <f t="shared" si="14"/>
        <v>UTILITIESINDUSTRY SOLUTIONAUTHORIZEDADD-ON</v>
      </c>
    </row>
    <row r="257" spans="1:22" ht="15" thickBot="1">
      <c r="A257" s="10" t="s">
        <v>21</v>
      </c>
      <c r="B257" s="10" t="s">
        <v>22</v>
      </c>
      <c r="C257" s="10" t="s">
        <v>870</v>
      </c>
      <c r="D257" s="10" t="s">
        <v>871</v>
      </c>
      <c r="E257" s="10" t="s">
        <v>872</v>
      </c>
      <c r="F257" s="10" t="s">
        <v>873</v>
      </c>
      <c r="G257" s="11">
        <v>1410</v>
      </c>
      <c r="H257" s="163" t="s">
        <v>889</v>
      </c>
      <c r="I257" s="166" t="s">
        <v>890</v>
      </c>
      <c r="J257" s="163" t="s">
        <v>882</v>
      </c>
      <c r="K257" s="10" t="s">
        <v>40</v>
      </c>
      <c r="L257" s="10">
        <v>5</v>
      </c>
      <c r="M257" s="10">
        <f t="shared" si="13"/>
        <v>5</v>
      </c>
      <c r="N257" s="10">
        <v>15</v>
      </c>
      <c r="O257" s="12">
        <v>1</v>
      </c>
      <c r="P257" s="11">
        <v>6570</v>
      </c>
      <c r="Q257" s="10" t="s">
        <v>48</v>
      </c>
      <c r="R257" s="4" t="s">
        <v>1284</v>
      </c>
      <c r="S257" s="4" t="s">
        <v>1279</v>
      </c>
      <c r="T257" s="4" t="s">
        <v>19</v>
      </c>
      <c r="U257" s="4" t="s">
        <v>507</v>
      </c>
      <c r="V257" s="4" t="str">
        <f t="shared" si="14"/>
        <v>UTILITIESINDUSTRY SOLUTIONAUTHORIZEDADD-ON</v>
      </c>
    </row>
    <row r="258" spans="1:22" ht="29.25" customHeight="1" thickBot="1">
      <c r="A258" s="10" t="s">
        <v>21</v>
      </c>
      <c r="B258" s="10" t="s">
        <v>22</v>
      </c>
      <c r="C258" s="10" t="s">
        <v>870</v>
      </c>
      <c r="D258" s="10" t="s">
        <v>871</v>
      </c>
      <c r="E258" s="10" t="s">
        <v>872</v>
      </c>
      <c r="F258" s="10" t="s">
        <v>873</v>
      </c>
      <c r="G258" s="11">
        <v>6570</v>
      </c>
      <c r="H258" s="163" t="s">
        <v>888</v>
      </c>
      <c r="I258" s="158" t="s">
        <v>893</v>
      </c>
      <c r="J258" s="163" t="s">
        <v>888</v>
      </c>
      <c r="K258" s="10" t="s">
        <v>40</v>
      </c>
      <c r="L258" s="10">
        <v>5</v>
      </c>
      <c r="M258" s="10">
        <f t="shared" si="13"/>
        <v>5</v>
      </c>
      <c r="N258" s="10">
        <v>15</v>
      </c>
      <c r="O258" s="12">
        <v>1</v>
      </c>
      <c r="P258" s="11">
        <v>6570</v>
      </c>
      <c r="Q258" s="10" t="s">
        <v>33</v>
      </c>
      <c r="R258" s="4" t="s">
        <v>1284</v>
      </c>
      <c r="S258" s="4" t="s">
        <v>1279</v>
      </c>
      <c r="T258" s="4" t="s">
        <v>19</v>
      </c>
      <c r="U258" s="4" t="str">
        <f>IF(ISNUMBER(SEARCH("ADD-ON",$I258)),"ADD-ON","NOT AN ADD-ON")</f>
        <v>ADD-ON</v>
      </c>
      <c r="V258" s="4" t="str">
        <f t="shared" si="14"/>
        <v>UTILITIESINDUSTRY SOLUTIONAUTHORIZEDADD-ON</v>
      </c>
    </row>
    <row r="259" spans="1:22" ht="15" thickBot="1">
      <c r="A259" s="10" t="s">
        <v>21</v>
      </c>
      <c r="B259" s="10" t="s">
        <v>22</v>
      </c>
      <c r="C259" s="10" t="s">
        <v>870</v>
      </c>
      <c r="D259" s="10" t="s">
        <v>871</v>
      </c>
      <c r="E259" s="10" t="s">
        <v>872</v>
      </c>
      <c r="F259" s="10" t="s">
        <v>873</v>
      </c>
      <c r="G259" s="11">
        <v>3940</v>
      </c>
      <c r="H259" s="163" t="s">
        <v>894</v>
      </c>
      <c r="I259" s="158" t="s">
        <v>895</v>
      </c>
      <c r="J259" s="163" t="s">
        <v>888</v>
      </c>
      <c r="K259" s="10" t="s">
        <v>40</v>
      </c>
      <c r="L259" s="10">
        <v>5</v>
      </c>
      <c r="M259" s="10">
        <f t="shared" ref="M259:M322" si="17">ROUND(IF(K259="Authorized User",L259/3,L259),2)</f>
        <v>5</v>
      </c>
      <c r="N259" s="10">
        <v>15</v>
      </c>
      <c r="O259" s="12">
        <v>1</v>
      </c>
      <c r="P259" s="11">
        <v>6570</v>
      </c>
      <c r="Q259" s="10" t="s">
        <v>36</v>
      </c>
      <c r="R259" s="4" t="s">
        <v>1284</v>
      </c>
      <c r="S259" s="4" t="s">
        <v>1279</v>
      </c>
      <c r="T259" s="4" t="s">
        <v>19</v>
      </c>
      <c r="U259" s="4" t="str">
        <f>IF(ISNUMBER(SEARCH("ADD-ON",$I259)),"ADD-ON","NOT AN ADD-ON")</f>
        <v>ADD-ON</v>
      </c>
      <c r="V259" s="4" t="str">
        <f t="shared" ref="V259:V322" si="18">CONCATENATE(R259,S259,T259,U259)</f>
        <v>UTILITIESINDUSTRY SOLUTIONAUTHORIZEDADD-ON</v>
      </c>
    </row>
    <row r="260" spans="1:22" ht="29.25" customHeight="1" thickBot="1">
      <c r="A260" s="10" t="s">
        <v>21</v>
      </c>
      <c r="B260" s="10" t="s">
        <v>22</v>
      </c>
      <c r="C260" s="10" t="s">
        <v>870</v>
      </c>
      <c r="D260" s="10" t="s">
        <v>871</v>
      </c>
      <c r="E260" s="10" t="s">
        <v>872</v>
      </c>
      <c r="F260" s="10" t="s">
        <v>873</v>
      </c>
      <c r="G260" s="11">
        <v>1410</v>
      </c>
      <c r="H260" s="163" t="s">
        <v>886</v>
      </c>
      <c r="I260" s="166" t="s">
        <v>887</v>
      </c>
      <c r="J260" s="163" t="s">
        <v>888</v>
      </c>
      <c r="K260" s="10" t="s">
        <v>40</v>
      </c>
      <c r="L260" s="10">
        <v>5</v>
      </c>
      <c r="M260" s="10">
        <f t="shared" si="17"/>
        <v>5</v>
      </c>
      <c r="N260" s="10">
        <v>15</v>
      </c>
      <c r="O260" s="12">
        <v>1</v>
      </c>
      <c r="P260" s="11">
        <v>6570</v>
      </c>
      <c r="Q260" s="10" t="s">
        <v>48</v>
      </c>
      <c r="R260" s="4" t="s">
        <v>1284</v>
      </c>
      <c r="S260" s="4" t="s">
        <v>1279</v>
      </c>
      <c r="T260" s="4" t="s">
        <v>19</v>
      </c>
      <c r="U260" s="4" t="s">
        <v>507</v>
      </c>
      <c r="V260" s="4" t="str">
        <f t="shared" si="18"/>
        <v>UTILITIESINDUSTRY SOLUTIONAUTHORIZEDADD-ON</v>
      </c>
    </row>
    <row r="261" spans="1:22" ht="15" thickBot="1">
      <c r="A261" s="10" t="s">
        <v>21</v>
      </c>
      <c r="B261" s="10" t="s">
        <v>22</v>
      </c>
      <c r="C261" s="10" t="s">
        <v>94</v>
      </c>
      <c r="D261" s="10" t="s">
        <v>95</v>
      </c>
      <c r="E261" s="10" t="s">
        <v>96</v>
      </c>
      <c r="F261" s="10" t="s">
        <v>97</v>
      </c>
      <c r="G261" s="11">
        <v>17500</v>
      </c>
      <c r="H261" s="163" t="s">
        <v>114</v>
      </c>
      <c r="I261" s="158" t="s">
        <v>115</v>
      </c>
      <c r="J261" s="163" t="s">
        <v>114</v>
      </c>
      <c r="K261" s="10" t="s">
        <v>40</v>
      </c>
      <c r="L261" s="10">
        <v>15</v>
      </c>
      <c r="M261" s="10">
        <f t="shared" si="17"/>
        <v>15</v>
      </c>
      <c r="N261" s="10">
        <v>15</v>
      </c>
      <c r="O261" s="12">
        <v>1</v>
      </c>
      <c r="P261" s="11">
        <v>17500</v>
      </c>
      <c r="Q261" s="10" t="s">
        <v>33</v>
      </c>
      <c r="R261" s="4" t="s">
        <v>1294</v>
      </c>
      <c r="S261" s="4" t="s">
        <v>1379</v>
      </c>
      <c r="T261" s="4" t="s">
        <v>19</v>
      </c>
      <c r="U261" s="4" t="str">
        <f t="shared" ref="U261:U304" si="19">IF(ISNUMBER(SEARCH("ADD-ON",$I261)),"ADD-ON","NOT AN ADD-ON")</f>
        <v>NOT AN ADD-ON</v>
      </c>
      <c r="V261" s="4" t="str">
        <f t="shared" si="18"/>
        <v>ASSET CONFIGURATION MANAGERACMAUTHORIZEDNOT AN ADD-ON</v>
      </c>
    </row>
    <row r="262" spans="1:22" ht="15" thickBot="1">
      <c r="A262" s="10" t="s">
        <v>21</v>
      </c>
      <c r="B262" s="10" t="s">
        <v>22</v>
      </c>
      <c r="C262" s="10" t="s">
        <v>94</v>
      </c>
      <c r="D262" s="10" t="s">
        <v>95</v>
      </c>
      <c r="E262" s="10" t="s">
        <v>96</v>
      </c>
      <c r="F262" s="10" t="s">
        <v>97</v>
      </c>
      <c r="G262" s="11">
        <v>10500</v>
      </c>
      <c r="H262" s="163" t="s">
        <v>116</v>
      </c>
      <c r="I262" s="158" t="s">
        <v>117</v>
      </c>
      <c r="J262" s="163" t="s">
        <v>114</v>
      </c>
      <c r="K262" s="10" t="s">
        <v>40</v>
      </c>
      <c r="L262" s="10">
        <v>15</v>
      </c>
      <c r="M262" s="10">
        <f t="shared" si="17"/>
        <v>15</v>
      </c>
      <c r="N262" s="10">
        <v>15</v>
      </c>
      <c r="O262" s="12">
        <v>1</v>
      </c>
      <c r="P262" s="11">
        <v>17500</v>
      </c>
      <c r="Q262" s="10" t="s">
        <v>36</v>
      </c>
      <c r="R262" s="4" t="s">
        <v>1294</v>
      </c>
      <c r="S262" s="4" t="s">
        <v>1379</v>
      </c>
      <c r="T262" s="4" t="s">
        <v>19</v>
      </c>
      <c r="U262" s="4" t="str">
        <f t="shared" si="19"/>
        <v>NOT AN ADD-ON</v>
      </c>
      <c r="V262" s="4" t="str">
        <f t="shared" si="18"/>
        <v>ASSET CONFIGURATION MANAGERACMAUTHORIZEDNOT AN ADD-ON</v>
      </c>
    </row>
    <row r="263" spans="1:22" ht="15" thickBot="1">
      <c r="A263" s="10" t="s">
        <v>21</v>
      </c>
      <c r="B263" s="10" t="s">
        <v>22</v>
      </c>
      <c r="C263" s="10" t="s">
        <v>94</v>
      </c>
      <c r="D263" s="10" t="s">
        <v>95</v>
      </c>
      <c r="E263" s="10" t="s">
        <v>96</v>
      </c>
      <c r="F263" s="10" t="s">
        <v>97</v>
      </c>
      <c r="G263" s="11">
        <v>3760</v>
      </c>
      <c r="H263" s="163" t="s">
        <v>126</v>
      </c>
      <c r="I263" s="166" t="s">
        <v>127</v>
      </c>
      <c r="J263" s="163" t="s">
        <v>114</v>
      </c>
      <c r="K263" s="10" t="s">
        <v>40</v>
      </c>
      <c r="L263" s="10">
        <v>15</v>
      </c>
      <c r="M263" s="10">
        <f t="shared" si="17"/>
        <v>15</v>
      </c>
      <c r="N263" s="10">
        <v>15</v>
      </c>
      <c r="O263" s="12">
        <v>1</v>
      </c>
      <c r="P263" s="11">
        <v>17500</v>
      </c>
      <c r="Q263" s="10" t="s">
        <v>48</v>
      </c>
      <c r="R263" s="4" t="s">
        <v>1294</v>
      </c>
      <c r="S263" s="4" t="s">
        <v>1379</v>
      </c>
      <c r="T263" s="4" t="s">
        <v>19</v>
      </c>
      <c r="U263" s="4" t="str">
        <f t="shared" si="19"/>
        <v>NOT AN ADD-ON</v>
      </c>
      <c r="V263" s="4" t="str">
        <f t="shared" si="18"/>
        <v>ASSET CONFIGURATION MANAGERACMAUTHORIZEDNOT AN ADD-ON</v>
      </c>
    </row>
    <row r="264" spans="1:22" ht="15" thickBot="1">
      <c r="A264" s="10" t="s">
        <v>21</v>
      </c>
      <c r="B264" s="10" t="s">
        <v>22</v>
      </c>
      <c r="C264" s="10" t="s">
        <v>94</v>
      </c>
      <c r="D264" s="10" t="s">
        <v>95</v>
      </c>
      <c r="E264" s="10" t="s">
        <v>96</v>
      </c>
      <c r="F264" s="10" t="s">
        <v>97</v>
      </c>
      <c r="G264" s="11">
        <v>17500</v>
      </c>
      <c r="H264" s="163" t="s">
        <v>120</v>
      </c>
      <c r="I264" s="158" t="s">
        <v>123</v>
      </c>
      <c r="J264" s="163" t="s">
        <v>120</v>
      </c>
      <c r="K264" s="10" t="s">
        <v>40</v>
      </c>
      <c r="L264" s="10">
        <v>15</v>
      </c>
      <c r="M264" s="10">
        <f t="shared" si="17"/>
        <v>15</v>
      </c>
      <c r="N264" s="10">
        <v>15</v>
      </c>
      <c r="O264" s="12">
        <v>1</v>
      </c>
      <c r="P264" s="11">
        <v>17500</v>
      </c>
      <c r="Q264" s="10" t="s">
        <v>33</v>
      </c>
      <c r="R264" s="4" t="s">
        <v>1294</v>
      </c>
      <c r="S264" s="4" t="s">
        <v>1379</v>
      </c>
      <c r="T264" s="4" t="s">
        <v>19</v>
      </c>
      <c r="U264" s="4" t="str">
        <f t="shared" si="19"/>
        <v>NOT AN ADD-ON</v>
      </c>
      <c r="V264" s="4" t="str">
        <f t="shared" si="18"/>
        <v>ASSET CONFIGURATION MANAGERACMAUTHORIZEDNOT AN ADD-ON</v>
      </c>
    </row>
    <row r="265" spans="1:22" ht="29.25" customHeight="1" thickBot="1">
      <c r="A265" s="10" t="s">
        <v>21</v>
      </c>
      <c r="B265" s="10" t="s">
        <v>22</v>
      </c>
      <c r="C265" s="10" t="s">
        <v>94</v>
      </c>
      <c r="D265" s="10" t="s">
        <v>95</v>
      </c>
      <c r="E265" s="10" t="s">
        <v>96</v>
      </c>
      <c r="F265" s="10" t="s">
        <v>97</v>
      </c>
      <c r="G265" s="11">
        <v>10500</v>
      </c>
      <c r="H265" s="163" t="s">
        <v>124</v>
      </c>
      <c r="I265" s="158" t="s">
        <v>125</v>
      </c>
      <c r="J265" s="163" t="s">
        <v>120</v>
      </c>
      <c r="K265" s="10" t="s">
        <v>40</v>
      </c>
      <c r="L265" s="10">
        <v>15</v>
      </c>
      <c r="M265" s="10">
        <f t="shared" si="17"/>
        <v>15</v>
      </c>
      <c r="N265" s="10">
        <v>15</v>
      </c>
      <c r="O265" s="12">
        <v>1</v>
      </c>
      <c r="P265" s="11">
        <v>17500</v>
      </c>
      <c r="Q265" s="10" t="s">
        <v>36</v>
      </c>
      <c r="R265" s="4" t="s">
        <v>1294</v>
      </c>
      <c r="S265" s="4" t="s">
        <v>1379</v>
      </c>
      <c r="T265" s="4" t="s">
        <v>19</v>
      </c>
      <c r="U265" s="4" t="str">
        <f t="shared" si="19"/>
        <v>NOT AN ADD-ON</v>
      </c>
      <c r="V265" s="4" t="str">
        <f t="shared" si="18"/>
        <v>ASSET CONFIGURATION MANAGERACMAUTHORIZEDNOT AN ADD-ON</v>
      </c>
    </row>
    <row r="266" spans="1:22" ht="27" thickBot="1">
      <c r="A266" s="10" t="s">
        <v>21</v>
      </c>
      <c r="B266" s="10" t="s">
        <v>22</v>
      </c>
      <c r="C266" s="10" t="s">
        <v>94</v>
      </c>
      <c r="D266" s="10" t="s">
        <v>95</v>
      </c>
      <c r="E266" s="10" t="s">
        <v>96</v>
      </c>
      <c r="F266" s="10" t="s">
        <v>97</v>
      </c>
      <c r="G266" s="11">
        <v>3760</v>
      </c>
      <c r="H266" s="163" t="s">
        <v>118</v>
      </c>
      <c r="I266" s="166" t="s">
        <v>119</v>
      </c>
      <c r="J266" s="163" t="s">
        <v>120</v>
      </c>
      <c r="K266" s="10" t="s">
        <v>40</v>
      </c>
      <c r="L266" s="10">
        <v>15</v>
      </c>
      <c r="M266" s="10">
        <f t="shared" si="17"/>
        <v>15</v>
      </c>
      <c r="N266" s="10">
        <v>15</v>
      </c>
      <c r="O266" s="12">
        <v>1</v>
      </c>
      <c r="P266" s="11">
        <v>17500</v>
      </c>
      <c r="Q266" s="10" t="s">
        <v>48</v>
      </c>
      <c r="R266" s="4" t="s">
        <v>1294</v>
      </c>
      <c r="S266" s="4" t="s">
        <v>1379</v>
      </c>
      <c r="T266" s="4" t="s">
        <v>19</v>
      </c>
      <c r="U266" s="4" t="str">
        <f t="shared" si="19"/>
        <v>NOT AN ADD-ON</v>
      </c>
      <c r="V266" s="4" t="str">
        <f t="shared" si="18"/>
        <v>ASSET CONFIGURATION MANAGERACMAUTHORIZEDNOT AN ADD-ON</v>
      </c>
    </row>
    <row r="267" spans="1:22" ht="15" thickBot="1">
      <c r="A267" s="10" t="s">
        <v>21</v>
      </c>
      <c r="B267" s="10" t="s">
        <v>22</v>
      </c>
      <c r="C267" s="10" t="s">
        <v>23</v>
      </c>
      <c r="D267" s="10" t="s">
        <v>24</v>
      </c>
      <c r="E267" s="10" t="s">
        <v>25</v>
      </c>
      <c r="F267" s="10" t="s">
        <v>26</v>
      </c>
      <c r="G267" s="11">
        <v>7030</v>
      </c>
      <c r="H267" s="163" t="s">
        <v>64</v>
      </c>
      <c r="I267" s="158" t="s">
        <v>65</v>
      </c>
      <c r="J267" s="163" t="s">
        <v>64</v>
      </c>
      <c r="K267" s="10" t="s">
        <v>40</v>
      </c>
      <c r="L267" s="10">
        <v>5</v>
      </c>
      <c r="M267" s="10">
        <f t="shared" si="17"/>
        <v>5</v>
      </c>
      <c r="N267" s="10">
        <v>5</v>
      </c>
      <c r="O267" s="17">
        <v>1</v>
      </c>
      <c r="P267" s="11">
        <v>7030</v>
      </c>
      <c r="Q267" s="10" t="s">
        <v>33</v>
      </c>
      <c r="R267" s="4" t="s">
        <v>42</v>
      </c>
      <c r="S267" s="4" t="s">
        <v>42</v>
      </c>
      <c r="T267" s="4" t="s">
        <v>19</v>
      </c>
      <c r="U267" s="4" t="str">
        <f t="shared" si="19"/>
        <v>NOT AN ADD-ON</v>
      </c>
      <c r="V267" s="4" t="str">
        <f t="shared" si="18"/>
        <v>ANYWHEREANYWHEREAUTHORIZEDNOT AN ADD-ON</v>
      </c>
    </row>
    <row r="268" spans="1:22" ht="29.25" customHeight="1" thickBot="1">
      <c r="A268" s="10" t="s">
        <v>21</v>
      </c>
      <c r="B268" s="10" t="s">
        <v>22</v>
      </c>
      <c r="C268" s="10" t="s">
        <v>23</v>
      </c>
      <c r="D268" s="10" t="s">
        <v>24</v>
      </c>
      <c r="E268" s="10" t="s">
        <v>25</v>
      </c>
      <c r="F268" s="10" t="s">
        <v>26</v>
      </c>
      <c r="G268" s="11">
        <v>4220</v>
      </c>
      <c r="H268" s="163" t="s">
        <v>66</v>
      </c>
      <c r="I268" s="158" t="s">
        <v>67</v>
      </c>
      <c r="J268" s="163" t="s">
        <v>64</v>
      </c>
      <c r="K268" s="10" t="s">
        <v>40</v>
      </c>
      <c r="L268" s="10">
        <v>5</v>
      </c>
      <c r="M268" s="10">
        <f t="shared" si="17"/>
        <v>5</v>
      </c>
      <c r="N268" s="10">
        <v>5</v>
      </c>
      <c r="O268" s="17">
        <v>1</v>
      </c>
      <c r="P268" s="11">
        <v>7030</v>
      </c>
      <c r="Q268" s="10" t="s">
        <v>36</v>
      </c>
      <c r="R268" s="4" t="s">
        <v>42</v>
      </c>
      <c r="S268" s="4" t="s">
        <v>42</v>
      </c>
      <c r="T268" s="4" t="s">
        <v>19</v>
      </c>
      <c r="U268" s="4" t="str">
        <f t="shared" si="19"/>
        <v>NOT AN ADD-ON</v>
      </c>
      <c r="V268" s="4" t="str">
        <f t="shared" si="18"/>
        <v>ANYWHEREANYWHEREAUTHORIZEDNOT AN ADD-ON</v>
      </c>
    </row>
    <row r="269" spans="1:22" ht="15" thickBot="1">
      <c r="A269" s="10" t="s">
        <v>21</v>
      </c>
      <c r="B269" s="10" t="s">
        <v>22</v>
      </c>
      <c r="C269" s="10" t="s">
        <v>23</v>
      </c>
      <c r="D269" s="10" t="s">
        <v>24</v>
      </c>
      <c r="E269" s="10" t="s">
        <v>25</v>
      </c>
      <c r="F269" s="10" t="s">
        <v>26</v>
      </c>
      <c r="G269" s="11">
        <v>1500</v>
      </c>
      <c r="H269" s="163" t="s">
        <v>76</v>
      </c>
      <c r="I269" s="158" t="s">
        <v>77</v>
      </c>
      <c r="J269" s="163" t="s">
        <v>64</v>
      </c>
      <c r="K269" s="10" t="s">
        <v>40</v>
      </c>
      <c r="L269" s="10">
        <v>5</v>
      </c>
      <c r="M269" s="10">
        <f t="shared" si="17"/>
        <v>5</v>
      </c>
      <c r="N269" s="10">
        <v>5</v>
      </c>
      <c r="O269" s="17">
        <v>1</v>
      </c>
      <c r="P269" s="11">
        <v>7030</v>
      </c>
      <c r="Q269" s="10" t="s">
        <v>48</v>
      </c>
      <c r="R269" s="4" t="s">
        <v>42</v>
      </c>
      <c r="S269" s="4" t="s">
        <v>42</v>
      </c>
      <c r="T269" s="4" t="s">
        <v>19</v>
      </c>
      <c r="U269" s="4" t="str">
        <f t="shared" si="19"/>
        <v>NOT AN ADD-ON</v>
      </c>
      <c r="V269" s="4" t="str">
        <f t="shared" si="18"/>
        <v>ANYWHEREANYWHEREAUTHORIZEDNOT AN ADD-ON</v>
      </c>
    </row>
    <row r="270" spans="1:22" ht="15" thickBot="1">
      <c r="A270" s="10" t="s">
        <v>21</v>
      </c>
      <c r="B270" s="10" t="s">
        <v>22</v>
      </c>
      <c r="C270" s="10" t="s">
        <v>23</v>
      </c>
      <c r="D270" s="10" t="s">
        <v>24</v>
      </c>
      <c r="E270" s="10" t="s">
        <v>25</v>
      </c>
      <c r="F270" s="10" t="s">
        <v>26</v>
      </c>
      <c r="G270" s="11">
        <v>7030</v>
      </c>
      <c r="H270" s="163" t="s">
        <v>72</v>
      </c>
      <c r="I270" s="158" t="s">
        <v>73</v>
      </c>
      <c r="J270" s="163" t="s">
        <v>72</v>
      </c>
      <c r="K270" s="10" t="s">
        <v>40</v>
      </c>
      <c r="L270" s="10">
        <v>5</v>
      </c>
      <c r="M270" s="10">
        <f t="shared" si="17"/>
        <v>5</v>
      </c>
      <c r="N270" s="10">
        <v>5</v>
      </c>
      <c r="O270" s="12">
        <v>1</v>
      </c>
      <c r="P270" s="11">
        <v>7030</v>
      </c>
      <c r="Q270" s="10" t="s">
        <v>33</v>
      </c>
      <c r="R270" s="4" t="s">
        <v>42</v>
      </c>
      <c r="S270" s="4" t="s">
        <v>42</v>
      </c>
      <c r="T270" s="4" t="s">
        <v>19</v>
      </c>
      <c r="U270" s="4" t="str">
        <f t="shared" si="19"/>
        <v>NOT AN ADD-ON</v>
      </c>
      <c r="V270" s="4" t="str">
        <f t="shared" si="18"/>
        <v>ANYWHEREANYWHEREAUTHORIZEDNOT AN ADD-ON</v>
      </c>
    </row>
    <row r="271" spans="1:22" ht="29.25" customHeight="1" thickBot="1">
      <c r="A271" s="10" t="s">
        <v>21</v>
      </c>
      <c r="B271" s="10" t="s">
        <v>22</v>
      </c>
      <c r="C271" s="10" t="s">
        <v>23</v>
      </c>
      <c r="D271" s="10" t="s">
        <v>24</v>
      </c>
      <c r="E271" s="10" t="s">
        <v>25</v>
      </c>
      <c r="F271" s="10" t="s">
        <v>26</v>
      </c>
      <c r="G271" s="11">
        <v>4220</v>
      </c>
      <c r="H271" s="163" t="s">
        <v>74</v>
      </c>
      <c r="I271" s="158" t="s">
        <v>75</v>
      </c>
      <c r="J271" s="163" t="s">
        <v>72</v>
      </c>
      <c r="K271" s="10" t="s">
        <v>40</v>
      </c>
      <c r="L271" s="10">
        <v>5</v>
      </c>
      <c r="M271" s="10">
        <f t="shared" si="17"/>
        <v>5</v>
      </c>
      <c r="N271" s="10">
        <v>5</v>
      </c>
      <c r="O271" s="12">
        <v>1</v>
      </c>
      <c r="P271" s="11">
        <v>7030</v>
      </c>
      <c r="Q271" s="10" t="s">
        <v>36</v>
      </c>
      <c r="R271" s="4" t="s">
        <v>42</v>
      </c>
      <c r="S271" s="4" t="s">
        <v>42</v>
      </c>
      <c r="T271" s="4" t="s">
        <v>19</v>
      </c>
      <c r="U271" s="4" t="str">
        <f t="shared" si="19"/>
        <v>NOT AN ADD-ON</v>
      </c>
      <c r="V271" s="4" t="str">
        <f t="shared" si="18"/>
        <v>ANYWHEREANYWHEREAUTHORIZEDNOT AN ADD-ON</v>
      </c>
    </row>
    <row r="272" spans="1:22" ht="15" thickBot="1">
      <c r="A272" s="10" t="s">
        <v>21</v>
      </c>
      <c r="B272" s="10" t="s">
        <v>22</v>
      </c>
      <c r="C272" s="10" t="s">
        <v>23</v>
      </c>
      <c r="D272" s="10" t="s">
        <v>24</v>
      </c>
      <c r="E272" s="10" t="s">
        <v>25</v>
      </c>
      <c r="F272" s="10" t="s">
        <v>26</v>
      </c>
      <c r="G272" s="11">
        <v>1500</v>
      </c>
      <c r="H272" s="163" t="s">
        <v>68</v>
      </c>
      <c r="I272" s="166" t="s">
        <v>69</v>
      </c>
      <c r="J272" s="163" t="s">
        <v>47</v>
      </c>
      <c r="K272" s="10" t="s">
        <v>40</v>
      </c>
      <c r="L272" s="10">
        <v>5</v>
      </c>
      <c r="M272" s="10">
        <f t="shared" si="17"/>
        <v>5</v>
      </c>
      <c r="N272" s="10">
        <v>5</v>
      </c>
      <c r="O272" s="12">
        <v>1</v>
      </c>
      <c r="P272" s="11">
        <v>4260</v>
      </c>
      <c r="Q272" s="10" t="s">
        <v>48</v>
      </c>
      <c r="R272" s="4" t="s">
        <v>42</v>
      </c>
      <c r="S272" s="4" t="s">
        <v>42</v>
      </c>
      <c r="T272" s="4" t="s">
        <v>19</v>
      </c>
      <c r="U272" s="4" t="str">
        <f t="shared" si="19"/>
        <v>NOT AN ADD-ON</v>
      </c>
      <c r="V272" s="4" t="str">
        <f t="shared" si="18"/>
        <v>ANYWHEREANYWHEREAUTHORIZEDNOT AN ADD-ON</v>
      </c>
    </row>
    <row r="273" spans="1:22" ht="29.25" customHeight="1" thickBot="1">
      <c r="A273" s="10" t="s">
        <v>21</v>
      </c>
      <c r="B273" s="10" t="s">
        <v>22</v>
      </c>
      <c r="C273" s="10" t="s">
        <v>23</v>
      </c>
      <c r="D273" s="10" t="s">
        <v>24</v>
      </c>
      <c r="E273" s="10" t="s">
        <v>25</v>
      </c>
      <c r="F273" s="10" t="s">
        <v>26</v>
      </c>
      <c r="G273" s="11">
        <v>4260</v>
      </c>
      <c r="H273" s="163" t="s">
        <v>39</v>
      </c>
      <c r="I273" s="158" t="s">
        <v>41</v>
      </c>
      <c r="J273" s="163" t="s">
        <v>39</v>
      </c>
      <c r="K273" s="10" t="s">
        <v>40</v>
      </c>
      <c r="L273" s="10">
        <v>0</v>
      </c>
      <c r="M273" s="10">
        <f t="shared" si="17"/>
        <v>0</v>
      </c>
      <c r="N273" s="10">
        <v>5</v>
      </c>
      <c r="O273" s="17">
        <v>1</v>
      </c>
      <c r="P273" s="11">
        <v>4260</v>
      </c>
      <c r="Q273" s="10" t="s">
        <v>33</v>
      </c>
      <c r="R273" s="4" t="s">
        <v>42</v>
      </c>
      <c r="S273" s="4" t="s">
        <v>42</v>
      </c>
      <c r="T273" s="4" t="s">
        <v>19</v>
      </c>
      <c r="U273" s="4" t="str">
        <f t="shared" si="19"/>
        <v>ADD-ON</v>
      </c>
      <c r="V273" s="4" t="str">
        <f t="shared" si="18"/>
        <v>ANYWHEREANYWHEREAUTHORIZEDADD-ON</v>
      </c>
    </row>
    <row r="274" spans="1:22" ht="15" thickBot="1">
      <c r="A274" s="10" t="s">
        <v>21</v>
      </c>
      <c r="B274" s="10" t="s">
        <v>22</v>
      </c>
      <c r="C274" s="10" t="s">
        <v>23</v>
      </c>
      <c r="D274" s="10" t="s">
        <v>24</v>
      </c>
      <c r="E274" s="10" t="s">
        <v>25</v>
      </c>
      <c r="F274" s="10" t="s">
        <v>26</v>
      </c>
      <c r="G274" s="11">
        <v>2550</v>
      </c>
      <c r="H274" s="163" t="s">
        <v>43</v>
      </c>
      <c r="I274" s="158" t="s">
        <v>44</v>
      </c>
      <c r="J274" s="163" t="s">
        <v>39</v>
      </c>
      <c r="K274" s="10" t="s">
        <v>40</v>
      </c>
      <c r="L274" s="10">
        <v>0</v>
      </c>
      <c r="M274" s="10">
        <f t="shared" si="17"/>
        <v>0</v>
      </c>
      <c r="N274" s="10">
        <v>5</v>
      </c>
      <c r="O274" s="17">
        <v>1</v>
      </c>
      <c r="P274" s="11">
        <v>4260</v>
      </c>
      <c r="Q274" s="10" t="s">
        <v>36</v>
      </c>
      <c r="R274" s="4" t="s">
        <v>42</v>
      </c>
      <c r="S274" s="4" t="s">
        <v>42</v>
      </c>
      <c r="T274" s="4" t="s">
        <v>19</v>
      </c>
      <c r="U274" s="4" t="str">
        <f t="shared" si="19"/>
        <v>ADD-ON</v>
      </c>
      <c r="V274" s="4" t="str">
        <f t="shared" si="18"/>
        <v>ANYWHEREANYWHEREAUTHORIZEDADD-ON</v>
      </c>
    </row>
    <row r="275" spans="1:22" ht="15" thickBot="1">
      <c r="A275" s="10" t="s">
        <v>21</v>
      </c>
      <c r="B275" s="10" t="s">
        <v>22</v>
      </c>
      <c r="C275" s="10" t="s">
        <v>23</v>
      </c>
      <c r="D275" s="10" t="s">
        <v>24</v>
      </c>
      <c r="E275" s="10" t="s">
        <v>25</v>
      </c>
      <c r="F275" s="10" t="s">
        <v>26</v>
      </c>
      <c r="G275" s="11">
        <v>918</v>
      </c>
      <c r="H275" s="163" t="s">
        <v>54</v>
      </c>
      <c r="I275" s="166" t="s">
        <v>55</v>
      </c>
      <c r="J275" s="163" t="s">
        <v>39</v>
      </c>
      <c r="K275" s="10" t="s">
        <v>40</v>
      </c>
      <c r="L275" s="10">
        <v>0</v>
      </c>
      <c r="M275" s="10">
        <f t="shared" si="17"/>
        <v>0</v>
      </c>
      <c r="N275" s="10">
        <v>5</v>
      </c>
      <c r="O275" s="17">
        <v>1</v>
      </c>
      <c r="P275" s="11">
        <v>4260</v>
      </c>
      <c r="Q275" s="10" t="s">
        <v>48</v>
      </c>
      <c r="R275" s="4" t="s">
        <v>42</v>
      </c>
      <c r="S275" s="4" t="s">
        <v>42</v>
      </c>
      <c r="T275" s="4" t="s">
        <v>19</v>
      </c>
      <c r="U275" s="4" t="str">
        <f t="shared" si="19"/>
        <v>ADD-ON</v>
      </c>
      <c r="V275" s="4" t="str">
        <f t="shared" si="18"/>
        <v>ANYWHEREANYWHEREAUTHORIZEDADD-ON</v>
      </c>
    </row>
    <row r="276" spans="1:22" ht="15" thickBot="1">
      <c r="A276" s="10" t="s">
        <v>21</v>
      </c>
      <c r="B276" s="10" t="s">
        <v>22</v>
      </c>
      <c r="C276" s="10" t="s">
        <v>23</v>
      </c>
      <c r="D276" s="10" t="s">
        <v>24</v>
      </c>
      <c r="E276" s="10" t="s">
        <v>25</v>
      </c>
      <c r="F276" s="10" t="s">
        <v>26</v>
      </c>
      <c r="G276" s="11">
        <v>4260</v>
      </c>
      <c r="H276" s="163" t="s">
        <v>47</v>
      </c>
      <c r="I276" s="158" t="s">
        <v>51</v>
      </c>
      <c r="J276" s="163" t="s">
        <v>47</v>
      </c>
      <c r="K276" s="10" t="s">
        <v>40</v>
      </c>
      <c r="L276" s="10">
        <v>0</v>
      </c>
      <c r="M276" s="10">
        <f t="shared" si="17"/>
        <v>0</v>
      </c>
      <c r="N276" s="10">
        <v>5</v>
      </c>
      <c r="O276" s="12">
        <v>1</v>
      </c>
      <c r="P276" s="11">
        <v>4260</v>
      </c>
      <c r="Q276" s="10" t="s">
        <v>33</v>
      </c>
      <c r="R276" s="4" t="s">
        <v>42</v>
      </c>
      <c r="S276" s="4" t="s">
        <v>42</v>
      </c>
      <c r="T276" s="4" t="s">
        <v>19</v>
      </c>
      <c r="U276" s="4" t="str">
        <f t="shared" si="19"/>
        <v>ADD-ON</v>
      </c>
      <c r="V276" s="4" t="str">
        <f t="shared" si="18"/>
        <v>ANYWHEREANYWHEREAUTHORIZEDADD-ON</v>
      </c>
    </row>
    <row r="277" spans="1:22" ht="15" thickBot="1">
      <c r="A277" s="10" t="s">
        <v>21</v>
      </c>
      <c r="B277" s="10" t="s">
        <v>22</v>
      </c>
      <c r="C277" s="10" t="s">
        <v>23</v>
      </c>
      <c r="D277" s="10" t="s">
        <v>24</v>
      </c>
      <c r="E277" s="10" t="s">
        <v>25</v>
      </c>
      <c r="F277" s="10" t="s">
        <v>26</v>
      </c>
      <c r="G277" s="11">
        <v>2550</v>
      </c>
      <c r="H277" s="163" t="s">
        <v>52</v>
      </c>
      <c r="I277" s="158" t="s">
        <v>53</v>
      </c>
      <c r="J277" s="163" t="s">
        <v>47</v>
      </c>
      <c r="K277" s="10" t="s">
        <v>40</v>
      </c>
      <c r="L277" s="10">
        <v>0</v>
      </c>
      <c r="M277" s="10">
        <f t="shared" si="17"/>
        <v>0</v>
      </c>
      <c r="N277" s="10">
        <v>5</v>
      </c>
      <c r="O277" s="12">
        <v>1</v>
      </c>
      <c r="P277" s="11">
        <v>4260</v>
      </c>
      <c r="Q277" s="10" t="s">
        <v>36</v>
      </c>
      <c r="R277" s="4" t="s">
        <v>42</v>
      </c>
      <c r="S277" s="4" t="s">
        <v>42</v>
      </c>
      <c r="T277" s="4" t="s">
        <v>19</v>
      </c>
      <c r="U277" s="4" t="str">
        <f t="shared" si="19"/>
        <v>ADD-ON</v>
      </c>
      <c r="V277" s="4" t="str">
        <f t="shared" si="18"/>
        <v>ANYWHEREANYWHEREAUTHORIZEDADD-ON</v>
      </c>
    </row>
    <row r="278" spans="1:22" ht="27" thickBot="1">
      <c r="A278" s="10" t="s">
        <v>21</v>
      </c>
      <c r="B278" s="10" t="s">
        <v>22</v>
      </c>
      <c r="C278" s="10" t="s">
        <v>23</v>
      </c>
      <c r="D278" s="10" t="s">
        <v>24</v>
      </c>
      <c r="E278" s="10" t="s">
        <v>25</v>
      </c>
      <c r="F278" s="10" t="s">
        <v>26</v>
      </c>
      <c r="G278" s="11">
        <v>918</v>
      </c>
      <c r="H278" s="163" t="s">
        <v>45</v>
      </c>
      <c r="I278" s="166" t="s">
        <v>46</v>
      </c>
      <c r="J278" s="163" t="s">
        <v>47</v>
      </c>
      <c r="K278" s="10" t="s">
        <v>40</v>
      </c>
      <c r="L278" s="10">
        <v>0</v>
      </c>
      <c r="M278" s="10">
        <f t="shared" si="17"/>
        <v>0</v>
      </c>
      <c r="N278" s="10">
        <v>5</v>
      </c>
      <c r="O278" s="12">
        <v>1</v>
      </c>
      <c r="P278" s="11">
        <v>4260</v>
      </c>
      <c r="Q278" s="10" t="s">
        <v>48</v>
      </c>
      <c r="R278" s="4" t="s">
        <v>42</v>
      </c>
      <c r="S278" s="4" t="s">
        <v>42</v>
      </c>
      <c r="T278" s="4" t="s">
        <v>19</v>
      </c>
      <c r="U278" s="4" t="str">
        <f t="shared" si="19"/>
        <v>ADD-ON</v>
      </c>
      <c r="V278" s="4" t="str">
        <f t="shared" si="18"/>
        <v>ANYWHEREANYWHEREAUTHORIZEDADD-ON</v>
      </c>
    </row>
    <row r="279" spans="1:22" ht="15" thickBot="1">
      <c r="A279" s="10" t="s">
        <v>21</v>
      </c>
      <c r="B279" s="10" t="s">
        <v>22</v>
      </c>
      <c r="C279" s="10" t="s">
        <v>230</v>
      </c>
      <c r="D279" s="10" t="s">
        <v>141</v>
      </c>
      <c r="E279" s="10" t="s">
        <v>142</v>
      </c>
      <c r="F279" s="10" t="s">
        <v>143</v>
      </c>
      <c r="G279" s="11">
        <v>10900</v>
      </c>
      <c r="H279" s="163" t="s">
        <v>233</v>
      </c>
      <c r="I279" s="158" t="s">
        <v>236</v>
      </c>
      <c r="J279" s="163" t="s">
        <v>233</v>
      </c>
      <c r="K279" s="10" t="s">
        <v>40</v>
      </c>
      <c r="L279" s="10">
        <v>5</v>
      </c>
      <c r="M279" s="10">
        <f t="shared" si="17"/>
        <v>5</v>
      </c>
      <c r="N279" s="10">
        <v>15</v>
      </c>
      <c r="O279" s="12">
        <v>1</v>
      </c>
      <c r="P279" s="11">
        <v>10900</v>
      </c>
      <c r="Q279" s="10" t="s">
        <v>33</v>
      </c>
      <c r="R279" s="4" t="s">
        <v>234</v>
      </c>
      <c r="S279" s="4" t="s">
        <v>235</v>
      </c>
      <c r="T279" s="4" t="s">
        <v>19</v>
      </c>
      <c r="U279" s="4" t="str">
        <f t="shared" si="19"/>
        <v>NOT AN ADD-ON</v>
      </c>
      <c r="V279" s="4" t="str">
        <f t="shared" si="18"/>
        <v>MANAGED SERVICE PROVIDERSMSPAUTHORIZEDNOT AN ADD-ON</v>
      </c>
    </row>
    <row r="280" spans="1:22" ht="15" thickBot="1">
      <c r="A280" s="10" t="s">
        <v>21</v>
      </c>
      <c r="B280" s="10" t="s">
        <v>22</v>
      </c>
      <c r="C280" s="10" t="s">
        <v>140</v>
      </c>
      <c r="D280" s="10" t="s">
        <v>141</v>
      </c>
      <c r="E280" s="10" t="s">
        <v>142</v>
      </c>
      <c r="F280" s="10" t="s">
        <v>143</v>
      </c>
      <c r="G280" s="11">
        <v>6530</v>
      </c>
      <c r="H280" s="163" t="s">
        <v>237</v>
      </c>
      <c r="I280" s="158" t="s">
        <v>238</v>
      </c>
      <c r="J280" s="163" t="s">
        <v>233</v>
      </c>
      <c r="K280" s="10" t="s">
        <v>40</v>
      </c>
      <c r="L280" s="10">
        <v>5</v>
      </c>
      <c r="M280" s="10">
        <f t="shared" si="17"/>
        <v>5</v>
      </c>
      <c r="N280" s="10">
        <v>15</v>
      </c>
      <c r="O280" s="12">
        <v>1</v>
      </c>
      <c r="P280" s="11">
        <v>10900</v>
      </c>
      <c r="Q280" s="10" t="s">
        <v>36</v>
      </c>
      <c r="R280" s="4" t="s">
        <v>234</v>
      </c>
      <c r="S280" s="4" t="s">
        <v>235</v>
      </c>
      <c r="T280" s="4" t="s">
        <v>19</v>
      </c>
      <c r="U280" s="4" t="str">
        <f t="shared" si="19"/>
        <v>NOT AN ADD-ON</v>
      </c>
      <c r="V280" s="4" t="str">
        <f t="shared" si="18"/>
        <v>MANAGED SERVICE PROVIDERSMSPAUTHORIZEDNOT AN ADD-ON</v>
      </c>
    </row>
    <row r="281" spans="1:22" ht="27" thickBot="1">
      <c r="A281" s="10" t="s">
        <v>21</v>
      </c>
      <c r="B281" s="10" t="s">
        <v>22</v>
      </c>
      <c r="C281" s="10" t="s">
        <v>230</v>
      </c>
      <c r="D281" s="10" t="s">
        <v>141</v>
      </c>
      <c r="E281" s="10" t="s">
        <v>142</v>
      </c>
      <c r="F281" s="10" t="s">
        <v>143</v>
      </c>
      <c r="G281" s="11">
        <v>2350</v>
      </c>
      <c r="H281" s="163" t="s">
        <v>247</v>
      </c>
      <c r="I281" s="166" t="s">
        <v>248</v>
      </c>
      <c r="J281" s="163" t="s">
        <v>233</v>
      </c>
      <c r="K281" s="10" t="s">
        <v>40</v>
      </c>
      <c r="L281" s="10">
        <v>5</v>
      </c>
      <c r="M281" s="10">
        <f t="shared" si="17"/>
        <v>5</v>
      </c>
      <c r="N281" s="10">
        <v>15</v>
      </c>
      <c r="O281" s="12">
        <v>1</v>
      </c>
      <c r="P281" s="11">
        <v>10900</v>
      </c>
      <c r="Q281" s="10" t="s">
        <v>48</v>
      </c>
      <c r="R281" s="4" t="s">
        <v>234</v>
      </c>
      <c r="S281" s="4" t="s">
        <v>235</v>
      </c>
      <c r="T281" s="4" t="s">
        <v>19</v>
      </c>
      <c r="U281" s="4" t="str">
        <f t="shared" si="19"/>
        <v>NOT AN ADD-ON</v>
      </c>
      <c r="V281" s="4" t="str">
        <f t="shared" si="18"/>
        <v>MANAGED SERVICE PROVIDERSMSPAUTHORIZEDNOT AN ADD-ON</v>
      </c>
    </row>
    <row r="282" spans="1:22" ht="29.25" customHeight="1" thickBot="1">
      <c r="A282" s="10" t="s">
        <v>21</v>
      </c>
      <c r="B282" s="10" t="s">
        <v>22</v>
      </c>
      <c r="C282" s="10" t="s">
        <v>230</v>
      </c>
      <c r="D282" s="10" t="s">
        <v>141</v>
      </c>
      <c r="E282" s="10" t="s">
        <v>142</v>
      </c>
      <c r="F282" s="10" t="s">
        <v>143</v>
      </c>
      <c r="G282" s="11">
        <v>10900</v>
      </c>
      <c r="H282" s="163" t="s">
        <v>241</v>
      </c>
      <c r="I282" s="166" t="s">
        <v>242</v>
      </c>
      <c r="J282" s="163" t="s">
        <v>241</v>
      </c>
      <c r="K282" s="10" t="s">
        <v>40</v>
      </c>
      <c r="L282" s="10">
        <v>5</v>
      </c>
      <c r="M282" s="10">
        <f t="shared" si="17"/>
        <v>5</v>
      </c>
      <c r="N282" s="10">
        <v>15</v>
      </c>
      <c r="O282" s="12">
        <v>1</v>
      </c>
      <c r="P282" s="11">
        <v>10900</v>
      </c>
      <c r="Q282" s="10" t="s">
        <v>33</v>
      </c>
      <c r="R282" s="4" t="s">
        <v>234</v>
      </c>
      <c r="S282" s="4" t="s">
        <v>235</v>
      </c>
      <c r="T282" s="4" t="s">
        <v>19</v>
      </c>
      <c r="U282" s="4" t="str">
        <f t="shared" si="19"/>
        <v>NOT AN ADD-ON</v>
      </c>
      <c r="V282" s="4" t="str">
        <f t="shared" si="18"/>
        <v>MANAGED SERVICE PROVIDERSMSPAUTHORIZEDNOT AN ADD-ON</v>
      </c>
    </row>
    <row r="283" spans="1:22" ht="15" thickBot="1">
      <c r="A283" s="10" t="s">
        <v>21</v>
      </c>
      <c r="B283" s="10" t="s">
        <v>22</v>
      </c>
      <c r="C283" s="10" t="s">
        <v>230</v>
      </c>
      <c r="D283" s="10" t="s">
        <v>141</v>
      </c>
      <c r="E283" s="10" t="s">
        <v>142</v>
      </c>
      <c r="F283" s="10" t="s">
        <v>143</v>
      </c>
      <c r="G283" s="11">
        <v>6530</v>
      </c>
      <c r="H283" s="163" t="s">
        <v>243</v>
      </c>
      <c r="I283" s="166" t="s">
        <v>244</v>
      </c>
      <c r="J283" s="163" t="s">
        <v>241</v>
      </c>
      <c r="K283" s="10" t="s">
        <v>40</v>
      </c>
      <c r="L283" s="10">
        <v>5</v>
      </c>
      <c r="M283" s="10">
        <f t="shared" si="17"/>
        <v>5</v>
      </c>
      <c r="N283" s="10">
        <v>15</v>
      </c>
      <c r="O283" s="12">
        <v>1</v>
      </c>
      <c r="P283" s="11">
        <v>10900</v>
      </c>
      <c r="Q283" s="10" t="s">
        <v>36</v>
      </c>
      <c r="R283" s="4" t="s">
        <v>234</v>
      </c>
      <c r="S283" s="4" t="s">
        <v>235</v>
      </c>
      <c r="T283" s="4" t="s">
        <v>19</v>
      </c>
      <c r="U283" s="4" t="str">
        <f t="shared" si="19"/>
        <v>NOT AN ADD-ON</v>
      </c>
      <c r="V283" s="4" t="str">
        <f t="shared" si="18"/>
        <v>MANAGED SERVICE PROVIDERSMSPAUTHORIZEDNOT AN ADD-ON</v>
      </c>
    </row>
    <row r="284" spans="1:22" ht="27" thickBot="1">
      <c r="A284" s="10" t="s">
        <v>21</v>
      </c>
      <c r="B284" s="10" t="s">
        <v>22</v>
      </c>
      <c r="C284" s="10" t="s">
        <v>230</v>
      </c>
      <c r="D284" s="10" t="s">
        <v>141</v>
      </c>
      <c r="E284" s="10" t="s">
        <v>142</v>
      </c>
      <c r="F284" s="10" t="s">
        <v>143</v>
      </c>
      <c r="G284" s="11">
        <v>2350</v>
      </c>
      <c r="H284" s="163" t="s">
        <v>245</v>
      </c>
      <c r="I284" s="166" t="s">
        <v>246</v>
      </c>
      <c r="J284" s="163" t="s">
        <v>241</v>
      </c>
      <c r="K284" s="10" t="s">
        <v>40</v>
      </c>
      <c r="L284" s="10">
        <v>5</v>
      </c>
      <c r="M284" s="10">
        <f t="shared" si="17"/>
        <v>5</v>
      </c>
      <c r="N284" s="10">
        <v>15</v>
      </c>
      <c r="O284" s="17">
        <v>1</v>
      </c>
      <c r="P284" s="11">
        <v>10900</v>
      </c>
      <c r="Q284" s="10" t="s">
        <v>48</v>
      </c>
      <c r="R284" s="4" t="s">
        <v>234</v>
      </c>
      <c r="S284" s="4" t="s">
        <v>235</v>
      </c>
      <c r="T284" s="4" t="s">
        <v>19</v>
      </c>
      <c r="U284" s="4" t="str">
        <f t="shared" si="19"/>
        <v>NOT AN ADD-ON</v>
      </c>
      <c r="V284" s="4" t="str">
        <f t="shared" si="18"/>
        <v>MANAGED SERVICE PROVIDERSMSPAUTHORIZEDNOT AN ADD-ON</v>
      </c>
    </row>
    <row r="285" spans="1:22" ht="15" thickBot="1">
      <c r="A285" s="10" t="s">
        <v>21</v>
      </c>
      <c r="B285" s="10" t="s">
        <v>22</v>
      </c>
      <c r="C285" s="10" t="s">
        <v>204</v>
      </c>
      <c r="D285" s="10" t="s">
        <v>141</v>
      </c>
      <c r="E285" s="10" t="s">
        <v>142</v>
      </c>
      <c r="F285" s="10" t="s">
        <v>143</v>
      </c>
      <c r="G285" s="11">
        <v>3270</v>
      </c>
      <c r="H285" s="163" t="s">
        <v>207</v>
      </c>
      <c r="I285" s="158" t="s">
        <v>209</v>
      </c>
      <c r="J285" s="163" t="s">
        <v>207</v>
      </c>
      <c r="K285" s="10" t="s">
        <v>40</v>
      </c>
      <c r="L285" s="10">
        <v>5</v>
      </c>
      <c r="M285" s="10">
        <f t="shared" si="17"/>
        <v>5</v>
      </c>
      <c r="N285" s="10">
        <v>15</v>
      </c>
      <c r="O285" s="17">
        <v>1</v>
      </c>
      <c r="P285" s="11">
        <v>3270</v>
      </c>
      <c r="Q285" s="10" t="s">
        <v>33</v>
      </c>
      <c r="R285" s="4" t="s">
        <v>208</v>
      </c>
      <c r="S285" s="4" t="s">
        <v>1278</v>
      </c>
      <c r="T285" s="4" t="s">
        <v>19</v>
      </c>
      <c r="U285" s="4" t="str">
        <f t="shared" si="19"/>
        <v>NOT AN ADD-ON</v>
      </c>
      <c r="V285" s="4" t="str">
        <f t="shared" si="18"/>
        <v>INTERNAL SERVICE PROVIDERSASSET MANAGEMENT (CORE)AUTHORIZEDNOT AN ADD-ON</v>
      </c>
    </row>
    <row r="286" spans="1:22" ht="15" thickBot="1">
      <c r="A286" s="10" t="s">
        <v>21</v>
      </c>
      <c r="B286" s="10" t="s">
        <v>22</v>
      </c>
      <c r="C286" s="10" t="s">
        <v>204</v>
      </c>
      <c r="D286" s="10" t="s">
        <v>141</v>
      </c>
      <c r="E286" s="10" t="s">
        <v>142</v>
      </c>
      <c r="F286" s="10" t="s">
        <v>143</v>
      </c>
      <c r="G286" s="11">
        <v>1960</v>
      </c>
      <c r="H286" s="163" t="s">
        <v>210</v>
      </c>
      <c r="I286" s="158" t="s">
        <v>211</v>
      </c>
      <c r="J286" s="163" t="s">
        <v>207</v>
      </c>
      <c r="K286" s="10" t="s">
        <v>40</v>
      </c>
      <c r="L286" s="10">
        <v>5</v>
      </c>
      <c r="M286" s="10">
        <f t="shared" si="17"/>
        <v>5</v>
      </c>
      <c r="N286" s="10">
        <v>15</v>
      </c>
      <c r="O286" s="17">
        <v>1</v>
      </c>
      <c r="P286" s="11">
        <v>3270</v>
      </c>
      <c r="Q286" s="10" t="s">
        <v>36</v>
      </c>
      <c r="R286" s="4" t="s">
        <v>208</v>
      </c>
      <c r="S286" s="4" t="s">
        <v>1278</v>
      </c>
      <c r="T286" s="4" t="s">
        <v>19</v>
      </c>
      <c r="U286" s="4" t="str">
        <f t="shared" si="19"/>
        <v>NOT AN ADD-ON</v>
      </c>
      <c r="V286" s="4" t="str">
        <f t="shared" si="18"/>
        <v>INTERNAL SERVICE PROVIDERSASSET MANAGEMENT (CORE)AUTHORIZEDNOT AN ADD-ON</v>
      </c>
    </row>
    <row r="287" spans="1:22" ht="27" thickBot="1">
      <c r="A287" s="10" t="s">
        <v>21</v>
      </c>
      <c r="B287" s="10" t="s">
        <v>22</v>
      </c>
      <c r="C287" s="10" t="s">
        <v>204</v>
      </c>
      <c r="D287" s="10" t="s">
        <v>141</v>
      </c>
      <c r="E287" s="10" t="s">
        <v>142</v>
      </c>
      <c r="F287" s="10" t="s">
        <v>143</v>
      </c>
      <c r="G287" s="11">
        <v>702</v>
      </c>
      <c r="H287" s="163" t="s">
        <v>220</v>
      </c>
      <c r="I287" s="166" t="s">
        <v>221</v>
      </c>
      <c r="J287" s="163" t="s">
        <v>207</v>
      </c>
      <c r="K287" s="10" t="s">
        <v>40</v>
      </c>
      <c r="L287" s="10">
        <v>5</v>
      </c>
      <c r="M287" s="10">
        <f t="shared" si="17"/>
        <v>5</v>
      </c>
      <c r="N287" s="10">
        <v>15</v>
      </c>
      <c r="O287" s="17">
        <v>1</v>
      </c>
      <c r="P287" s="11">
        <v>3270</v>
      </c>
      <c r="Q287" s="10" t="s">
        <v>48</v>
      </c>
      <c r="R287" s="4" t="s">
        <v>208</v>
      </c>
      <c r="S287" s="4" t="s">
        <v>1278</v>
      </c>
      <c r="T287" s="4" t="s">
        <v>19</v>
      </c>
      <c r="U287" s="4" t="str">
        <f t="shared" si="19"/>
        <v>NOT AN ADD-ON</v>
      </c>
      <c r="V287" s="4" t="str">
        <f t="shared" si="18"/>
        <v>INTERNAL SERVICE PROVIDERSASSET MANAGEMENT (CORE)AUTHORIZEDNOT AN ADD-ON</v>
      </c>
    </row>
    <row r="288" spans="1:22" ht="15" thickBot="1">
      <c r="A288" s="10" t="s">
        <v>21</v>
      </c>
      <c r="B288" s="10" t="s">
        <v>22</v>
      </c>
      <c r="C288" s="10" t="s">
        <v>204</v>
      </c>
      <c r="D288" s="10" t="s">
        <v>141</v>
      </c>
      <c r="E288" s="10" t="s">
        <v>142</v>
      </c>
      <c r="F288" s="10" t="s">
        <v>143</v>
      </c>
      <c r="G288" s="11">
        <v>3270</v>
      </c>
      <c r="H288" s="163" t="s">
        <v>214</v>
      </c>
      <c r="I288" s="166" t="s">
        <v>215</v>
      </c>
      <c r="J288" s="163" t="s">
        <v>214</v>
      </c>
      <c r="K288" s="10" t="s">
        <v>40</v>
      </c>
      <c r="L288" s="10">
        <v>5</v>
      </c>
      <c r="M288" s="10">
        <f t="shared" si="17"/>
        <v>5</v>
      </c>
      <c r="N288" s="10">
        <v>15</v>
      </c>
      <c r="O288" s="17">
        <v>1</v>
      </c>
      <c r="P288" s="11">
        <v>3270</v>
      </c>
      <c r="Q288" s="10" t="s">
        <v>33</v>
      </c>
      <c r="R288" s="4" t="s">
        <v>208</v>
      </c>
      <c r="S288" s="4" t="s">
        <v>1278</v>
      </c>
      <c r="T288" s="4" t="s">
        <v>19</v>
      </c>
      <c r="U288" s="4" t="str">
        <f t="shared" si="19"/>
        <v>NOT AN ADD-ON</v>
      </c>
      <c r="V288" s="4" t="str">
        <f t="shared" si="18"/>
        <v>INTERNAL SERVICE PROVIDERSASSET MANAGEMENT (CORE)AUTHORIZEDNOT AN ADD-ON</v>
      </c>
    </row>
    <row r="289" spans="1:22" ht="15" thickBot="1">
      <c r="A289" s="10" t="s">
        <v>21</v>
      </c>
      <c r="B289" s="10" t="s">
        <v>22</v>
      </c>
      <c r="C289" s="10" t="s">
        <v>204</v>
      </c>
      <c r="D289" s="10" t="s">
        <v>141</v>
      </c>
      <c r="E289" s="10" t="s">
        <v>142</v>
      </c>
      <c r="F289" s="10" t="s">
        <v>143</v>
      </c>
      <c r="G289" s="11">
        <v>1960</v>
      </c>
      <c r="H289" s="163" t="s">
        <v>216</v>
      </c>
      <c r="I289" s="166" t="s">
        <v>217</v>
      </c>
      <c r="J289" s="163" t="s">
        <v>214</v>
      </c>
      <c r="K289" s="10" t="s">
        <v>40</v>
      </c>
      <c r="L289" s="10">
        <v>5</v>
      </c>
      <c r="M289" s="10">
        <f t="shared" si="17"/>
        <v>5</v>
      </c>
      <c r="N289" s="10">
        <v>15</v>
      </c>
      <c r="O289" s="17">
        <v>1</v>
      </c>
      <c r="P289" s="11">
        <v>3270</v>
      </c>
      <c r="Q289" s="10" t="s">
        <v>36</v>
      </c>
      <c r="R289" s="4" t="s">
        <v>208</v>
      </c>
      <c r="S289" s="4" t="s">
        <v>1278</v>
      </c>
      <c r="T289" s="4" t="s">
        <v>19</v>
      </c>
      <c r="U289" s="4" t="str">
        <f t="shared" si="19"/>
        <v>NOT AN ADD-ON</v>
      </c>
      <c r="V289" s="4" t="str">
        <f t="shared" si="18"/>
        <v>INTERNAL SERVICE PROVIDERSASSET MANAGEMENT (CORE)AUTHORIZEDNOT AN ADD-ON</v>
      </c>
    </row>
    <row r="290" spans="1:22" ht="29.25" customHeight="1" thickBot="1">
      <c r="A290" s="10" t="s">
        <v>21</v>
      </c>
      <c r="B290" s="10" t="s">
        <v>22</v>
      </c>
      <c r="C290" s="10" t="s">
        <v>204</v>
      </c>
      <c r="D290" s="10" t="s">
        <v>141</v>
      </c>
      <c r="E290" s="10" t="s">
        <v>142</v>
      </c>
      <c r="F290" s="10" t="s">
        <v>143</v>
      </c>
      <c r="G290" s="11">
        <v>702</v>
      </c>
      <c r="H290" s="163" t="s">
        <v>218</v>
      </c>
      <c r="I290" s="166" t="s">
        <v>219</v>
      </c>
      <c r="J290" s="163" t="s">
        <v>214</v>
      </c>
      <c r="K290" s="10" t="s">
        <v>40</v>
      </c>
      <c r="L290" s="10">
        <v>5</v>
      </c>
      <c r="M290" s="10">
        <f t="shared" si="17"/>
        <v>5</v>
      </c>
      <c r="N290" s="10">
        <v>15</v>
      </c>
      <c r="O290" s="17">
        <v>1</v>
      </c>
      <c r="P290" s="11">
        <v>3270</v>
      </c>
      <c r="Q290" s="10" t="s">
        <v>48</v>
      </c>
      <c r="R290" s="4" t="s">
        <v>208</v>
      </c>
      <c r="S290" s="4" t="s">
        <v>1278</v>
      </c>
      <c r="T290" s="4" t="s">
        <v>19</v>
      </c>
      <c r="U290" s="4" t="str">
        <f t="shared" si="19"/>
        <v>NOT AN ADD-ON</v>
      </c>
      <c r="V290" s="4" t="str">
        <f t="shared" si="18"/>
        <v>INTERNAL SERVICE PROVIDERSASSET MANAGEMENT (CORE)AUTHORIZEDNOT AN ADD-ON</v>
      </c>
    </row>
    <row r="291" spans="1:22" ht="29.25" customHeight="1" thickBot="1">
      <c r="A291" s="10" t="s">
        <v>21</v>
      </c>
      <c r="B291" s="10" t="s">
        <v>22</v>
      </c>
      <c r="C291" s="10" t="s">
        <v>1015</v>
      </c>
      <c r="D291" s="10" t="s">
        <v>141</v>
      </c>
      <c r="E291" s="10" t="s">
        <v>142</v>
      </c>
      <c r="F291" s="10" t="s">
        <v>143</v>
      </c>
      <c r="G291" s="11">
        <v>2170</v>
      </c>
      <c r="H291" s="163" t="s">
        <v>1024</v>
      </c>
      <c r="I291" s="158" t="s">
        <v>1025</v>
      </c>
      <c r="J291" s="163" t="s">
        <v>1024</v>
      </c>
      <c r="K291" s="10" t="s">
        <v>40</v>
      </c>
      <c r="L291" s="10">
        <v>0</v>
      </c>
      <c r="M291" s="10">
        <f t="shared" si="17"/>
        <v>0</v>
      </c>
      <c r="N291" s="10">
        <v>5</v>
      </c>
      <c r="O291" s="17">
        <v>1</v>
      </c>
      <c r="P291" s="11">
        <v>2170</v>
      </c>
      <c r="Q291" s="10" t="s">
        <v>33</v>
      </c>
      <c r="R291" s="4" t="s">
        <v>1290</v>
      </c>
      <c r="S291" s="4" t="s">
        <v>507</v>
      </c>
      <c r="T291" s="4" t="s">
        <v>19</v>
      </c>
      <c r="U291" s="4" t="str">
        <f t="shared" si="19"/>
        <v>NOT AN ADD-ON</v>
      </c>
      <c r="V291" s="4" t="str">
        <f t="shared" si="18"/>
        <v>LINEARADD-ONAUTHORIZEDNOT AN ADD-ON</v>
      </c>
    </row>
    <row r="292" spans="1:22" ht="15" thickBot="1">
      <c r="A292" s="10" t="s">
        <v>21</v>
      </c>
      <c r="B292" s="10" t="s">
        <v>22</v>
      </c>
      <c r="C292" s="10" t="s">
        <v>1015</v>
      </c>
      <c r="D292" s="10" t="s">
        <v>141</v>
      </c>
      <c r="E292" s="10" t="s">
        <v>142</v>
      </c>
      <c r="F292" s="10" t="s">
        <v>143</v>
      </c>
      <c r="G292" s="11">
        <v>1310</v>
      </c>
      <c r="H292" s="163" t="s">
        <v>1026</v>
      </c>
      <c r="I292" s="158" t="s">
        <v>1027</v>
      </c>
      <c r="J292" s="163" t="s">
        <v>1024</v>
      </c>
      <c r="K292" s="10" t="s">
        <v>40</v>
      </c>
      <c r="L292" s="10">
        <v>0</v>
      </c>
      <c r="M292" s="10">
        <f t="shared" si="17"/>
        <v>0</v>
      </c>
      <c r="N292" s="10">
        <v>5</v>
      </c>
      <c r="O292" s="12">
        <v>1</v>
      </c>
      <c r="P292" s="11">
        <v>2170</v>
      </c>
      <c r="Q292" s="10" t="s">
        <v>36</v>
      </c>
      <c r="R292" s="4" t="s">
        <v>1290</v>
      </c>
      <c r="S292" s="4" t="s">
        <v>507</v>
      </c>
      <c r="T292" s="4" t="s">
        <v>19</v>
      </c>
      <c r="U292" s="4" t="str">
        <f t="shared" si="19"/>
        <v>NOT AN ADD-ON</v>
      </c>
      <c r="V292" s="4" t="str">
        <f t="shared" si="18"/>
        <v>LINEARADD-ONAUTHORIZEDNOT AN ADD-ON</v>
      </c>
    </row>
    <row r="293" spans="1:22" ht="15" thickBot="1">
      <c r="A293" s="10" t="s">
        <v>21</v>
      </c>
      <c r="B293" s="10" t="s">
        <v>22</v>
      </c>
      <c r="C293" s="10" t="s">
        <v>1015</v>
      </c>
      <c r="D293" s="10" t="s">
        <v>141</v>
      </c>
      <c r="E293" s="10" t="s">
        <v>142</v>
      </c>
      <c r="F293" s="10" t="s">
        <v>143</v>
      </c>
      <c r="G293" s="11">
        <v>467</v>
      </c>
      <c r="H293" s="163" t="s">
        <v>1036</v>
      </c>
      <c r="I293" s="166" t="s">
        <v>1037</v>
      </c>
      <c r="J293" s="163" t="s">
        <v>1024</v>
      </c>
      <c r="K293" s="10" t="s">
        <v>40</v>
      </c>
      <c r="L293" s="10">
        <v>0</v>
      </c>
      <c r="M293" s="10">
        <f t="shared" si="17"/>
        <v>0</v>
      </c>
      <c r="N293" s="10">
        <v>5</v>
      </c>
      <c r="O293" s="12">
        <v>1</v>
      </c>
      <c r="P293" s="11">
        <v>2170</v>
      </c>
      <c r="Q293" s="10" t="s">
        <v>48</v>
      </c>
      <c r="R293" s="4" t="s">
        <v>1290</v>
      </c>
      <c r="S293" s="4" t="s">
        <v>507</v>
      </c>
      <c r="T293" s="4" t="s">
        <v>19</v>
      </c>
      <c r="U293" s="4" t="str">
        <f t="shared" si="19"/>
        <v>NOT AN ADD-ON</v>
      </c>
      <c r="V293" s="4" t="str">
        <f t="shared" si="18"/>
        <v>LINEARADD-ONAUTHORIZEDNOT AN ADD-ON</v>
      </c>
    </row>
    <row r="294" spans="1:22" ht="15" thickBot="1">
      <c r="A294" s="10" t="s">
        <v>21</v>
      </c>
      <c r="B294" s="10" t="s">
        <v>22</v>
      </c>
      <c r="C294" s="10" t="s">
        <v>1015</v>
      </c>
      <c r="D294" s="10" t="s">
        <v>141</v>
      </c>
      <c r="E294" s="10" t="s">
        <v>142</v>
      </c>
      <c r="F294" s="10" t="s">
        <v>143</v>
      </c>
      <c r="G294" s="11">
        <v>2170</v>
      </c>
      <c r="H294" s="163" t="s">
        <v>1030</v>
      </c>
      <c r="I294" s="158" t="s">
        <v>1031</v>
      </c>
      <c r="J294" s="163" t="s">
        <v>1030</v>
      </c>
      <c r="K294" s="10" t="s">
        <v>40</v>
      </c>
      <c r="L294" s="10">
        <v>0</v>
      </c>
      <c r="M294" s="10">
        <f t="shared" si="17"/>
        <v>0</v>
      </c>
      <c r="N294" s="10">
        <v>5</v>
      </c>
      <c r="O294" s="12">
        <v>1</v>
      </c>
      <c r="P294" s="11">
        <v>2170</v>
      </c>
      <c r="Q294" s="10" t="s">
        <v>33</v>
      </c>
      <c r="R294" s="4" t="s">
        <v>1290</v>
      </c>
      <c r="S294" s="4" t="s">
        <v>507</v>
      </c>
      <c r="T294" s="4" t="s">
        <v>19</v>
      </c>
      <c r="U294" s="4" t="str">
        <f t="shared" si="19"/>
        <v>NOT AN ADD-ON</v>
      </c>
      <c r="V294" s="4" t="str">
        <f t="shared" si="18"/>
        <v>LINEARADD-ONAUTHORIZEDNOT AN ADD-ON</v>
      </c>
    </row>
    <row r="295" spans="1:22" ht="15" thickBot="1">
      <c r="A295" s="10" t="s">
        <v>21</v>
      </c>
      <c r="B295" s="10" t="s">
        <v>22</v>
      </c>
      <c r="C295" s="10" t="s">
        <v>1015</v>
      </c>
      <c r="D295" s="10" t="s">
        <v>141</v>
      </c>
      <c r="E295" s="10" t="s">
        <v>142</v>
      </c>
      <c r="F295" s="10" t="s">
        <v>143</v>
      </c>
      <c r="G295" s="11">
        <v>1310</v>
      </c>
      <c r="H295" s="163" t="s">
        <v>1032</v>
      </c>
      <c r="I295" s="158" t="s">
        <v>1033</v>
      </c>
      <c r="J295" s="163" t="s">
        <v>1030</v>
      </c>
      <c r="K295" s="10" t="s">
        <v>40</v>
      </c>
      <c r="L295" s="10">
        <v>0</v>
      </c>
      <c r="M295" s="10">
        <f t="shared" si="17"/>
        <v>0</v>
      </c>
      <c r="N295" s="10">
        <v>5</v>
      </c>
      <c r="O295" s="12">
        <v>1</v>
      </c>
      <c r="P295" s="11">
        <v>2170</v>
      </c>
      <c r="Q295" s="10" t="s">
        <v>36</v>
      </c>
      <c r="R295" s="4" t="s">
        <v>1290</v>
      </c>
      <c r="S295" s="4" t="s">
        <v>507</v>
      </c>
      <c r="T295" s="4" t="s">
        <v>19</v>
      </c>
      <c r="U295" s="4" t="str">
        <f t="shared" si="19"/>
        <v>NOT AN ADD-ON</v>
      </c>
      <c r="V295" s="4" t="str">
        <f t="shared" si="18"/>
        <v>LINEARADD-ONAUTHORIZEDNOT AN ADD-ON</v>
      </c>
    </row>
    <row r="296" spans="1:22" ht="29.25" customHeight="1" thickBot="1">
      <c r="A296" s="10" t="s">
        <v>21</v>
      </c>
      <c r="B296" s="10" t="s">
        <v>22</v>
      </c>
      <c r="C296" s="10" t="s">
        <v>1015</v>
      </c>
      <c r="D296" s="10" t="s">
        <v>141</v>
      </c>
      <c r="E296" s="10" t="s">
        <v>142</v>
      </c>
      <c r="F296" s="10" t="s">
        <v>143</v>
      </c>
      <c r="G296" s="11">
        <v>467</v>
      </c>
      <c r="H296" s="163" t="s">
        <v>1034</v>
      </c>
      <c r="I296" s="166" t="s">
        <v>1035</v>
      </c>
      <c r="J296" s="163" t="s">
        <v>1030</v>
      </c>
      <c r="K296" s="10" t="s">
        <v>40</v>
      </c>
      <c r="L296" s="10">
        <v>0</v>
      </c>
      <c r="M296" s="10">
        <f t="shared" si="17"/>
        <v>0</v>
      </c>
      <c r="N296" s="10">
        <v>5</v>
      </c>
      <c r="O296" s="12">
        <v>1</v>
      </c>
      <c r="P296" s="11">
        <v>2170</v>
      </c>
      <c r="Q296" s="10" t="s">
        <v>48</v>
      </c>
      <c r="R296" s="4" t="s">
        <v>1290</v>
      </c>
      <c r="S296" s="4" t="s">
        <v>507</v>
      </c>
      <c r="T296" s="4" t="s">
        <v>19</v>
      </c>
      <c r="U296" s="4" t="str">
        <f t="shared" si="19"/>
        <v>NOT AN ADD-ON</v>
      </c>
      <c r="V296" s="4" t="str">
        <f t="shared" si="18"/>
        <v>LINEARADD-ONAUTHORIZEDNOT AN ADD-ON</v>
      </c>
    </row>
    <row r="297" spans="1:22" ht="15" thickBot="1">
      <c r="A297" s="10" t="s">
        <v>21</v>
      </c>
      <c r="B297" s="10" t="s">
        <v>22</v>
      </c>
      <c r="C297" s="10" t="s">
        <v>778</v>
      </c>
      <c r="D297" s="10" t="s">
        <v>779</v>
      </c>
      <c r="E297" s="10" t="s">
        <v>780</v>
      </c>
      <c r="F297" s="10" t="s">
        <v>781</v>
      </c>
      <c r="G297" s="11">
        <v>23400</v>
      </c>
      <c r="H297" s="163" t="s">
        <v>818</v>
      </c>
      <c r="I297" s="158" t="s">
        <v>819</v>
      </c>
      <c r="J297" s="163" t="s">
        <v>818</v>
      </c>
      <c r="K297" s="10" t="s">
        <v>40</v>
      </c>
      <c r="L297" s="10">
        <v>15</v>
      </c>
      <c r="M297" s="10">
        <f t="shared" si="17"/>
        <v>15</v>
      </c>
      <c r="N297" s="10">
        <v>15</v>
      </c>
      <c r="O297" s="12">
        <v>1</v>
      </c>
      <c r="P297" s="11">
        <v>23400</v>
      </c>
      <c r="Q297" s="10" t="s">
        <v>33</v>
      </c>
      <c r="R297" s="4" t="s">
        <v>1283</v>
      </c>
      <c r="S297" s="4" t="s">
        <v>1279</v>
      </c>
      <c r="T297" s="4" t="s">
        <v>19</v>
      </c>
      <c r="U297" s="4" t="str">
        <f t="shared" si="19"/>
        <v>NOT AN ADD-ON</v>
      </c>
      <c r="V297" s="4" t="str">
        <f t="shared" si="18"/>
        <v>TRANSPORATIONINDUSTRY SOLUTIONAUTHORIZEDNOT AN ADD-ON</v>
      </c>
    </row>
    <row r="298" spans="1:22" ht="15" thickBot="1">
      <c r="A298" s="10" t="s">
        <v>21</v>
      </c>
      <c r="B298" s="10" t="s">
        <v>22</v>
      </c>
      <c r="C298" s="10" t="s">
        <v>778</v>
      </c>
      <c r="D298" s="10" t="s">
        <v>779</v>
      </c>
      <c r="E298" s="10" t="s">
        <v>780</v>
      </c>
      <c r="F298" s="10" t="s">
        <v>781</v>
      </c>
      <c r="G298" s="11">
        <v>14000</v>
      </c>
      <c r="H298" s="163" t="s">
        <v>820</v>
      </c>
      <c r="I298" s="158" t="s">
        <v>821</v>
      </c>
      <c r="J298" s="163" t="s">
        <v>818</v>
      </c>
      <c r="K298" s="10" t="s">
        <v>40</v>
      </c>
      <c r="L298" s="10">
        <v>15</v>
      </c>
      <c r="M298" s="10">
        <f t="shared" si="17"/>
        <v>15</v>
      </c>
      <c r="N298" s="10">
        <v>15</v>
      </c>
      <c r="O298" s="12">
        <v>1</v>
      </c>
      <c r="P298" s="11">
        <v>23400</v>
      </c>
      <c r="Q298" s="10" t="s">
        <v>36</v>
      </c>
      <c r="R298" s="4" t="s">
        <v>1283</v>
      </c>
      <c r="S298" s="4" t="s">
        <v>1279</v>
      </c>
      <c r="T298" s="4" t="s">
        <v>19</v>
      </c>
      <c r="U298" s="4" t="str">
        <f t="shared" si="19"/>
        <v>NOT AN ADD-ON</v>
      </c>
      <c r="V298" s="4" t="str">
        <f t="shared" si="18"/>
        <v>TRANSPORATIONINDUSTRY SOLUTIONAUTHORIZEDNOT AN ADD-ON</v>
      </c>
    </row>
    <row r="299" spans="1:22" ht="15" thickBot="1">
      <c r="A299" s="10" t="s">
        <v>21</v>
      </c>
      <c r="B299" s="10" t="s">
        <v>22</v>
      </c>
      <c r="C299" s="10" t="s">
        <v>778</v>
      </c>
      <c r="D299" s="10" t="s">
        <v>779</v>
      </c>
      <c r="E299" s="10" t="s">
        <v>780</v>
      </c>
      <c r="F299" s="10" t="s">
        <v>781</v>
      </c>
      <c r="G299" s="11">
        <v>8260</v>
      </c>
      <c r="H299" s="163" t="s">
        <v>834</v>
      </c>
      <c r="I299" s="166" t="s">
        <v>835</v>
      </c>
      <c r="J299" s="163" t="s">
        <v>818</v>
      </c>
      <c r="K299" s="10" t="s">
        <v>40</v>
      </c>
      <c r="L299" s="10">
        <v>15</v>
      </c>
      <c r="M299" s="10">
        <f t="shared" si="17"/>
        <v>15</v>
      </c>
      <c r="N299" s="10">
        <v>15</v>
      </c>
      <c r="O299" s="12">
        <v>1</v>
      </c>
      <c r="P299" s="11">
        <v>23400</v>
      </c>
      <c r="Q299" s="10" t="s">
        <v>48</v>
      </c>
      <c r="R299" s="4" t="s">
        <v>1283</v>
      </c>
      <c r="S299" s="4" t="s">
        <v>1279</v>
      </c>
      <c r="T299" s="4" t="s">
        <v>19</v>
      </c>
      <c r="U299" s="4" t="str">
        <f t="shared" si="19"/>
        <v>NOT AN ADD-ON</v>
      </c>
      <c r="V299" s="4" t="str">
        <f t="shared" si="18"/>
        <v>TRANSPORATIONINDUSTRY SOLUTIONAUTHORIZEDNOT AN ADD-ON</v>
      </c>
    </row>
    <row r="300" spans="1:22" ht="29.25" customHeight="1" thickBot="1">
      <c r="A300" s="10" t="s">
        <v>21</v>
      </c>
      <c r="B300" s="10" t="s">
        <v>22</v>
      </c>
      <c r="C300" s="10" t="s">
        <v>778</v>
      </c>
      <c r="D300" s="10" t="s">
        <v>779</v>
      </c>
      <c r="E300" s="10" t="s">
        <v>780</v>
      </c>
      <c r="F300" s="10" t="s">
        <v>781</v>
      </c>
      <c r="G300" s="11">
        <v>5030</v>
      </c>
      <c r="H300" s="163" t="s">
        <v>832</v>
      </c>
      <c r="I300" s="166" t="s">
        <v>833</v>
      </c>
      <c r="J300" s="163" t="s">
        <v>818</v>
      </c>
      <c r="K300" s="10" t="s">
        <v>40</v>
      </c>
      <c r="L300" s="10">
        <v>15</v>
      </c>
      <c r="M300" s="10">
        <f t="shared" si="17"/>
        <v>15</v>
      </c>
      <c r="N300" s="10">
        <v>15</v>
      </c>
      <c r="O300" s="12">
        <v>1</v>
      </c>
      <c r="P300" s="11">
        <v>23400</v>
      </c>
      <c r="Q300" s="10" t="s">
        <v>48</v>
      </c>
      <c r="R300" s="4" t="s">
        <v>1283</v>
      </c>
      <c r="S300" s="4" t="s">
        <v>1279</v>
      </c>
      <c r="T300" s="4" t="s">
        <v>19</v>
      </c>
      <c r="U300" s="4" t="str">
        <f t="shared" si="19"/>
        <v>NOT AN ADD-ON</v>
      </c>
      <c r="V300" s="4" t="str">
        <f t="shared" si="18"/>
        <v>TRANSPORATIONINDUSTRY SOLUTIONAUTHORIZEDNOT AN ADD-ON</v>
      </c>
    </row>
    <row r="301" spans="1:22" ht="29.25" customHeight="1" thickBot="1">
      <c r="A301" s="10" t="s">
        <v>21</v>
      </c>
      <c r="B301" s="10" t="s">
        <v>22</v>
      </c>
      <c r="C301" s="10" t="s">
        <v>778</v>
      </c>
      <c r="D301" s="10" t="s">
        <v>779</v>
      </c>
      <c r="E301" s="10" t="s">
        <v>780</v>
      </c>
      <c r="F301" s="10" t="s">
        <v>781</v>
      </c>
      <c r="G301" s="11">
        <v>23400</v>
      </c>
      <c r="H301" s="163" t="s">
        <v>824</v>
      </c>
      <c r="I301" s="158" t="s">
        <v>825</v>
      </c>
      <c r="J301" s="163" t="s">
        <v>824</v>
      </c>
      <c r="K301" s="10" t="s">
        <v>40</v>
      </c>
      <c r="L301" s="10">
        <v>15</v>
      </c>
      <c r="M301" s="10">
        <f t="shared" si="17"/>
        <v>15</v>
      </c>
      <c r="N301" s="10">
        <v>15</v>
      </c>
      <c r="O301" s="12">
        <v>1</v>
      </c>
      <c r="P301" s="11">
        <v>23400</v>
      </c>
      <c r="Q301" s="10" t="s">
        <v>33</v>
      </c>
      <c r="R301" s="4" t="s">
        <v>1283</v>
      </c>
      <c r="S301" s="4" t="s">
        <v>1279</v>
      </c>
      <c r="T301" s="4" t="s">
        <v>19</v>
      </c>
      <c r="U301" s="4" t="str">
        <f t="shared" si="19"/>
        <v>NOT AN ADD-ON</v>
      </c>
      <c r="V301" s="4" t="str">
        <f t="shared" si="18"/>
        <v>TRANSPORATIONINDUSTRY SOLUTIONAUTHORIZEDNOT AN ADD-ON</v>
      </c>
    </row>
    <row r="302" spans="1:22" ht="15" thickBot="1">
      <c r="A302" s="10" t="s">
        <v>21</v>
      </c>
      <c r="B302" s="10" t="s">
        <v>22</v>
      </c>
      <c r="C302" s="10" t="s">
        <v>778</v>
      </c>
      <c r="D302" s="10" t="s">
        <v>779</v>
      </c>
      <c r="E302" s="10" t="s">
        <v>780</v>
      </c>
      <c r="F302" s="10" t="s">
        <v>781</v>
      </c>
      <c r="G302" s="11">
        <v>14000</v>
      </c>
      <c r="H302" s="163" t="s">
        <v>826</v>
      </c>
      <c r="I302" s="158" t="s">
        <v>827</v>
      </c>
      <c r="J302" s="163" t="s">
        <v>824</v>
      </c>
      <c r="K302" s="10" t="s">
        <v>40</v>
      </c>
      <c r="L302" s="10">
        <v>15</v>
      </c>
      <c r="M302" s="10">
        <f t="shared" si="17"/>
        <v>15</v>
      </c>
      <c r="N302" s="10">
        <v>15</v>
      </c>
      <c r="O302" s="12">
        <v>1</v>
      </c>
      <c r="P302" s="11">
        <v>23400</v>
      </c>
      <c r="Q302" s="10" t="s">
        <v>36</v>
      </c>
      <c r="R302" s="4" t="s">
        <v>1283</v>
      </c>
      <c r="S302" s="4" t="s">
        <v>1279</v>
      </c>
      <c r="T302" s="4" t="s">
        <v>19</v>
      </c>
      <c r="U302" s="4" t="str">
        <f t="shared" si="19"/>
        <v>NOT AN ADD-ON</v>
      </c>
      <c r="V302" s="4" t="str">
        <f t="shared" si="18"/>
        <v>TRANSPORATIONINDUSTRY SOLUTIONAUTHORIZEDNOT AN ADD-ON</v>
      </c>
    </row>
    <row r="303" spans="1:22" ht="29.25" customHeight="1" thickBot="1">
      <c r="A303" s="10" t="s">
        <v>21</v>
      </c>
      <c r="B303" s="10" t="s">
        <v>22</v>
      </c>
      <c r="C303" s="10" t="s">
        <v>778</v>
      </c>
      <c r="D303" s="10" t="s">
        <v>779</v>
      </c>
      <c r="E303" s="10" t="s">
        <v>780</v>
      </c>
      <c r="F303" s="10" t="s">
        <v>781</v>
      </c>
      <c r="G303" s="11">
        <v>8260</v>
      </c>
      <c r="H303" s="163" t="s">
        <v>830</v>
      </c>
      <c r="I303" s="166" t="s">
        <v>831</v>
      </c>
      <c r="J303" s="163" t="s">
        <v>824</v>
      </c>
      <c r="K303" s="10" t="s">
        <v>40</v>
      </c>
      <c r="L303" s="10">
        <v>15</v>
      </c>
      <c r="M303" s="10">
        <f t="shared" si="17"/>
        <v>15</v>
      </c>
      <c r="N303" s="10">
        <v>15</v>
      </c>
      <c r="O303" s="12">
        <v>1</v>
      </c>
      <c r="P303" s="11">
        <v>23400</v>
      </c>
      <c r="Q303" s="10" t="s">
        <v>48</v>
      </c>
      <c r="R303" s="4" t="s">
        <v>1283</v>
      </c>
      <c r="S303" s="4" t="s">
        <v>1279</v>
      </c>
      <c r="T303" s="4" t="s">
        <v>19</v>
      </c>
      <c r="U303" s="4" t="str">
        <f t="shared" si="19"/>
        <v>NOT AN ADD-ON</v>
      </c>
      <c r="V303" s="4" t="str">
        <f t="shared" si="18"/>
        <v>TRANSPORATIONINDUSTRY SOLUTIONAUTHORIZEDNOT AN ADD-ON</v>
      </c>
    </row>
    <row r="304" spans="1:22" ht="29.25" customHeight="1" thickBot="1">
      <c r="A304" s="10" t="s">
        <v>21</v>
      </c>
      <c r="B304" s="10" t="s">
        <v>22</v>
      </c>
      <c r="C304" s="10" t="s">
        <v>778</v>
      </c>
      <c r="D304" s="10" t="s">
        <v>779</v>
      </c>
      <c r="E304" s="10" t="s">
        <v>780</v>
      </c>
      <c r="F304" s="10" t="s">
        <v>781</v>
      </c>
      <c r="G304" s="11">
        <v>5030</v>
      </c>
      <c r="H304" s="163" t="s">
        <v>828</v>
      </c>
      <c r="I304" s="166" t="s">
        <v>829</v>
      </c>
      <c r="J304" s="163" t="s">
        <v>824</v>
      </c>
      <c r="K304" s="10" t="s">
        <v>40</v>
      </c>
      <c r="L304" s="10">
        <v>15</v>
      </c>
      <c r="M304" s="10">
        <f t="shared" si="17"/>
        <v>15</v>
      </c>
      <c r="N304" s="10">
        <v>15</v>
      </c>
      <c r="O304" s="12">
        <v>1</v>
      </c>
      <c r="P304" s="11">
        <v>23400</v>
      </c>
      <c r="Q304" s="10" t="s">
        <v>48</v>
      </c>
      <c r="R304" s="4" t="s">
        <v>1283</v>
      </c>
      <c r="S304" s="4" t="s">
        <v>1279</v>
      </c>
      <c r="T304" s="4" t="s">
        <v>19</v>
      </c>
      <c r="U304" s="4" t="str">
        <f t="shared" si="19"/>
        <v>NOT AN ADD-ON</v>
      </c>
      <c r="V304" s="4" t="str">
        <f t="shared" si="18"/>
        <v>TRANSPORATIONINDUSTRY SOLUTIONAUTHORIZEDNOT AN ADD-ON</v>
      </c>
    </row>
    <row r="305" spans="1:22" ht="29.25" customHeight="1" thickBot="1">
      <c r="A305" s="10" t="s">
        <v>21</v>
      </c>
      <c r="B305" s="10" t="s">
        <v>22</v>
      </c>
      <c r="C305" s="10" t="s">
        <v>778</v>
      </c>
      <c r="D305" s="10" t="s">
        <v>779</v>
      </c>
      <c r="E305" s="10" t="s">
        <v>780</v>
      </c>
      <c r="F305" s="10" t="s">
        <v>781</v>
      </c>
      <c r="G305" s="11">
        <v>6570</v>
      </c>
      <c r="H305" s="163" t="s">
        <v>790</v>
      </c>
      <c r="I305" s="158" t="s">
        <v>791</v>
      </c>
      <c r="J305" s="163" t="s">
        <v>790</v>
      </c>
      <c r="K305" s="10" t="s">
        <v>40</v>
      </c>
      <c r="L305" s="10">
        <v>5</v>
      </c>
      <c r="M305" s="10">
        <f t="shared" si="17"/>
        <v>5</v>
      </c>
      <c r="N305" s="10">
        <v>15</v>
      </c>
      <c r="O305" s="12">
        <v>1</v>
      </c>
      <c r="P305" s="11">
        <v>6570</v>
      </c>
      <c r="Q305" s="10" t="s">
        <v>33</v>
      </c>
      <c r="R305" s="4" t="s">
        <v>1283</v>
      </c>
      <c r="S305" s="4" t="s">
        <v>1279</v>
      </c>
      <c r="T305" s="4" t="s">
        <v>19</v>
      </c>
      <c r="U305" s="4" t="s">
        <v>507</v>
      </c>
      <c r="V305" s="4" t="str">
        <f t="shared" si="18"/>
        <v>TRANSPORATIONINDUSTRY SOLUTIONAUTHORIZEDADD-ON</v>
      </c>
    </row>
    <row r="306" spans="1:22" ht="15" thickBot="1">
      <c r="A306" s="10" t="s">
        <v>21</v>
      </c>
      <c r="B306" s="10" t="s">
        <v>22</v>
      </c>
      <c r="C306" s="10" t="s">
        <v>778</v>
      </c>
      <c r="D306" s="10" t="s">
        <v>779</v>
      </c>
      <c r="E306" s="10" t="s">
        <v>780</v>
      </c>
      <c r="F306" s="10" t="s">
        <v>781</v>
      </c>
      <c r="G306" s="11">
        <v>3940</v>
      </c>
      <c r="H306" s="163" t="s">
        <v>792</v>
      </c>
      <c r="I306" s="158" t="s">
        <v>793</v>
      </c>
      <c r="J306" s="163" t="s">
        <v>790</v>
      </c>
      <c r="K306" s="10" t="s">
        <v>40</v>
      </c>
      <c r="L306" s="10">
        <v>5</v>
      </c>
      <c r="M306" s="10">
        <f t="shared" si="17"/>
        <v>5</v>
      </c>
      <c r="N306" s="10">
        <v>15</v>
      </c>
      <c r="O306" s="12">
        <v>1</v>
      </c>
      <c r="P306" s="11">
        <v>6570</v>
      </c>
      <c r="Q306" s="10" t="s">
        <v>36</v>
      </c>
      <c r="R306" s="4" t="s">
        <v>1283</v>
      </c>
      <c r="S306" s="4" t="s">
        <v>1279</v>
      </c>
      <c r="T306" s="4" t="s">
        <v>19</v>
      </c>
      <c r="U306" s="4" t="s">
        <v>507</v>
      </c>
      <c r="V306" s="4" t="str">
        <f t="shared" si="18"/>
        <v>TRANSPORATIONINDUSTRY SOLUTIONAUTHORIZEDADD-ON</v>
      </c>
    </row>
    <row r="307" spans="1:22" ht="29.25" customHeight="1" thickBot="1">
      <c r="A307" s="10" t="s">
        <v>21</v>
      </c>
      <c r="B307" s="10" t="s">
        <v>22</v>
      </c>
      <c r="C307" s="10" t="s">
        <v>778</v>
      </c>
      <c r="D307" s="10" t="s">
        <v>779</v>
      </c>
      <c r="E307" s="10" t="s">
        <v>780</v>
      </c>
      <c r="F307" s="10" t="s">
        <v>781</v>
      </c>
      <c r="G307" s="11">
        <v>1410</v>
      </c>
      <c r="H307" s="163" t="s">
        <v>802</v>
      </c>
      <c r="I307" s="166" t="s">
        <v>803</v>
      </c>
      <c r="J307" s="163" t="s">
        <v>790</v>
      </c>
      <c r="K307" s="10" t="s">
        <v>40</v>
      </c>
      <c r="L307" s="10">
        <v>5</v>
      </c>
      <c r="M307" s="10">
        <f t="shared" si="17"/>
        <v>5</v>
      </c>
      <c r="N307" s="10">
        <v>15</v>
      </c>
      <c r="O307" s="12">
        <v>1</v>
      </c>
      <c r="P307" s="11">
        <v>6570</v>
      </c>
      <c r="Q307" s="10" t="s">
        <v>48</v>
      </c>
      <c r="R307" s="4" t="s">
        <v>1283</v>
      </c>
      <c r="S307" s="4" t="s">
        <v>1279</v>
      </c>
      <c r="T307" s="4" t="s">
        <v>19</v>
      </c>
      <c r="U307" s="4" t="s">
        <v>507</v>
      </c>
      <c r="V307" s="4" t="str">
        <f t="shared" si="18"/>
        <v>TRANSPORATIONINDUSTRY SOLUTIONAUTHORIZEDADD-ON</v>
      </c>
    </row>
    <row r="308" spans="1:22" ht="29.25" customHeight="1" thickBot="1">
      <c r="A308" s="10" t="s">
        <v>21</v>
      </c>
      <c r="B308" s="10" t="s">
        <v>22</v>
      </c>
      <c r="C308" s="10" t="s">
        <v>778</v>
      </c>
      <c r="D308" s="10" t="s">
        <v>779</v>
      </c>
      <c r="E308" s="10" t="s">
        <v>780</v>
      </c>
      <c r="F308" s="10" t="s">
        <v>781</v>
      </c>
      <c r="G308" s="11">
        <v>6570</v>
      </c>
      <c r="H308" s="163" t="s">
        <v>796</v>
      </c>
      <c r="I308" s="158" t="s">
        <v>797</v>
      </c>
      <c r="J308" s="163" t="s">
        <v>796</v>
      </c>
      <c r="K308" s="10" t="s">
        <v>40</v>
      </c>
      <c r="L308" s="10">
        <v>5</v>
      </c>
      <c r="M308" s="10">
        <f t="shared" si="17"/>
        <v>5</v>
      </c>
      <c r="N308" s="10">
        <v>15</v>
      </c>
      <c r="O308" s="12">
        <v>1</v>
      </c>
      <c r="P308" s="11">
        <v>6570</v>
      </c>
      <c r="Q308" s="10" t="s">
        <v>33</v>
      </c>
      <c r="R308" s="4" t="s">
        <v>1283</v>
      </c>
      <c r="S308" s="4" t="s">
        <v>1279</v>
      </c>
      <c r="T308" s="4" t="s">
        <v>19</v>
      </c>
      <c r="U308" s="4" t="s">
        <v>507</v>
      </c>
      <c r="V308" s="4" t="str">
        <f t="shared" si="18"/>
        <v>TRANSPORATIONINDUSTRY SOLUTIONAUTHORIZEDADD-ON</v>
      </c>
    </row>
    <row r="309" spans="1:22" ht="15" thickBot="1">
      <c r="A309" s="10" t="s">
        <v>21</v>
      </c>
      <c r="B309" s="10" t="s">
        <v>22</v>
      </c>
      <c r="C309" s="10" t="s">
        <v>778</v>
      </c>
      <c r="D309" s="10" t="s">
        <v>779</v>
      </c>
      <c r="E309" s="10" t="s">
        <v>780</v>
      </c>
      <c r="F309" s="10" t="s">
        <v>781</v>
      </c>
      <c r="G309" s="11">
        <v>3940</v>
      </c>
      <c r="H309" s="163" t="s">
        <v>798</v>
      </c>
      <c r="I309" s="158" t="s">
        <v>799</v>
      </c>
      <c r="J309" s="163" t="s">
        <v>796</v>
      </c>
      <c r="K309" s="10" t="s">
        <v>40</v>
      </c>
      <c r="L309" s="10">
        <v>5</v>
      </c>
      <c r="M309" s="10">
        <f t="shared" si="17"/>
        <v>5</v>
      </c>
      <c r="N309" s="10">
        <v>15</v>
      </c>
      <c r="O309" s="12">
        <v>1</v>
      </c>
      <c r="P309" s="11">
        <v>6570</v>
      </c>
      <c r="Q309" s="10" t="s">
        <v>36</v>
      </c>
      <c r="R309" s="4" t="s">
        <v>1283</v>
      </c>
      <c r="S309" s="4" t="s">
        <v>1279</v>
      </c>
      <c r="T309" s="4" t="s">
        <v>19</v>
      </c>
      <c r="U309" s="4" t="s">
        <v>507</v>
      </c>
      <c r="V309" s="4" t="str">
        <f t="shared" si="18"/>
        <v>TRANSPORATIONINDUSTRY SOLUTIONAUTHORIZEDADD-ON</v>
      </c>
    </row>
    <row r="310" spans="1:22" ht="29.25" customHeight="1" thickBot="1">
      <c r="A310" s="10" t="s">
        <v>21</v>
      </c>
      <c r="B310" s="10" t="s">
        <v>22</v>
      </c>
      <c r="C310" s="10" t="s">
        <v>778</v>
      </c>
      <c r="D310" s="10" t="s">
        <v>779</v>
      </c>
      <c r="E310" s="10" t="s">
        <v>780</v>
      </c>
      <c r="F310" s="10" t="s">
        <v>781</v>
      </c>
      <c r="G310" s="11">
        <v>1410</v>
      </c>
      <c r="H310" s="163" t="s">
        <v>800</v>
      </c>
      <c r="I310" s="166" t="s">
        <v>801</v>
      </c>
      <c r="J310" s="163" t="s">
        <v>796</v>
      </c>
      <c r="K310" s="10" t="s">
        <v>40</v>
      </c>
      <c r="L310" s="10">
        <v>5</v>
      </c>
      <c r="M310" s="10">
        <f t="shared" si="17"/>
        <v>5</v>
      </c>
      <c r="N310" s="10">
        <v>15</v>
      </c>
      <c r="O310" s="12">
        <v>1</v>
      </c>
      <c r="P310" s="11">
        <v>6570</v>
      </c>
      <c r="Q310" s="10" t="s">
        <v>48</v>
      </c>
      <c r="R310" s="4" t="s">
        <v>1283</v>
      </c>
      <c r="S310" s="4" t="s">
        <v>1279</v>
      </c>
      <c r="T310" s="4" t="s">
        <v>19</v>
      </c>
      <c r="U310" s="4" t="s">
        <v>507</v>
      </c>
      <c r="V310" s="4" t="str">
        <f t="shared" si="18"/>
        <v>TRANSPORATIONINDUSTRY SOLUTIONAUTHORIZEDADD-ON</v>
      </c>
    </row>
    <row r="311" spans="1:22" ht="15" thickBot="1">
      <c r="A311" s="10" t="s">
        <v>21</v>
      </c>
      <c r="B311" s="10" t="s">
        <v>22</v>
      </c>
      <c r="C311" s="10" t="s">
        <v>500</v>
      </c>
      <c r="D311" s="10" t="s">
        <v>501</v>
      </c>
      <c r="E311" s="10" t="s">
        <v>502</v>
      </c>
      <c r="F311" s="10" t="s">
        <v>503</v>
      </c>
      <c r="G311" s="11">
        <v>21300</v>
      </c>
      <c r="H311" s="163" t="s">
        <v>541</v>
      </c>
      <c r="I311" s="158" t="s">
        <v>542</v>
      </c>
      <c r="J311" s="163" t="s">
        <v>541</v>
      </c>
      <c r="K311" s="10" t="s">
        <v>40</v>
      </c>
      <c r="L311" s="10">
        <v>10</v>
      </c>
      <c r="M311" s="10">
        <f t="shared" si="17"/>
        <v>10</v>
      </c>
      <c r="N311" s="15">
        <v>5</v>
      </c>
      <c r="O311" s="16">
        <v>1</v>
      </c>
      <c r="P311" s="11">
        <v>21300</v>
      </c>
      <c r="Q311" s="10" t="s">
        <v>33</v>
      </c>
      <c r="R311" s="4" t="s">
        <v>1292</v>
      </c>
      <c r="S311" s="4" t="s">
        <v>1292</v>
      </c>
      <c r="T311" s="4" t="s">
        <v>19</v>
      </c>
      <c r="U311" s="4" t="str">
        <f t="shared" ref="U311:U318" si="20">IF(ISNUMBER(SEARCH("ADD-ON",$I311)),"ADD-ON","NOT AN ADD-ON")</f>
        <v>NOT AN ADD-ON</v>
      </c>
      <c r="V311" s="4" t="str">
        <f t="shared" si="18"/>
        <v>LIFE SCIENCESLIFE SCIENCESAUTHORIZEDNOT AN ADD-ON</v>
      </c>
    </row>
    <row r="312" spans="1:22" ht="15" thickBot="1">
      <c r="A312" s="10" t="s">
        <v>21</v>
      </c>
      <c r="B312" s="10" t="s">
        <v>22</v>
      </c>
      <c r="C312" s="10" t="s">
        <v>500</v>
      </c>
      <c r="D312" s="10" t="s">
        <v>501</v>
      </c>
      <c r="E312" s="10" t="s">
        <v>502</v>
      </c>
      <c r="F312" s="10" t="s">
        <v>503</v>
      </c>
      <c r="G312" s="11">
        <v>12900</v>
      </c>
      <c r="H312" s="163" t="s">
        <v>543</v>
      </c>
      <c r="I312" s="158" t="s">
        <v>544</v>
      </c>
      <c r="J312" s="163" t="s">
        <v>541</v>
      </c>
      <c r="K312" s="10" t="s">
        <v>40</v>
      </c>
      <c r="L312" s="10">
        <v>10</v>
      </c>
      <c r="M312" s="10">
        <f t="shared" si="17"/>
        <v>10</v>
      </c>
      <c r="N312" s="10">
        <v>5</v>
      </c>
      <c r="O312" s="12">
        <v>1</v>
      </c>
      <c r="P312" s="11">
        <v>21300</v>
      </c>
      <c r="Q312" s="10" t="s">
        <v>36</v>
      </c>
      <c r="R312" s="4" t="s">
        <v>1292</v>
      </c>
      <c r="S312" s="4" t="s">
        <v>1292</v>
      </c>
      <c r="T312" s="4" t="s">
        <v>19</v>
      </c>
      <c r="U312" s="4" t="str">
        <f t="shared" si="20"/>
        <v>NOT AN ADD-ON</v>
      </c>
      <c r="V312" s="4" t="str">
        <f t="shared" si="18"/>
        <v>LIFE SCIENCESLIFE SCIENCESAUTHORIZEDNOT AN ADD-ON</v>
      </c>
    </row>
    <row r="313" spans="1:22" ht="15" thickBot="1">
      <c r="A313" s="10" t="s">
        <v>21</v>
      </c>
      <c r="B313" s="10" t="s">
        <v>22</v>
      </c>
      <c r="C313" s="10" t="s">
        <v>500</v>
      </c>
      <c r="D313" s="10" t="s">
        <v>501</v>
      </c>
      <c r="E313" s="10" t="s">
        <v>502</v>
      </c>
      <c r="F313" s="10" t="s">
        <v>503</v>
      </c>
      <c r="G313" s="11">
        <v>5940</v>
      </c>
      <c r="H313" s="163" t="s">
        <v>557</v>
      </c>
      <c r="I313" s="166" t="s">
        <v>558</v>
      </c>
      <c r="J313" s="163" t="s">
        <v>541</v>
      </c>
      <c r="K313" s="10" t="s">
        <v>40</v>
      </c>
      <c r="L313" s="10">
        <v>10</v>
      </c>
      <c r="M313" s="10">
        <f t="shared" si="17"/>
        <v>10</v>
      </c>
      <c r="N313" s="10">
        <v>5</v>
      </c>
      <c r="O313" s="12">
        <v>1</v>
      </c>
      <c r="P313" s="11">
        <v>21300</v>
      </c>
      <c r="Q313" s="10" t="s">
        <v>48</v>
      </c>
      <c r="R313" s="4" t="s">
        <v>1292</v>
      </c>
      <c r="S313" s="4" t="s">
        <v>1292</v>
      </c>
      <c r="T313" s="4" t="s">
        <v>19</v>
      </c>
      <c r="U313" s="4" t="str">
        <f t="shared" si="20"/>
        <v>NOT AN ADD-ON</v>
      </c>
      <c r="V313" s="4" t="str">
        <f t="shared" si="18"/>
        <v>LIFE SCIENCESLIFE SCIENCESAUTHORIZEDNOT AN ADD-ON</v>
      </c>
    </row>
    <row r="314" spans="1:22" ht="15" thickBot="1">
      <c r="A314" s="10" t="s">
        <v>21</v>
      </c>
      <c r="B314" s="10" t="s">
        <v>22</v>
      </c>
      <c r="C314" s="10" t="s">
        <v>500</v>
      </c>
      <c r="D314" s="10" t="s">
        <v>501</v>
      </c>
      <c r="E314" s="10" t="s">
        <v>502</v>
      </c>
      <c r="F314" s="10" t="s">
        <v>503</v>
      </c>
      <c r="G314" s="11">
        <v>4580</v>
      </c>
      <c r="H314" s="163" t="s">
        <v>555</v>
      </c>
      <c r="I314" s="166" t="s">
        <v>556</v>
      </c>
      <c r="J314" s="163" t="s">
        <v>541</v>
      </c>
      <c r="K314" s="10" t="s">
        <v>40</v>
      </c>
      <c r="L314" s="10">
        <v>10</v>
      </c>
      <c r="M314" s="10">
        <f t="shared" si="17"/>
        <v>10</v>
      </c>
      <c r="N314" s="10">
        <v>5</v>
      </c>
      <c r="O314" s="12">
        <v>1</v>
      </c>
      <c r="P314" s="11">
        <v>21300</v>
      </c>
      <c r="Q314" s="10" t="s">
        <v>48</v>
      </c>
      <c r="R314" s="4" t="s">
        <v>1292</v>
      </c>
      <c r="S314" s="4" t="s">
        <v>1292</v>
      </c>
      <c r="T314" s="4" t="s">
        <v>19</v>
      </c>
      <c r="U314" s="4" t="str">
        <f t="shared" si="20"/>
        <v>NOT AN ADD-ON</v>
      </c>
      <c r="V314" s="4" t="str">
        <f t="shared" si="18"/>
        <v>LIFE SCIENCESLIFE SCIENCESAUTHORIZEDNOT AN ADD-ON</v>
      </c>
    </row>
    <row r="315" spans="1:22" ht="15" thickBot="1">
      <c r="A315" s="10" t="s">
        <v>21</v>
      </c>
      <c r="B315" s="10" t="s">
        <v>22</v>
      </c>
      <c r="C315" s="10" t="s">
        <v>500</v>
      </c>
      <c r="D315" s="10" t="s">
        <v>501</v>
      </c>
      <c r="E315" s="10" t="s">
        <v>502</v>
      </c>
      <c r="F315" s="10" t="s">
        <v>503</v>
      </c>
      <c r="G315" s="11">
        <v>21300</v>
      </c>
      <c r="H315" s="163" t="s">
        <v>547</v>
      </c>
      <c r="I315" s="158" t="s">
        <v>548</v>
      </c>
      <c r="J315" s="163" t="s">
        <v>547</v>
      </c>
      <c r="K315" s="10" t="s">
        <v>40</v>
      </c>
      <c r="L315" s="10">
        <v>10</v>
      </c>
      <c r="M315" s="10">
        <f t="shared" si="17"/>
        <v>10</v>
      </c>
      <c r="N315" s="10">
        <v>5</v>
      </c>
      <c r="O315" s="12">
        <v>1</v>
      </c>
      <c r="P315" s="11">
        <v>21300</v>
      </c>
      <c r="Q315" s="10" t="s">
        <v>33</v>
      </c>
      <c r="R315" s="4" t="s">
        <v>1292</v>
      </c>
      <c r="S315" s="4" t="s">
        <v>1292</v>
      </c>
      <c r="T315" s="4" t="s">
        <v>19</v>
      </c>
      <c r="U315" s="4" t="str">
        <f t="shared" si="20"/>
        <v>NOT AN ADD-ON</v>
      </c>
      <c r="V315" s="4" t="str">
        <f t="shared" si="18"/>
        <v>LIFE SCIENCESLIFE SCIENCESAUTHORIZEDNOT AN ADD-ON</v>
      </c>
    </row>
    <row r="316" spans="1:22" ht="15" thickBot="1">
      <c r="A316" s="10" t="s">
        <v>21</v>
      </c>
      <c r="B316" s="10" t="s">
        <v>22</v>
      </c>
      <c r="C316" s="10" t="s">
        <v>500</v>
      </c>
      <c r="D316" s="10" t="s">
        <v>501</v>
      </c>
      <c r="E316" s="10" t="s">
        <v>502</v>
      </c>
      <c r="F316" s="10" t="s">
        <v>503</v>
      </c>
      <c r="G316" s="11">
        <v>12900</v>
      </c>
      <c r="H316" s="163" t="s">
        <v>549</v>
      </c>
      <c r="I316" s="158" t="s">
        <v>550</v>
      </c>
      <c r="J316" s="163" t="s">
        <v>547</v>
      </c>
      <c r="K316" s="10" t="s">
        <v>40</v>
      </c>
      <c r="L316" s="10">
        <v>10</v>
      </c>
      <c r="M316" s="10">
        <f t="shared" si="17"/>
        <v>10</v>
      </c>
      <c r="N316" s="10">
        <v>5</v>
      </c>
      <c r="O316" s="12">
        <v>1</v>
      </c>
      <c r="P316" s="11">
        <v>21300</v>
      </c>
      <c r="Q316" s="10" t="s">
        <v>36</v>
      </c>
      <c r="R316" s="4" t="s">
        <v>1292</v>
      </c>
      <c r="S316" s="4" t="s">
        <v>1292</v>
      </c>
      <c r="T316" s="4" t="s">
        <v>19</v>
      </c>
      <c r="U316" s="4" t="str">
        <f t="shared" si="20"/>
        <v>NOT AN ADD-ON</v>
      </c>
      <c r="V316" s="4" t="str">
        <f t="shared" si="18"/>
        <v>LIFE SCIENCESLIFE SCIENCESAUTHORIZEDNOT AN ADD-ON</v>
      </c>
    </row>
    <row r="317" spans="1:22" ht="15" thickBot="1">
      <c r="A317" s="10" t="s">
        <v>21</v>
      </c>
      <c r="B317" s="10" t="s">
        <v>22</v>
      </c>
      <c r="C317" s="10" t="s">
        <v>500</v>
      </c>
      <c r="D317" s="10" t="s">
        <v>501</v>
      </c>
      <c r="E317" s="10" t="s">
        <v>502</v>
      </c>
      <c r="F317" s="10" t="s">
        <v>503</v>
      </c>
      <c r="G317" s="11">
        <v>5940</v>
      </c>
      <c r="H317" s="163" t="s">
        <v>553</v>
      </c>
      <c r="I317" s="166" t="s">
        <v>554</v>
      </c>
      <c r="J317" s="163" t="s">
        <v>547</v>
      </c>
      <c r="K317" s="10" t="s">
        <v>40</v>
      </c>
      <c r="L317" s="10">
        <v>10</v>
      </c>
      <c r="M317" s="10">
        <f t="shared" si="17"/>
        <v>10</v>
      </c>
      <c r="N317" s="10">
        <v>5</v>
      </c>
      <c r="O317" s="12">
        <v>1</v>
      </c>
      <c r="P317" s="11">
        <v>21300</v>
      </c>
      <c r="Q317" s="10" t="s">
        <v>48</v>
      </c>
      <c r="R317" s="4" t="s">
        <v>1292</v>
      </c>
      <c r="S317" s="4" t="s">
        <v>1292</v>
      </c>
      <c r="T317" s="4" t="s">
        <v>19</v>
      </c>
      <c r="U317" s="4" t="str">
        <f t="shared" si="20"/>
        <v>NOT AN ADD-ON</v>
      </c>
      <c r="V317" s="4" t="str">
        <f t="shared" si="18"/>
        <v>LIFE SCIENCESLIFE SCIENCESAUTHORIZEDNOT AN ADD-ON</v>
      </c>
    </row>
    <row r="318" spans="1:22" ht="15" thickBot="1">
      <c r="A318" s="10" t="s">
        <v>21</v>
      </c>
      <c r="B318" s="10" t="s">
        <v>22</v>
      </c>
      <c r="C318" s="10" t="s">
        <v>500</v>
      </c>
      <c r="D318" s="10" t="s">
        <v>501</v>
      </c>
      <c r="E318" s="10" t="s">
        <v>502</v>
      </c>
      <c r="F318" s="10" t="s">
        <v>503</v>
      </c>
      <c r="G318" s="11">
        <v>4580</v>
      </c>
      <c r="H318" s="163" t="s">
        <v>551</v>
      </c>
      <c r="I318" s="166" t="s">
        <v>552</v>
      </c>
      <c r="J318" s="163" t="s">
        <v>547</v>
      </c>
      <c r="K318" s="10" t="s">
        <v>40</v>
      </c>
      <c r="L318" s="10">
        <v>10</v>
      </c>
      <c r="M318" s="10">
        <f t="shared" si="17"/>
        <v>10</v>
      </c>
      <c r="N318" s="10">
        <v>5</v>
      </c>
      <c r="O318" s="12">
        <v>1</v>
      </c>
      <c r="P318" s="11">
        <v>21300</v>
      </c>
      <c r="Q318" s="10" t="s">
        <v>48</v>
      </c>
      <c r="R318" s="4" t="s">
        <v>1292</v>
      </c>
      <c r="S318" s="4" t="s">
        <v>1292</v>
      </c>
      <c r="T318" s="4" t="s">
        <v>19</v>
      </c>
      <c r="U318" s="4" t="str">
        <f t="shared" si="20"/>
        <v>NOT AN ADD-ON</v>
      </c>
      <c r="V318" s="4" t="str">
        <f t="shared" si="18"/>
        <v>LIFE SCIENCESLIFE SCIENCESAUTHORIZEDNOT AN ADD-ON</v>
      </c>
    </row>
    <row r="319" spans="1:22" ht="15" thickBot="1">
      <c r="A319" s="10" t="s">
        <v>21</v>
      </c>
      <c r="B319" s="10" t="s">
        <v>22</v>
      </c>
      <c r="C319" s="10" t="s">
        <v>500</v>
      </c>
      <c r="D319" s="10" t="s">
        <v>501</v>
      </c>
      <c r="E319" s="10" t="s">
        <v>502</v>
      </c>
      <c r="F319" s="10" t="s">
        <v>503</v>
      </c>
      <c r="G319" s="11">
        <v>2170</v>
      </c>
      <c r="H319" s="163" t="s">
        <v>513</v>
      </c>
      <c r="I319" s="158" t="s">
        <v>514</v>
      </c>
      <c r="J319" s="163" t="s">
        <v>513</v>
      </c>
      <c r="K319" s="10" t="s">
        <v>40</v>
      </c>
      <c r="L319" s="10">
        <v>0</v>
      </c>
      <c r="M319" s="10">
        <f t="shared" si="17"/>
        <v>0</v>
      </c>
      <c r="N319" s="10">
        <v>5</v>
      </c>
      <c r="O319" s="12">
        <v>1</v>
      </c>
      <c r="P319" s="11">
        <v>2170</v>
      </c>
      <c r="Q319" s="10" t="s">
        <v>33</v>
      </c>
      <c r="R319" s="4" t="s">
        <v>1292</v>
      </c>
      <c r="S319" s="4" t="s">
        <v>1292</v>
      </c>
      <c r="T319" s="4" t="s">
        <v>19</v>
      </c>
      <c r="U319" s="4" t="s">
        <v>507</v>
      </c>
      <c r="V319" s="4" t="str">
        <f t="shared" si="18"/>
        <v>LIFE SCIENCESLIFE SCIENCESAUTHORIZEDADD-ON</v>
      </c>
    </row>
    <row r="320" spans="1:22" ht="15" thickBot="1">
      <c r="A320" s="10" t="s">
        <v>21</v>
      </c>
      <c r="B320" s="10" t="s">
        <v>22</v>
      </c>
      <c r="C320" s="10" t="s">
        <v>500</v>
      </c>
      <c r="D320" s="10" t="s">
        <v>501</v>
      </c>
      <c r="E320" s="10" t="s">
        <v>502</v>
      </c>
      <c r="F320" s="10" t="s">
        <v>503</v>
      </c>
      <c r="G320" s="11">
        <v>1310</v>
      </c>
      <c r="H320" s="163" t="s">
        <v>515</v>
      </c>
      <c r="I320" s="158" t="s">
        <v>516</v>
      </c>
      <c r="J320" s="163" t="s">
        <v>513</v>
      </c>
      <c r="K320" s="10" t="s">
        <v>40</v>
      </c>
      <c r="L320" s="10">
        <v>0</v>
      </c>
      <c r="M320" s="10">
        <f t="shared" si="17"/>
        <v>0</v>
      </c>
      <c r="N320" s="10">
        <v>5</v>
      </c>
      <c r="O320" s="12">
        <v>1</v>
      </c>
      <c r="P320" s="11">
        <v>2170</v>
      </c>
      <c r="Q320" s="10" t="s">
        <v>36</v>
      </c>
      <c r="R320" s="4" t="s">
        <v>1292</v>
      </c>
      <c r="S320" s="4" t="s">
        <v>1292</v>
      </c>
      <c r="T320" s="4" t="s">
        <v>19</v>
      </c>
      <c r="U320" s="4" t="s">
        <v>507</v>
      </c>
      <c r="V320" s="4" t="str">
        <f t="shared" si="18"/>
        <v>LIFE SCIENCESLIFE SCIENCESAUTHORIZEDADD-ON</v>
      </c>
    </row>
    <row r="321" spans="1:22" ht="15" thickBot="1">
      <c r="A321" s="10" t="s">
        <v>21</v>
      </c>
      <c r="B321" s="10" t="s">
        <v>22</v>
      </c>
      <c r="C321" s="10" t="s">
        <v>500</v>
      </c>
      <c r="D321" s="10" t="s">
        <v>501</v>
      </c>
      <c r="E321" s="10" t="s">
        <v>502</v>
      </c>
      <c r="F321" s="10" t="s">
        <v>503</v>
      </c>
      <c r="G321" s="11">
        <v>467</v>
      </c>
      <c r="H321" s="163" t="s">
        <v>525</v>
      </c>
      <c r="I321" s="166" t="s">
        <v>526</v>
      </c>
      <c r="J321" s="163" t="s">
        <v>513</v>
      </c>
      <c r="K321" s="10" t="s">
        <v>40</v>
      </c>
      <c r="L321" s="10">
        <v>0</v>
      </c>
      <c r="M321" s="10">
        <f t="shared" si="17"/>
        <v>0</v>
      </c>
      <c r="N321" s="10">
        <v>5</v>
      </c>
      <c r="O321" s="12">
        <v>1</v>
      </c>
      <c r="P321" s="11">
        <v>2170</v>
      </c>
      <c r="Q321" s="10" t="s">
        <v>48</v>
      </c>
      <c r="R321" s="4" t="s">
        <v>1292</v>
      </c>
      <c r="S321" s="4" t="s">
        <v>1292</v>
      </c>
      <c r="T321" s="4" t="s">
        <v>19</v>
      </c>
      <c r="U321" s="4" t="s">
        <v>507</v>
      </c>
      <c r="V321" s="4" t="str">
        <f t="shared" si="18"/>
        <v>LIFE SCIENCESLIFE SCIENCESAUTHORIZEDADD-ON</v>
      </c>
    </row>
    <row r="322" spans="1:22" ht="15" thickBot="1">
      <c r="A322" s="10" t="s">
        <v>21</v>
      </c>
      <c r="B322" s="10" t="s">
        <v>22</v>
      </c>
      <c r="C322" s="10" t="s">
        <v>500</v>
      </c>
      <c r="D322" s="10" t="s">
        <v>501</v>
      </c>
      <c r="E322" s="10" t="s">
        <v>502</v>
      </c>
      <c r="F322" s="10" t="s">
        <v>503</v>
      </c>
      <c r="G322" s="11">
        <v>2170</v>
      </c>
      <c r="H322" s="163" t="s">
        <v>519</v>
      </c>
      <c r="I322" s="158" t="s">
        <v>520</v>
      </c>
      <c r="J322" s="163" t="s">
        <v>519</v>
      </c>
      <c r="K322" s="10" t="s">
        <v>40</v>
      </c>
      <c r="L322" s="10">
        <v>0</v>
      </c>
      <c r="M322" s="10">
        <f t="shared" si="17"/>
        <v>0</v>
      </c>
      <c r="N322" s="10">
        <v>5</v>
      </c>
      <c r="O322" s="12">
        <v>1</v>
      </c>
      <c r="P322" s="11">
        <v>2170</v>
      </c>
      <c r="Q322" s="10" t="s">
        <v>33</v>
      </c>
      <c r="R322" s="4" t="s">
        <v>1292</v>
      </c>
      <c r="S322" s="4" t="s">
        <v>1292</v>
      </c>
      <c r="T322" s="4" t="s">
        <v>19</v>
      </c>
      <c r="U322" s="4" t="s">
        <v>507</v>
      </c>
      <c r="V322" s="4" t="str">
        <f t="shared" si="18"/>
        <v>LIFE SCIENCESLIFE SCIENCESAUTHORIZEDADD-ON</v>
      </c>
    </row>
    <row r="323" spans="1:22" ht="15" thickBot="1">
      <c r="A323" s="10" t="s">
        <v>21</v>
      </c>
      <c r="B323" s="10" t="s">
        <v>22</v>
      </c>
      <c r="C323" s="10" t="s">
        <v>500</v>
      </c>
      <c r="D323" s="10" t="s">
        <v>501</v>
      </c>
      <c r="E323" s="10" t="s">
        <v>502</v>
      </c>
      <c r="F323" s="10" t="s">
        <v>503</v>
      </c>
      <c r="G323" s="11">
        <v>1310</v>
      </c>
      <c r="H323" s="163" t="s">
        <v>521</v>
      </c>
      <c r="I323" s="158" t="s">
        <v>522</v>
      </c>
      <c r="J323" s="163" t="s">
        <v>519</v>
      </c>
      <c r="K323" s="10" t="s">
        <v>40</v>
      </c>
      <c r="L323" s="10">
        <v>0</v>
      </c>
      <c r="M323" s="10">
        <f t="shared" ref="M323:M372" si="21">ROUND(IF(K323="Authorized User",L323/3,L323),2)</f>
        <v>0</v>
      </c>
      <c r="N323" s="10">
        <v>5</v>
      </c>
      <c r="O323" s="12">
        <v>1</v>
      </c>
      <c r="P323" s="11">
        <v>2170</v>
      </c>
      <c r="Q323" s="10" t="s">
        <v>36</v>
      </c>
      <c r="R323" s="4" t="s">
        <v>1292</v>
      </c>
      <c r="S323" s="4" t="s">
        <v>1292</v>
      </c>
      <c r="T323" s="4" t="s">
        <v>19</v>
      </c>
      <c r="U323" s="4" t="s">
        <v>507</v>
      </c>
      <c r="V323" s="4" t="str">
        <f t="shared" ref="V323:V386" si="22">CONCATENATE(R323,S323,T323,U323)</f>
        <v>LIFE SCIENCESLIFE SCIENCESAUTHORIZEDADD-ON</v>
      </c>
    </row>
    <row r="324" spans="1:22" ht="27" thickBot="1">
      <c r="A324" s="10" t="s">
        <v>21</v>
      </c>
      <c r="B324" s="10" t="s">
        <v>22</v>
      </c>
      <c r="C324" s="10" t="s">
        <v>500</v>
      </c>
      <c r="D324" s="10" t="s">
        <v>501</v>
      </c>
      <c r="E324" s="10" t="s">
        <v>502</v>
      </c>
      <c r="F324" s="10" t="s">
        <v>503</v>
      </c>
      <c r="G324" s="11">
        <v>467</v>
      </c>
      <c r="H324" s="163" t="s">
        <v>523</v>
      </c>
      <c r="I324" s="166" t="s">
        <v>524</v>
      </c>
      <c r="J324" s="163" t="s">
        <v>519</v>
      </c>
      <c r="K324" s="10" t="s">
        <v>40</v>
      </c>
      <c r="L324" s="10">
        <v>0</v>
      </c>
      <c r="M324" s="10">
        <f t="shared" si="21"/>
        <v>0</v>
      </c>
      <c r="N324" s="10">
        <v>5</v>
      </c>
      <c r="O324" s="12">
        <v>1</v>
      </c>
      <c r="P324" s="11">
        <v>2170</v>
      </c>
      <c r="Q324" s="10" t="s">
        <v>48</v>
      </c>
      <c r="R324" s="4" t="s">
        <v>1292</v>
      </c>
      <c r="S324" s="4" t="s">
        <v>1292</v>
      </c>
      <c r="T324" s="4" t="s">
        <v>19</v>
      </c>
      <c r="U324" s="4" t="s">
        <v>507</v>
      </c>
      <c r="V324" s="4" t="str">
        <f t="shared" si="22"/>
        <v>LIFE SCIENCESLIFE SCIENCESAUTHORIZEDADD-ON</v>
      </c>
    </row>
    <row r="325" spans="1:22" ht="15" thickBot="1">
      <c r="A325" s="10" t="s">
        <v>21</v>
      </c>
      <c r="B325" s="10" t="s">
        <v>22</v>
      </c>
      <c r="C325" s="10" t="s">
        <v>385</v>
      </c>
      <c r="D325" s="10" t="s">
        <v>386</v>
      </c>
      <c r="E325" s="10" t="s">
        <v>387</v>
      </c>
      <c r="F325" s="10" t="s">
        <v>388</v>
      </c>
      <c r="G325" s="11">
        <v>1780</v>
      </c>
      <c r="H325" s="163" t="s">
        <v>397</v>
      </c>
      <c r="I325" s="158" t="s">
        <v>398</v>
      </c>
      <c r="J325" s="163" t="s">
        <v>397</v>
      </c>
      <c r="K325" s="10" t="s">
        <v>40</v>
      </c>
      <c r="L325" s="10">
        <v>0</v>
      </c>
      <c r="M325" s="10">
        <f t="shared" si="21"/>
        <v>0</v>
      </c>
      <c r="N325" s="10">
        <v>5</v>
      </c>
      <c r="O325" s="12">
        <v>1</v>
      </c>
      <c r="P325" s="11">
        <v>1780</v>
      </c>
      <c r="Q325" s="10" t="s">
        <v>33</v>
      </c>
      <c r="R325" s="4" t="s">
        <v>1288</v>
      </c>
      <c r="S325" s="4" t="s">
        <v>507</v>
      </c>
      <c r="T325" s="4" t="s">
        <v>19</v>
      </c>
      <c r="U325" s="4" t="str">
        <f t="shared" ref="U325:U344" si="23">IF(ISNUMBER(SEARCH("ADD-ON",$I325)),"ADD-ON","NOT AN ADD-ON")</f>
        <v>NOT AN ADD-ON</v>
      </c>
      <c r="V325" s="4" t="str">
        <f t="shared" si="22"/>
        <v>CALIBRATIONADD-ONAUTHORIZEDNOT AN ADD-ON</v>
      </c>
    </row>
    <row r="326" spans="1:22" ht="15" thickBot="1">
      <c r="A326" s="10" t="s">
        <v>21</v>
      </c>
      <c r="B326" s="10" t="s">
        <v>22</v>
      </c>
      <c r="C326" s="10" t="s">
        <v>385</v>
      </c>
      <c r="D326" s="10" t="s">
        <v>386</v>
      </c>
      <c r="E326" s="10" t="s">
        <v>387</v>
      </c>
      <c r="F326" s="10" t="s">
        <v>388</v>
      </c>
      <c r="G326" s="11">
        <v>1070</v>
      </c>
      <c r="H326" s="163" t="s">
        <v>399</v>
      </c>
      <c r="I326" s="158" t="s">
        <v>400</v>
      </c>
      <c r="J326" s="163" t="s">
        <v>397</v>
      </c>
      <c r="K326" s="10" t="s">
        <v>40</v>
      </c>
      <c r="L326" s="10">
        <v>0</v>
      </c>
      <c r="M326" s="10">
        <f t="shared" si="21"/>
        <v>0</v>
      </c>
      <c r="N326" s="10">
        <v>5</v>
      </c>
      <c r="O326" s="12">
        <v>1</v>
      </c>
      <c r="P326" s="11">
        <v>1780</v>
      </c>
      <c r="Q326" s="10" t="s">
        <v>36</v>
      </c>
      <c r="R326" s="4" t="s">
        <v>1288</v>
      </c>
      <c r="S326" s="4" t="s">
        <v>507</v>
      </c>
      <c r="T326" s="4" t="s">
        <v>19</v>
      </c>
      <c r="U326" s="4" t="str">
        <f t="shared" si="23"/>
        <v>NOT AN ADD-ON</v>
      </c>
      <c r="V326" s="4" t="str">
        <f t="shared" si="22"/>
        <v>CALIBRATIONADD-ONAUTHORIZEDNOT AN ADD-ON</v>
      </c>
    </row>
    <row r="327" spans="1:22" ht="15" thickBot="1">
      <c r="A327" s="10" t="s">
        <v>21</v>
      </c>
      <c r="B327" s="10" t="s">
        <v>22</v>
      </c>
      <c r="C327" s="10" t="s">
        <v>385</v>
      </c>
      <c r="D327" s="10" t="s">
        <v>386</v>
      </c>
      <c r="E327" s="10" t="s">
        <v>387</v>
      </c>
      <c r="F327" s="10" t="s">
        <v>388</v>
      </c>
      <c r="G327" s="11">
        <v>383</v>
      </c>
      <c r="H327" s="163" t="s">
        <v>409</v>
      </c>
      <c r="I327" s="158" t="s">
        <v>410</v>
      </c>
      <c r="J327" s="163" t="s">
        <v>397</v>
      </c>
      <c r="K327" s="10" t="s">
        <v>40</v>
      </c>
      <c r="L327" s="10">
        <v>0</v>
      </c>
      <c r="M327" s="10">
        <f t="shared" si="21"/>
        <v>0</v>
      </c>
      <c r="N327" s="10">
        <v>5</v>
      </c>
      <c r="O327" s="12">
        <v>1</v>
      </c>
      <c r="P327" s="11">
        <v>1780</v>
      </c>
      <c r="Q327" s="10" t="s">
        <v>48</v>
      </c>
      <c r="R327" s="4" t="s">
        <v>1288</v>
      </c>
      <c r="S327" s="4" t="s">
        <v>507</v>
      </c>
      <c r="T327" s="4" t="s">
        <v>19</v>
      </c>
      <c r="U327" s="4" t="str">
        <f t="shared" si="23"/>
        <v>NOT AN ADD-ON</v>
      </c>
      <c r="V327" s="4" t="str">
        <f t="shared" si="22"/>
        <v>CALIBRATIONADD-ONAUTHORIZEDNOT AN ADD-ON</v>
      </c>
    </row>
    <row r="328" spans="1:22" ht="15" thickBot="1">
      <c r="A328" s="10" t="s">
        <v>21</v>
      </c>
      <c r="B328" s="10" t="s">
        <v>22</v>
      </c>
      <c r="C328" s="10" t="s">
        <v>385</v>
      </c>
      <c r="D328" s="10" t="s">
        <v>386</v>
      </c>
      <c r="E328" s="10" t="s">
        <v>387</v>
      </c>
      <c r="F328" s="10" t="s">
        <v>388</v>
      </c>
      <c r="G328" s="11">
        <v>1780</v>
      </c>
      <c r="H328" s="163" t="s">
        <v>403</v>
      </c>
      <c r="I328" s="158" t="s">
        <v>404</v>
      </c>
      <c r="J328" s="163" t="s">
        <v>403</v>
      </c>
      <c r="K328" s="10" t="s">
        <v>40</v>
      </c>
      <c r="L328" s="10">
        <v>0</v>
      </c>
      <c r="M328" s="10">
        <f t="shared" si="21"/>
        <v>0</v>
      </c>
      <c r="N328" s="10">
        <v>5</v>
      </c>
      <c r="O328" s="12">
        <v>1</v>
      </c>
      <c r="P328" s="11">
        <v>1780</v>
      </c>
      <c r="Q328" s="10" t="s">
        <v>33</v>
      </c>
      <c r="R328" s="4" t="s">
        <v>1288</v>
      </c>
      <c r="S328" s="4" t="s">
        <v>507</v>
      </c>
      <c r="T328" s="4" t="s">
        <v>19</v>
      </c>
      <c r="U328" s="4" t="str">
        <f t="shared" si="23"/>
        <v>NOT AN ADD-ON</v>
      </c>
      <c r="V328" s="4" t="str">
        <f t="shared" si="22"/>
        <v>CALIBRATIONADD-ONAUTHORIZEDNOT AN ADD-ON</v>
      </c>
    </row>
    <row r="329" spans="1:22" ht="15" thickBot="1">
      <c r="A329" s="10" t="s">
        <v>21</v>
      </c>
      <c r="B329" s="10" t="s">
        <v>22</v>
      </c>
      <c r="C329" s="10" t="s">
        <v>385</v>
      </c>
      <c r="D329" s="10" t="s">
        <v>386</v>
      </c>
      <c r="E329" s="10" t="s">
        <v>387</v>
      </c>
      <c r="F329" s="10" t="s">
        <v>388</v>
      </c>
      <c r="G329" s="11">
        <v>1070</v>
      </c>
      <c r="H329" s="163" t="s">
        <v>405</v>
      </c>
      <c r="I329" s="158" t="s">
        <v>406</v>
      </c>
      <c r="J329" s="163" t="s">
        <v>403</v>
      </c>
      <c r="K329" s="10" t="s">
        <v>40</v>
      </c>
      <c r="L329" s="10">
        <v>0</v>
      </c>
      <c r="M329" s="10">
        <f t="shared" si="21"/>
        <v>0</v>
      </c>
      <c r="N329" s="10">
        <v>5</v>
      </c>
      <c r="O329" s="12">
        <v>1</v>
      </c>
      <c r="P329" s="11">
        <v>1780</v>
      </c>
      <c r="Q329" s="10" t="s">
        <v>36</v>
      </c>
      <c r="R329" s="4" t="s">
        <v>1288</v>
      </c>
      <c r="S329" s="4" t="s">
        <v>507</v>
      </c>
      <c r="T329" s="4" t="s">
        <v>19</v>
      </c>
      <c r="U329" s="4" t="str">
        <f t="shared" si="23"/>
        <v>NOT AN ADD-ON</v>
      </c>
      <c r="V329" s="4" t="str">
        <f t="shared" si="22"/>
        <v>CALIBRATIONADD-ONAUTHORIZEDNOT AN ADD-ON</v>
      </c>
    </row>
    <row r="330" spans="1:22" ht="15" thickBot="1">
      <c r="A330" s="10" t="s">
        <v>21</v>
      </c>
      <c r="B330" s="10" t="s">
        <v>22</v>
      </c>
      <c r="C330" s="10" t="s">
        <v>385</v>
      </c>
      <c r="D330" s="10" t="s">
        <v>386</v>
      </c>
      <c r="E330" s="10" t="s">
        <v>387</v>
      </c>
      <c r="F330" s="10" t="s">
        <v>388</v>
      </c>
      <c r="G330" s="11">
        <v>383</v>
      </c>
      <c r="H330" s="163" t="s">
        <v>407</v>
      </c>
      <c r="I330" s="166" t="s">
        <v>408</v>
      </c>
      <c r="J330" s="163" t="s">
        <v>403</v>
      </c>
      <c r="K330" s="10" t="s">
        <v>40</v>
      </c>
      <c r="L330" s="10">
        <v>0</v>
      </c>
      <c r="M330" s="10">
        <f t="shared" si="21"/>
        <v>0</v>
      </c>
      <c r="N330" s="10">
        <v>5</v>
      </c>
      <c r="O330" s="12">
        <v>1</v>
      </c>
      <c r="P330" s="11">
        <v>1780</v>
      </c>
      <c r="Q330" s="10" t="s">
        <v>48</v>
      </c>
      <c r="R330" s="4" t="s">
        <v>1288</v>
      </c>
      <c r="S330" s="4" t="s">
        <v>507</v>
      </c>
      <c r="T330" s="4" t="s">
        <v>19</v>
      </c>
      <c r="U330" s="4" t="str">
        <f t="shared" si="23"/>
        <v>NOT AN ADD-ON</v>
      </c>
      <c r="V330" s="4" t="str">
        <f t="shared" si="22"/>
        <v>CALIBRATIONADD-ONAUTHORIZEDNOT AN ADD-ON</v>
      </c>
    </row>
    <row r="331" spans="1:22" ht="15" thickBot="1">
      <c r="A331" s="10" t="s">
        <v>21</v>
      </c>
      <c r="B331" s="10" t="s">
        <v>22</v>
      </c>
      <c r="C331" s="10" t="s">
        <v>1044</v>
      </c>
      <c r="D331" s="10" t="s">
        <v>1045</v>
      </c>
      <c r="E331" s="10" t="s">
        <v>1046</v>
      </c>
      <c r="F331" s="10" t="s">
        <v>1047</v>
      </c>
      <c r="G331" s="11">
        <v>657</v>
      </c>
      <c r="H331" s="163" t="s">
        <v>1056</v>
      </c>
      <c r="I331" s="158" t="s">
        <v>1057</v>
      </c>
      <c r="J331" s="163" t="s">
        <v>1056</v>
      </c>
      <c r="K331" s="10" t="s">
        <v>40</v>
      </c>
      <c r="L331" s="10">
        <v>0</v>
      </c>
      <c r="M331" s="10">
        <f t="shared" si="21"/>
        <v>0</v>
      </c>
      <c r="N331" s="10">
        <v>5</v>
      </c>
      <c r="O331" s="12">
        <v>1</v>
      </c>
      <c r="P331" s="11">
        <v>657</v>
      </c>
      <c r="Q331" s="10" t="s">
        <v>33</v>
      </c>
      <c r="R331" s="4" t="s">
        <v>1291</v>
      </c>
      <c r="S331" s="4" t="s">
        <v>507</v>
      </c>
      <c r="T331" s="4" t="s">
        <v>19</v>
      </c>
      <c r="U331" s="4" t="str">
        <f t="shared" si="23"/>
        <v>NOT AN ADD-ON</v>
      </c>
      <c r="V331" s="4" t="str">
        <f t="shared" si="22"/>
        <v>SPATIALADD-ONAUTHORIZEDNOT AN ADD-ON</v>
      </c>
    </row>
    <row r="332" spans="1:22" ht="15" thickBot="1">
      <c r="A332" s="10" t="s">
        <v>21</v>
      </c>
      <c r="B332" s="10" t="s">
        <v>22</v>
      </c>
      <c r="C332" s="10" t="s">
        <v>1044</v>
      </c>
      <c r="D332" s="10" t="s">
        <v>1045</v>
      </c>
      <c r="E332" s="10" t="s">
        <v>1046</v>
      </c>
      <c r="F332" s="10" t="s">
        <v>1047</v>
      </c>
      <c r="G332" s="11">
        <v>394</v>
      </c>
      <c r="H332" s="163" t="s">
        <v>1058</v>
      </c>
      <c r="I332" s="158" t="s">
        <v>1059</v>
      </c>
      <c r="J332" s="163" t="s">
        <v>1056</v>
      </c>
      <c r="K332" s="10" t="s">
        <v>40</v>
      </c>
      <c r="L332" s="10">
        <v>0</v>
      </c>
      <c r="M332" s="10">
        <f t="shared" si="21"/>
        <v>0</v>
      </c>
      <c r="N332" s="10">
        <v>5</v>
      </c>
      <c r="O332" s="12">
        <v>1</v>
      </c>
      <c r="P332" s="11">
        <v>657</v>
      </c>
      <c r="Q332" s="10" t="s">
        <v>36</v>
      </c>
      <c r="R332" s="4" t="s">
        <v>1291</v>
      </c>
      <c r="S332" s="4" t="s">
        <v>507</v>
      </c>
      <c r="T332" s="4" t="s">
        <v>19</v>
      </c>
      <c r="U332" s="4" t="str">
        <f t="shared" si="23"/>
        <v>NOT AN ADD-ON</v>
      </c>
      <c r="V332" s="4" t="str">
        <f t="shared" si="22"/>
        <v>SPATIALADD-ONAUTHORIZEDNOT AN ADD-ON</v>
      </c>
    </row>
    <row r="333" spans="1:22" ht="15" thickBot="1">
      <c r="A333" s="10" t="s">
        <v>21</v>
      </c>
      <c r="B333" s="10" t="s">
        <v>22</v>
      </c>
      <c r="C333" s="10" t="s">
        <v>1044</v>
      </c>
      <c r="D333" s="10" t="s">
        <v>1045</v>
      </c>
      <c r="E333" s="10" t="s">
        <v>1046</v>
      </c>
      <c r="F333" s="10" t="s">
        <v>1047</v>
      </c>
      <c r="G333" s="11">
        <v>141</v>
      </c>
      <c r="H333" s="163" t="s">
        <v>1068</v>
      </c>
      <c r="I333" s="166" t="s">
        <v>1069</v>
      </c>
      <c r="J333" s="163" t="s">
        <v>1056</v>
      </c>
      <c r="K333" s="10" t="s">
        <v>40</v>
      </c>
      <c r="L333" s="10">
        <v>0</v>
      </c>
      <c r="M333" s="10">
        <f t="shared" si="21"/>
        <v>0</v>
      </c>
      <c r="N333" s="10">
        <v>5</v>
      </c>
      <c r="O333" s="12">
        <v>1</v>
      </c>
      <c r="P333" s="11">
        <v>657</v>
      </c>
      <c r="Q333" s="10" t="s">
        <v>48</v>
      </c>
      <c r="R333" s="4" t="s">
        <v>1291</v>
      </c>
      <c r="S333" s="4" t="s">
        <v>507</v>
      </c>
      <c r="T333" s="4" t="s">
        <v>19</v>
      </c>
      <c r="U333" s="4" t="str">
        <f t="shared" si="23"/>
        <v>NOT AN ADD-ON</v>
      </c>
      <c r="V333" s="4" t="str">
        <f t="shared" si="22"/>
        <v>SPATIALADD-ONAUTHORIZEDNOT AN ADD-ON</v>
      </c>
    </row>
    <row r="334" spans="1:22" ht="15" thickBot="1">
      <c r="A334" s="10" t="s">
        <v>21</v>
      </c>
      <c r="B334" s="10" t="s">
        <v>22</v>
      </c>
      <c r="C334" s="10" t="s">
        <v>1044</v>
      </c>
      <c r="D334" s="10" t="s">
        <v>1045</v>
      </c>
      <c r="E334" s="10" t="s">
        <v>1046</v>
      </c>
      <c r="F334" s="10" t="s">
        <v>1047</v>
      </c>
      <c r="G334" s="11">
        <v>657</v>
      </c>
      <c r="H334" s="163" t="s">
        <v>1062</v>
      </c>
      <c r="I334" s="158" t="s">
        <v>1063</v>
      </c>
      <c r="J334" s="163" t="s">
        <v>1062</v>
      </c>
      <c r="K334" s="10" t="s">
        <v>40</v>
      </c>
      <c r="L334" s="10">
        <v>0</v>
      </c>
      <c r="M334" s="10">
        <f t="shared" si="21"/>
        <v>0</v>
      </c>
      <c r="N334" s="10">
        <v>5</v>
      </c>
      <c r="O334" s="12">
        <v>1</v>
      </c>
      <c r="P334" s="11">
        <v>657</v>
      </c>
      <c r="Q334" s="10" t="s">
        <v>33</v>
      </c>
      <c r="R334" s="4" t="s">
        <v>1291</v>
      </c>
      <c r="S334" s="4" t="s">
        <v>507</v>
      </c>
      <c r="T334" s="4" t="s">
        <v>19</v>
      </c>
      <c r="U334" s="4" t="str">
        <f t="shared" si="23"/>
        <v>NOT AN ADD-ON</v>
      </c>
      <c r="V334" s="4" t="str">
        <f t="shared" si="22"/>
        <v>SPATIALADD-ONAUTHORIZEDNOT AN ADD-ON</v>
      </c>
    </row>
    <row r="335" spans="1:22" ht="15" thickBot="1">
      <c r="A335" s="10" t="s">
        <v>21</v>
      </c>
      <c r="B335" s="10" t="s">
        <v>22</v>
      </c>
      <c r="C335" s="10" t="s">
        <v>1044</v>
      </c>
      <c r="D335" s="10" t="s">
        <v>1045</v>
      </c>
      <c r="E335" s="10" t="s">
        <v>1046</v>
      </c>
      <c r="F335" s="10" t="s">
        <v>1047</v>
      </c>
      <c r="G335" s="11">
        <v>394</v>
      </c>
      <c r="H335" s="163" t="s">
        <v>1064</v>
      </c>
      <c r="I335" s="158" t="s">
        <v>1065</v>
      </c>
      <c r="J335" s="163" t="s">
        <v>1062</v>
      </c>
      <c r="K335" s="10" t="s">
        <v>40</v>
      </c>
      <c r="L335" s="10">
        <v>0</v>
      </c>
      <c r="M335" s="10">
        <f t="shared" si="21"/>
        <v>0</v>
      </c>
      <c r="N335" s="10">
        <v>5</v>
      </c>
      <c r="O335" s="12">
        <v>1</v>
      </c>
      <c r="P335" s="11">
        <v>657</v>
      </c>
      <c r="Q335" s="10" t="s">
        <v>36</v>
      </c>
      <c r="R335" s="4" t="s">
        <v>1291</v>
      </c>
      <c r="S335" s="4" t="s">
        <v>507</v>
      </c>
      <c r="T335" s="4" t="s">
        <v>19</v>
      </c>
      <c r="U335" s="4" t="str">
        <f t="shared" si="23"/>
        <v>NOT AN ADD-ON</v>
      </c>
      <c r="V335" s="4" t="str">
        <f t="shared" si="22"/>
        <v>SPATIALADD-ONAUTHORIZEDNOT AN ADD-ON</v>
      </c>
    </row>
    <row r="336" spans="1:22" ht="15" thickBot="1">
      <c r="A336" s="10" t="s">
        <v>21</v>
      </c>
      <c r="B336" s="10" t="s">
        <v>22</v>
      </c>
      <c r="C336" s="10" t="s">
        <v>1044</v>
      </c>
      <c r="D336" s="10" t="s">
        <v>1045</v>
      </c>
      <c r="E336" s="10" t="s">
        <v>1046</v>
      </c>
      <c r="F336" s="10" t="s">
        <v>1047</v>
      </c>
      <c r="G336" s="11">
        <v>141</v>
      </c>
      <c r="H336" s="163" t="s">
        <v>1066</v>
      </c>
      <c r="I336" s="166" t="s">
        <v>1067</v>
      </c>
      <c r="J336" s="163" t="s">
        <v>1062</v>
      </c>
      <c r="K336" s="10" t="s">
        <v>40</v>
      </c>
      <c r="L336" s="10">
        <v>0</v>
      </c>
      <c r="M336" s="10">
        <f t="shared" si="21"/>
        <v>0</v>
      </c>
      <c r="N336" s="10">
        <v>5</v>
      </c>
      <c r="O336" s="12">
        <v>1</v>
      </c>
      <c r="P336" s="11">
        <v>657</v>
      </c>
      <c r="Q336" s="10" t="s">
        <v>48</v>
      </c>
      <c r="R336" s="4" t="s">
        <v>1291</v>
      </c>
      <c r="S336" s="4" t="s">
        <v>507</v>
      </c>
      <c r="T336" s="4" t="s">
        <v>19</v>
      </c>
      <c r="U336" s="4" t="str">
        <f t="shared" si="23"/>
        <v>NOT AN ADD-ON</v>
      </c>
      <c r="V336" s="4" t="str">
        <f t="shared" si="22"/>
        <v>SPATIALADD-ONAUTHORIZEDNOT AN ADD-ON</v>
      </c>
    </row>
    <row r="337" spans="1:22" ht="15" thickBot="1">
      <c r="A337" s="10" t="s">
        <v>21</v>
      </c>
      <c r="B337" s="10" t="s">
        <v>22</v>
      </c>
      <c r="C337" s="10" t="s">
        <v>593</v>
      </c>
      <c r="D337" s="10" t="s">
        <v>594</v>
      </c>
      <c r="E337" s="10" t="s">
        <v>595</v>
      </c>
      <c r="F337" s="10" t="s">
        <v>596</v>
      </c>
      <c r="G337" s="11">
        <v>23400</v>
      </c>
      <c r="H337" s="163" t="s">
        <v>639</v>
      </c>
      <c r="I337" s="158" t="s">
        <v>648</v>
      </c>
      <c r="J337" s="163" t="s">
        <v>639</v>
      </c>
      <c r="K337" s="10" t="s">
        <v>40</v>
      </c>
      <c r="L337" s="10">
        <v>15</v>
      </c>
      <c r="M337" s="10">
        <f t="shared" si="21"/>
        <v>15</v>
      </c>
      <c r="N337" s="10">
        <v>15</v>
      </c>
      <c r="O337" s="12">
        <v>1</v>
      </c>
      <c r="P337" s="11">
        <v>23400</v>
      </c>
      <c r="Q337" s="10" t="s">
        <v>33</v>
      </c>
      <c r="R337" s="4" t="s">
        <v>1281</v>
      </c>
      <c r="S337" s="4" t="s">
        <v>1279</v>
      </c>
      <c r="T337" s="4" t="s">
        <v>19</v>
      </c>
      <c r="U337" s="4" t="str">
        <f t="shared" si="23"/>
        <v>NOT AN ADD-ON</v>
      </c>
      <c r="V337" s="4" t="str">
        <f t="shared" si="22"/>
        <v>NUCLEAR POWERINDUSTRY SOLUTIONAUTHORIZEDNOT AN ADD-ON</v>
      </c>
    </row>
    <row r="338" spans="1:22" ht="15" thickBot="1">
      <c r="A338" s="10" t="s">
        <v>21</v>
      </c>
      <c r="B338" s="10" t="s">
        <v>22</v>
      </c>
      <c r="C338" s="10" t="s">
        <v>593</v>
      </c>
      <c r="D338" s="10" t="s">
        <v>594</v>
      </c>
      <c r="E338" s="10" t="s">
        <v>595</v>
      </c>
      <c r="F338" s="10" t="s">
        <v>596</v>
      </c>
      <c r="G338" s="11">
        <v>14000</v>
      </c>
      <c r="H338" s="163" t="s">
        <v>649</v>
      </c>
      <c r="I338" s="158" t="s">
        <v>650</v>
      </c>
      <c r="J338" s="163" t="s">
        <v>639</v>
      </c>
      <c r="K338" s="10" t="s">
        <v>40</v>
      </c>
      <c r="L338" s="10">
        <v>15</v>
      </c>
      <c r="M338" s="10">
        <f t="shared" si="21"/>
        <v>15</v>
      </c>
      <c r="N338" s="10">
        <v>15</v>
      </c>
      <c r="O338" s="12">
        <v>1</v>
      </c>
      <c r="P338" s="11">
        <v>23400</v>
      </c>
      <c r="Q338" s="10" t="s">
        <v>36</v>
      </c>
      <c r="R338" s="4" t="s">
        <v>1281</v>
      </c>
      <c r="S338" s="4" t="s">
        <v>1279</v>
      </c>
      <c r="T338" s="4" t="s">
        <v>19</v>
      </c>
      <c r="U338" s="4" t="str">
        <f t="shared" si="23"/>
        <v>NOT AN ADD-ON</v>
      </c>
      <c r="V338" s="4" t="str">
        <f t="shared" si="22"/>
        <v>NUCLEAR POWERINDUSTRY SOLUTIONAUTHORIZEDNOT AN ADD-ON</v>
      </c>
    </row>
    <row r="339" spans="1:22" ht="27" thickBot="1">
      <c r="A339" s="10" t="s">
        <v>21</v>
      </c>
      <c r="B339" s="10" t="s">
        <v>22</v>
      </c>
      <c r="C339" s="10" t="s">
        <v>593</v>
      </c>
      <c r="D339" s="10" t="s">
        <v>594</v>
      </c>
      <c r="E339" s="10" t="s">
        <v>595</v>
      </c>
      <c r="F339" s="10" t="s">
        <v>596</v>
      </c>
      <c r="G339" s="11">
        <v>8260</v>
      </c>
      <c r="H339" s="163" t="s">
        <v>640</v>
      </c>
      <c r="I339" s="166" t="s">
        <v>641</v>
      </c>
      <c r="J339" s="163" t="s">
        <v>639</v>
      </c>
      <c r="K339" s="10" t="s">
        <v>40</v>
      </c>
      <c r="L339" s="10">
        <v>15</v>
      </c>
      <c r="M339" s="10">
        <f t="shared" si="21"/>
        <v>15</v>
      </c>
      <c r="N339" s="10">
        <v>15</v>
      </c>
      <c r="O339" s="12">
        <v>1</v>
      </c>
      <c r="P339" s="11">
        <v>23400</v>
      </c>
      <c r="Q339" s="10" t="s">
        <v>48</v>
      </c>
      <c r="R339" s="4" t="s">
        <v>1281</v>
      </c>
      <c r="S339" s="4" t="s">
        <v>1279</v>
      </c>
      <c r="T339" s="4" t="s">
        <v>19</v>
      </c>
      <c r="U339" s="4" t="str">
        <f t="shared" si="23"/>
        <v>NOT AN ADD-ON</v>
      </c>
      <c r="V339" s="4" t="str">
        <f t="shared" si="22"/>
        <v>NUCLEAR POWERINDUSTRY SOLUTIONAUTHORIZEDNOT AN ADD-ON</v>
      </c>
    </row>
    <row r="340" spans="1:22" ht="27" thickBot="1">
      <c r="A340" s="10" t="s">
        <v>21</v>
      </c>
      <c r="B340" s="10" t="s">
        <v>22</v>
      </c>
      <c r="C340" s="10" t="s">
        <v>593</v>
      </c>
      <c r="D340" s="10" t="s">
        <v>594</v>
      </c>
      <c r="E340" s="10" t="s">
        <v>595</v>
      </c>
      <c r="F340" s="10" t="s">
        <v>596</v>
      </c>
      <c r="G340" s="11">
        <v>5030</v>
      </c>
      <c r="H340" s="163" t="s">
        <v>637</v>
      </c>
      <c r="I340" s="166" t="s">
        <v>638</v>
      </c>
      <c r="J340" s="163" t="s">
        <v>639</v>
      </c>
      <c r="K340" s="10" t="s">
        <v>40</v>
      </c>
      <c r="L340" s="10">
        <v>15</v>
      </c>
      <c r="M340" s="10">
        <f t="shared" si="21"/>
        <v>15</v>
      </c>
      <c r="N340" s="10">
        <v>15</v>
      </c>
      <c r="O340" s="12">
        <v>1</v>
      </c>
      <c r="P340" s="11">
        <v>23400</v>
      </c>
      <c r="Q340" s="10" t="s">
        <v>48</v>
      </c>
      <c r="R340" s="4" t="s">
        <v>1281</v>
      </c>
      <c r="S340" s="4" t="s">
        <v>1279</v>
      </c>
      <c r="T340" s="4" t="s">
        <v>19</v>
      </c>
      <c r="U340" s="4" t="str">
        <f t="shared" si="23"/>
        <v>NOT AN ADD-ON</v>
      </c>
      <c r="V340" s="4" t="str">
        <f t="shared" si="22"/>
        <v>NUCLEAR POWERINDUSTRY SOLUTIONAUTHORIZEDNOT AN ADD-ON</v>
      </c>
    </row>
    <row r="341" spans="1:22" ht="15" thickBot="1">
      <c r="A341" s="10" t="s">
        <v>21</v>
      </c>
      <c r="B341" s="10" t="s">
        <v>22</v>
      </c>
      <c r="C341" s="10" t="s">
        <v>593</v>
      </c>
      <c r="D341" s="10" t="s">
        <v>594</v>
      </c>
      <c r="E341" s="10" t="s">
        <v>595</v>
      </c>
      <c r="F341" s="10" t="s">
        <v>596</v>
      </c>
      <c r="G341" s="11">
        <v>23400</v>
      </c>
      <c r="H341" s="163" t="s">
        <v>633</v>
      </c>
      <c r="I341" s="158" t="s">
        <v>634</v>
      </c>
      <c r="J341" s="163" t="s">
        <v>633</v>
      </c>
      <c r="K341" s="10" t="s">
        <v>40</v>
      </c>
      <c r="L341" s="10">
        <v>15</v>
      </c>
      <c r="M341" s="10">
        <f t="shared" si="21"/>
        <v>15</v>
      </c>
      <c r="N341" s="10">
        <v>15</v>
      </c>
      <c r="O341" s="12">
        <v>1</v>
      </c>
      <c r="P341" s="11">
        <v>23400</v>
      </c>
      <c r="Q341" s="10" t="s">
        <v>33</v>
      </c>
      <c r="R341" s="4" t="s">
        <v>1281</v>
      </c>
      <c r="S341" s="4" t="s">
        <v>1279</v>
      </c>
      <c r="T341" s="4" t="s">
        <v>19</v>
      </c>
      <c r="U341" s="4" t="str">
        <f t="shared" si="23"/>
        <v>NOT AN ADD-ON</v>
      </c>
      <c r="V341" s="4" t="str">
        <f t="shared" si="22"/>
        <v>NUCLEAR POWERINDUSTRY SOLUTIONAUTHORIZEDNOT AN ADD-ON</v>
      </c>
    </row>
    <row r="342" spans="1:22" ht="15" thickBot="1">
      <c r="A342" s="10" t="s">
        <v>21</v>
      </c>
      <c r="B342" s="10" t="s">
        <v>22</v>
      </c>
      <c r="C342" s="10" t="s">
        <v>593</v>
      </c>
      <c r="D342" s="10" t="s">
        <v>594</v>
      </c>
      <c r="E342" s="10" t="s">
        <v>595</v>
      </c>
      <c r="F342" s="10" t="s">
        <v>596</v>
      </c>
      <c r="G342" s="11">
        <v>14000</v>
      </c>
      <c r="H342" s="163" t="s">
        <v>635</v>
      </c>
      <c r="I342" s="158" t="s">
        <v>636</v>
      </c>
      <c r="J342" s="163" t="s">
        <v>633</v>
      </c>
      <c r="K342" s="10" t="s">
        <v>40</v>
      </c>
      <c r="L342" s="10">
        <v>15</v>
      </c>
      <c r="M342" s="10">
        <f t="shared" si="21"/>
        <v>15</v>
      </c>
      <c r="N342" s="10">
        <v>15</v>
      </c>
      <c r="O342" s="12">
        <v>1</v>
      </c>
      <c r="P342" s="11">
        <v>23400</v>
      </c>
      <c r="Q342" s="10" t="s">
        <v>36</v>
      </c>
      <c r="R342" s="4" t="s">
        <v>1281</v>
      </c>
      <c r="S342" s="4" t="s">
        <v>1279</v>
      </c>
      <c r="T342" s="4" t="s">
        <v>19</v>
      </c>
      <c r="U342" s="4" t="str">
        <f t="shared" si="23"/>
        <v>NOT AN ADD-ON</v>
      </c>
      <c r="V342" s="4" t="str">
        <f t="shared" si="22"/>
        <v>NUCLEAR POWERINDUSTRY SOLUTIONAUTHORIZEDNOT AN ADD-ON</v>
      </c>
    </row>
    <row r="343" spans="1:22" ht="15" thickBot="1">
      <c r="A343" s="10" t="s">
        <v>21</v>
      </c>
      <c r="B343" s="10" t="s">
        <v>22</v>
      </c>
      <c r="C343" s="10" t="s">
        <v>593</v>
      </c>
      <c r="D343" s="10" t="s">
        <v>594</v>
      </c>
      <c r="E343" s="10" t="s">
        <v>595</v>
      </c>
      <c r="F343" s="10" t="s">
        <v>596</v>
      </c>
      <c r="G343" s="11">
        <v>8260</v>
      </c>
      <c r="H343" s="163" t="s">
        <v>644</v>
      </c>
      <c r="I343" s="166" t="s">
        <v>645</v>
      </c>
      <c r="J343" s="163" t="s">
        <v>633</v>
      </c>
      <c r="K343" s="10" t="s">
        <v>40</v>
      </c>
      <c r="L343" s="10">
        <v>15</v>
      </c>
      <c r="M343" s="10">
        <f t="shared" si="21"/>
        <v>15</v>
      </c>
      <c r="N343" s="10">
        <v>15</v>
      </c>
      <c r="O343" s="12">
        <v>1</v>
      </c>
      <c r="P343" s="11">
        <v>23400</v>
      </c>
      <c r="Q343" s="10" t="s">
        <v>48</v>
      </c>
      <c r="R343" s="4" t="s">
        <v>1281</v>
      </c>
      <c r="S343" s="4" t="s">
        <v>1279</v>
      </c>
      <c r="T343" s="4" t="s">
        <v>19</v>
      </c>
      <c r="U343" s="4" t="str">
        <f t="shared" si="23"/>
        <v>NOT AN ADD-ON</v>
      </c>
      <c r="V343" s="4" t="str">
        <f t="shared" si="22"/>
        <v>NUCLEAR POWERINDUSTRY SOLUTIONAUTHORIZEDNOT AN ADD-ON</v>
      </c>
    </row>
    <row r="344" spans="1:22" ht="15" thickBot="1">
      <c r="A344" s="10" t="s">
        <v>21</v>
      </c>
      <c r="B344" s="10" t="s">
        <v>22</v>
      </c>
      <c r="C344" s="10" t="s">
        <v>593</v>
      </c>
      <c r="D344" s="10" t="s">
        <v>594</v>
      </c>
      <c r="E344" s="10" t="s">
        <v>595</v>
      </c>
      <c r="F344" s="10" t="s">
        <v>596</v>
      </c>
      <c r="G344" s="11">
        <v>5030</v>
      </c>
      <c r="H344" s="163" t="s">
        <v>642</v>
      </c>
      <c r="I344" s="166" t="s">
        <v>643</v>
      </c>
      <c r="J344" s="163" t="s">
        <v>633</v>
      </c>
      <c r="K344" s="10" t="s">
        <v>40</v>
      </c>
      <c r="L344" s="10">
        <v>15</v>
      </c>
      <c r="M344" s="10">
        <f t="shared" si="21"/>
        <v>15</v>
      </c>
      <c r="N344" s="10">
        <v>15</v>
      </c>
      <c r="O344" s="12">
        <v>1</v>
      </c>
      <c r="P344" s="11">
        <v>23400</v>
      </c>
      <c r="Q344" s="10" t="s">
        <v>48</v>
      </c>
      <c r="R344" s="4" t="s">
        <v>1281</v>
      </c>
      <c r="S344" s="4" t="s">
        <v>1279</v>
      </c>
      <c r="T344" s="4" t="s">
        <v>19</v>
      </c>
      <c r="U344" s="4" t="str">
        <f t="shared" si="23"/>
        <v>NOT AN ADD-ON</v>
      </c>
      <c r="V344" s="4" t="str">
        <f t="shared" si="22"/>
        <v>NUCLEAR POWERINDUSTRY SOLUTIONAUTHORIZEDNOT AN ADD-ON</v>
      </c>
    </row>
    <row r="345" spans="1:22" ht="15" thickBot="1">
      <c r="A345" s="10" t="s">
        <v>21</v>
      </c>
      <c r="B345" s="10" t="s">
        <v>22</v>
      </c>
      <c r="C345" s="10" t="s">
        <v>593</v>
      </c>
      <c r="D345" s="10" t="s">
        <v>594</v>
      </c>
      <c r="E345" s="10" t="s">
        <v>595</v>
      </c>
      <c r="F345" s="10" t="s">
        <v>596</v>
      </c>
      <c r="G345" s="11">
        <v>6570</v>
      </c>
      <c r="H345" s="163" t="s">
        <v>611</v>
      </c>
      <c r="I345" s="158" t="s">
        <v>616</v>
      </c>
      <c r="J345" s="163" t="s">
        <v>611</v>
      </c>
      <c r="K345" s="10" t="s">
        <v>40</v>
      </c>
      <c r="L345" s="10">
        <v>5</v>
      </c>
      <c r="M345" s="10">
        <f t="shared" si="21"/>
        <v>5</v>
      </c>
      <c r="N345" s="10">
        <v>15</v>
      </c>
      <c r="O345" s="12">
        <v>1</v>
      </c>
      <c r="P345" s="11">
        <v>6570</v>
      </c>
      <c r="Q345" s="10" t="s">
        <v>33</v>
      </c>
      <c r="R345" s="4" t="s">
        <v>1281</v>
      </c>
      <c r="S345" s="4" t="s">
        <v>1279</v>
      </c>
      <c r="T345" s="4" t="s">
        <v>19</v>
      </c>
      <c r="U345" s="4" t="s">
        <v>507</v>
      </c>
      <c r="V345" s="4" t="str">
        <f t="shared" si="22"/>
        <v>NUCLEAR POWERINDUSTRY SOLUTIONAUTHORIZEDADD-ON</v>
      </c>
    </row>
    <row r="346" spans="1:22" ht="15" thickBot="1">
      <c r="A346" s="10" t="s">
        <v>21</v>
      </c>
      <c r="B346" s="10" t="s">
        <v>22</v>
      </c>
      <c r="C346" s="10" t="s">
        <v>593</v>
      </c>
      <c r="D346" s="10" t="s">
        <v>594</v>
      </c>
      <c r="E346" s="10" t="s">
        <v>595</v>
      </c>
      <c r="F346" s="10" t="s">
        <v>596</v>
      </c>
      <c r="G346" s="11">
        <v>3940</v>
      </c>
      <c r="H346" s="163" t="s">
        <v>617</v>
      </c>
      <c r="I346" s="158" t="s">
        <v>618</v>
      </c>
      <c r="J346" s="163" t="s">
        <v>611</v>
      </c>
      <c r="K346" s="10" t="s">
        <v>40</v>
      </c>
      <c r="L346" s="10">
        <v>5</v>
      </c>
      <c r="M346" s="10">
        <f t="shared" si="21"/>
        <v>5</v>
      </c>
      <c r="N346" s="10">
        <v>15</v>
      </c>
      <c r="O346" s="12">
        <v>1</v>
      </c>
      <c r="P346" s="11">
        <v>6570</v>
      </c>
      <c r="Q346" s="10" t="s">
        <v>36</v>
      </c>
      <c r="R346" s="4" t="s">
        <v>1281</v>
      </c>
      <c r="S346" s="4" t="s">
        <v>1279</v>
      </c>
      <c r="T346" s="4" t="s">
        <v>19</v>
      </c>
      <c r="U346" s="4" t="s">
        <v>507</v>
      </c>
      <c r="V346" s="4" t="str">
        <f t="shared" si="22"/>
        <v>NUCLEAR POWERINDUSTRY SOLUTIONAUTHORIZEDADD-ON</v>
      </c>
    </row>
    <row r="347" spans="1:22" ht="27" thickBot="1">
      <c r="A347" s="10" t="s">
        <v>21</v>
      </c>
      <c r="B347" s="10" t="s">
        <v>22</v>
      </c>
      <c r="C347" s="10" t="s">
        <v>593</v>
      </c>
      <c r="D347" s="10" t="s">
        <v>594</v>
      </c>
      <c r="E347" s="10" t="s">
        <v>595</v>
      </c>
      <c r="F347" s="10" t="s">
        <v>596</v>
      </c>
      <c r="G347" s="11">
        <v>1410</v>
      </c>
      <c r="H347" s="163" t="s">
        <v>609</v>
      </c>
      <c r="I347" s="166" t="s">
        <v>610</v>
      </c>
      <c r="J347" s="163" t="s">
        <v>611</v>
      </c>
      <c r="K347" s="10" t="s">
        <v>40</v>
      </c>
      <c r="L347" s="10">
        <v>5</v>
      </c>
      <c r="M347" s="10">
        <f t="shared" si="21"/>
        <v>5</v>
      </c>
      <c r="N347" s="10">
        <v>15</v>
      </c>
      <c r="O347" s="12">
        <v>1</v>
      </c>
      <c r="P347" s="11">
        <v>6570</v>
      </c>
      <c r="Q347" s="10" t="s">
        <v>48</v>
      </c>
      <c r="R347" s="4" t="s">
        <v>1281</v>
      </c>
      <c r="S347" s="4" t="s">
        <v>1279</v>
      </c>
      <c r="T347" s="4" t="s">
        <v>19</v>
      </c>
      <c r="U347" s="4" t="s">
        <v>507</v>
      </c>
      <c r="V347" s="4" t="str">
        <f t="shared" si="22"/>
        <v>NUCLEAR POWERINDUSTRY SOLUTIONAUTHORIZEDADD-ON</v>
      </c>
    </row>
    <row r="348" spans="1:22" ht="15" thickBot="1">
      <c r="A348" s="10" t="s">
        <v>21</v>
      </c>
      <c r="B348" s="10" t="s">
        <v>22</v>
      </c>
      <c r="C348" s="10" t="s">
        <v>593</v>
      </c>
      <c r="D348" s="10" t="s">
        <v>594</v>
      </c>
      <c r="E348" s="10" t="s">
        <v>595</v>
      </c>
      <c r="F348" s="10" t="s">
        <v>596</v>
      </c>
      <c r="G348" s="11">
        <v>6570</v>
      </c>
      <c r="H348" s="163" t="s">
        <v>605</v>
      </c>
      <c r="I348" s="158" t="s">
        <v>606</v>
      </c>
      <c r="J348" s="163" t="s">
        <v>605</v>
      </c>
      <c r="K348" s="10" t="s">
        <v>40</v>
      </c>
      <c r="L348" s="10">
        <v>5</v>
      </c>
      <c r="M348" s="10">
        <f t="shared" si="21"/>
        <v>5</v>
      </c>
      <c r="N348" s="10">
        <v>15</v>
      </c>
      <c r="O348" s="12">
        <v>1</v>
      </c>
      <c r="P348" s="11">
        <v>6570</v>
      </c>
      <c r="Q348" s="10" t="s">
        <v>33</v>
      </c>
      <c r="R348" s="4" t="s">
        <v>1281</v>
      </c>
      <c r="S348" s="4" t="s">
        <v>1279</v>
      </c>
      <c r="T348" s="4" t="s">
        <v>19</v>
      </c>
      <c r="U348" s="4" t="s">
        <v>507</v>
      </c>
      <c r="V348" s="4" t="str">
        <f t="shared" si="22"/>
        <v>NUCLEAR POWERINDUSTRY SOLUTIONAUTHORIZEDADD-ON</v>
      </c>
    </row>
    <row r="349" spans="1:22" ht="15" thickBot="1">
      <c r="A349" s="10" t="s">
        <v>21</v>
      </c>
      <c r="B349" s="10" t="s">
        <v>22</v>
      </c>
      <c r="C349" s="10" t="s">
        <v>593</v>
      </c>
      <c r="D349" s="10" t="s">
        <v>594</v>
      </c>
      <c r="E349" s="10" t="s">
        <v>595</v>
      </c>
      <c r="F349" s="10" t="s">
        <v>596</v>
      </c>
      <c r="G349" s="11">
        <v>3940</v>
      </c>
      <c r="H349" s="163" t="s">
        <v>607</v>
      </c>
      <c r="I349" s="158" t="s">
        <v>608</v>
      </c>
      <c r="J349" s="163" t="s">
        <v>605</v>
      </c>
      <c r="K349" s="10" t="s">
        <v>40</v>
      </c>
      <c r="L349" s="10">
        <v>5</v>
      </c>
      <c r="M349" s="10">
        <f t="shared" si="21"/>
        <v>5</v>
      </c>
      <c r="N349" s="10">
        <v>15</v>
      </c>
      <c r="O349" s="12">
        <v>1</v>
      </c>
      <c r="P349" s="11">
        <v>6570</v>
      </c>
      <c r="Q349" s="10" t="s">
        <v>36</v>
      </c>
      <c r="R349" s="4" t="s">
        <v>1281</v>
      </c>
      <c r="S349" s="4" t="s">
        <v>1279</v>
      </c>
      <c r="T349" s="4" t="s">
        <v>19</v>
      </c>
      <c r="U349" s="4" t="s">
        <v>507</v>
      </c>
      <c r="V349" s="4" t="str">
        <f t="shared" si="22"/>
        <v>NUCLEAR POWERINDUSTRY SOLUTIONAUTHORIZEDADD-ON</v>
      </c>
    </row>
    <row r="350" spans="1:22" ht="27" thickBot="1">
      <c r="A350" s="10" t="s">
        <v>21</v>
      </c>
      <c r="B350" s="10" t="s">
        <v>22</v>
      </c>
      <c r="C350" s="10" t="s">
        <v>593</v>
      </c>
      <c r="D350" s="10" t="s">
        <v>594</v>
      </c>
      <c r="E350" s="10" t="s">
        <v>595</v>
      </c>
      <c r="F350" s="10" t="s">
        <v>596</v>
      </c>
      <c r="G350" s="11">
        <v>1410</v>
      </c>
      <c r="H350" s="163" t="s">
        <v>612</v>
      </c>
      <c r="I350" s="166" t="s">
        <v>613</v>
      </c>
      <c r="J350" s="163" t="s">
        <v>605</v>
      </c>
      <c r="K350" s="10" t="s">
        <v>40</v>
      </c>
      <c r="L350" s="10">
        <v>5</v>
      </c>
      <c r="M350" s="10">
        <f t="shared" si="21"/>
        <v>5</v>
      </c>
      <c r="N350" s="10">
        <v>15</v>
      </c>
      <c r="O350" s="12">
        <v>1</v>
      </c>
      <c r="P350" s="11">
        <v>6570</v>
      </c>
      <c r="Q350" s="10" t="s">
        <v>48</v>
      </c>
      <c r="R350" s="4" t="s">
        <v>1281</v>
      </c>
      <c r="S350" s="4" t="s">
        <v>1279</v>
      </c>
      <c r="T350" s="4" t="s">
        <v>19</v>
      </c>
      <c r="U350" s="4" t="s">
        <v>507</v>
      </c>
      <c r="V350" s="4" t="str">
        <f t="shared" si="22"/>
        <v>NUCLEAR POWERINDUSTRY SOLUTIONAUTHORIZEDADD-ON</v>
      </c>
    </row>
    <row r="351" spans="1:22" ht="15" thickBot="1">
      <c r="A351" s="10" t="s">
        <v>21</v>
      </c>
      <c r="B351" s="10" t="s">
        <v>22</v>
      </c>
      <c r="C351" s="10" t="s">
        <v>140</v>
      </c>
      <c r="D351" s="10" t="s">
        <v>141</v>
      </c>
      <c r="E351" s="10" t="s">
        <v>142</v>
      </c>
      <c r="F351" s="10" t="s">
        <v>143</v>
      </c>
      <c r="G351" s="11">
        <v>13000</v>
      </c>
      <c r="H351" s="163" t="s">
        <v>172</v>
      </c>
      <c r="I351" s="158" t="s">
        <v>173</v>
      </c>
      <c r="J351" s="163" t="s">
        <v>154</v>
      </c>
      <c r="K351" s="10" t="s">
        <v>40</v>
      </c>
      <c r="L351" s="10">
        <v>10</v>
      </c>
      <c r="M351" s="10">
        <f t="shared" si="21"/>
        <v>10</v>
      </c>
      <c r="N351" s="10">
        <v>10</v>
      </c>
      <c r="O351" s="12">
        <v>1</v>
      </c>
      <c r="P351" s="11">
        <v>19400</v>
      </c>
      <c r="Q351" s="10" t="s">
        <v>48</v>
      </c>
      <c r="R351" s="4" t="s">
        <v>1278</v>
      </c>
      <c r="S351" s="4" t="s">
        <v>1278</v>
      </c>
      <c r="T351" s="4" t="s">
        <v>19</v>
      </c>
      <c r="U351" s="4" t="str">
        <f t="shared" ref="U351:U382" si="24">IF(ISNUMBER(SEARCH("ADD-ON",$I351)),"ADD-ON","NOT AN ADD-ON")</f>
        <v>NOT AN ADD-ON</v>
      </c>
      <c r="V351" s="4" t="str">
        <f t="shared" si="22"/>
        <v>ASSET MANAGEMENT (CORE)ASSET MANAGEMENT (CORE)AUTHORIZEDNOT AN ADD-ON</v>
      </c>
    </row>
    <row r="352" spans="1:22" ht="15" thickBot="1">
      <c r="A352" s="10" t="s">
        <v>21</v>
      </c>
      <c r="B352" s="10" t="s">
        <v>22</v>
      </c>
      <c r="C352" s="10" t="s">
        <v>140</v>
      </c>
      <c r="D352" s="10" t="s">
        <v>141</v>
      </c>
      <c r="E352" s="10" t="s">
        <v>142</v>
      </c>
      <c r="F352" s="10" t="s">
        <v>143</v>
      </c>
      <c r="G352" s="11">
        <v>13000</v>
      </c>
      <c r="H352" s="163" t="s">
        <v>158</v>
      </c>
      <c r="I352" s="158" t="s">
        <v>159</v>
      </c>
      <c r="J352" s="163" t="s">
        <v>160</v>
      </c>
      <c r="K352" s="10" t="s">
        <v>40</v>
      </c>
      <c r="L352" s="10">
        <v>10</v>
      </c>
      <c r="M352" s="10">
        <f t="shared" si="21"/>
        <v>10</v>
      </c>
      <c r="N352" s="10">
        <v>10</v>
      </c>
      <c r="O352" s="12">
        <v>1</v>
      </c>
      <c r="P352" s="11">
        <v>19400</v>
      </c>
      <c r="Q352" s="10" t="s">
        <v>48</v>
      </c>
      <c r="R352" s="4" t="s">
        <v>1278</v>
      </c>
      <c r="S352" s="4" t="s">
        <v>1278</v>
      </c>
      <c r="T352" s="4" t="s">
        <v>19</v>
      </c>
      <c r="U352" s="4" t="str">
        <f t="shared" si="24"/>
        <v>NOT AN ADD-ON</v>
      </c>
      <c r="V352" s="4" t="str">
        <f t="shared" si="22"/>
        <v>ASSET MANAGEMENT (CORE)ASSET MANAGEMENT (CORE)AUTHORIZEDNOT AN ADD-ON</v>
      </c>
    </row>
    <row r="353" spans="1:22" ht="29.25" customHeight="1" thickBot="1">
      <c r="A353" s="10" t="s">
        <v>21</v>
      </c>
      <c r="B353" s="10" t="s">
        <v>22</v>
      </c>
      <c r="C353" s="10" t="s">
        <v>338</v>
      </c>
      <c r="D353" s="10" t="s">
        <v>141</v>
      </c>
      <c r="E353" s="10" t="s">
        <v>142</v>
      </c>
      <c r="F353" s="10" t="s">
        <v>339</v>
      </c>
      <c r="G353" s="11">
        <v>4020</v>
      </c>
      <c r="H353" s="163" t="s">
        <v>342</v>
      </c>
      <c r="I353" s="158" t="s">
        <v>343</v>
      </c>
      <c r="J353" s="163" t="s">
        <v>342</v>
      </c>
      <c r="K353" s="10" t="s">
        <v>30</v>
      </c>
      <c r="L353" s="10">
        <v>0</v>
      </c>
      <c r="M353" s="10">
        <f t="shared" si="21"/>
        <v>0</v>
      </c>
      <c r="N353" s="10">
        <v>10</v>
      </c>
      <c r="O353" s="12">
        <v>3.3333333333333335</v>
      </c>
      <c r="P353" s="11">
        <v>4020</v>
      </c>
      <c r="Q353" s="10" t="s">
        <v>33</v>
      </c>
      <c r="R353" s="4" t="s">
        <v>1286</v>
      </c>
      <c r="S353" s="4" t="s">
        <v>507</v>
      </c>
      <c r="T353" s="4" t="s">
        <v>19</v>
      </c>
      <c r="U353" s="4" t="str">
        <f t="shared" si="24"/>
        <v>NOT AN ADD-ON</v>
      </c>
      <c r="V353" s="4" t="str">
        <f t="shared" si="22"/>
        <v>SCHEDULER PLUSADD-ONAUTHORIZEDNOT AN ADD-ON</v>
      </c>
    </row>
    <row r="354" spans="1:22" ht="15" thickBot="1">
      <c r="A354" s="10" t="s">
        <v>21</v>
      </c>
      <c r="B354" s="10" t="s">
        <v>22</v>
      </c>
      <c r="C354" s="10" t="s">
        <v>338</v>
      </c>
      <c r="D354" s="10" t="s">
        <v>141</v>
      </c>
      <c r="E354" s="10" t="s">
        <v>142</v>
      </c>
      <c r="F354" s="10" t="s">
        <v>339</v>
      </c>
      <c r="G354" s="11">
        <v>2420</v>
      </c>
      <c r="H354" s="163" t="s">
        <v>344</v>
      </c>
      <c r="I354" s="158" t="s">
        <v>345</v>
      </c>
      <c r="J354" s="163" t="s">
        <v>342</v>
      </c>
      <c r="K354" s="10" t="s">
        <v>30</v>
      </c>
      <c r="L354" s="10">
        <v>0</v>
      </c>
      <c r="M354" s="10">
        <f t="shared" si="21"/>
        <v>0</v>
      </c>
      <c r="N354" s="10">
        <v>10</v>
      </c>
      <c r="O354" s="12">
        <v>3.3333333333333335</v>
      </c>
      <c r="P354" s="11">
        <v>4020</v>
      </c>
      <c r="Q354" s="10" t="s">
        <v>36</v>
      </c>
      <c r="R354" s="4" t="s">
        <v>1286</v>
      </c>
      <c r="S354" s="4" t="s">
        <v>507</v>
      </c>
      <c r="T354" s="4" t="s">
        <v>19</v>
      </c>
      <c r="U354" s="4" t="str">
        <f t="shared" si="24"/>
        <v>NOT AN ADD-ON</v>
      </c>
      <c r="V354" s="4" t="str">
        <f t="shared" si="22"/>
        <v>SCHEDULER PLUSADD-ONAUTHORIZEDNOT AN ADD-ON</v>
      </c>
    </row>
    <row r="355" spans="1:22" ht="27" thickBot="1">
      <c r="A355" s="10" t="s">
        <v>21</v>
      </c>
      <c r="B355" s="10" t="s">
        <v>22</v>
      </c>
      <c r="C355" s="10" t="s">
        <v>338</v>
      </c>
      <c r="D355" s="10" t="s">
        <v>141</v>
      </c>
      <c r="E355" s="10" t="s">
        <v>142</v>
      </c>
      <c r="F355" s="10" t="s">
        <v>339</v>
      </c>
      <c r="G355" s="11">
        <v>2660</v>
      </c>
      <c r="H355" s="163" t="s">
        <v>354</v>
      </c>
      <c r="I355" s="166" t="s">
        <v>355</v>
      </c>
      <c r="J355" s="163" t="s">
        <v>342</v>
      </c>
      <c r="K355" s="10" t="s">
        <v>30</v>
      </c>
      <c r="L355" s="10">
        <v>0</v>
      </c>
      <c r="M355" s="10">
        <f t="shared" si="21"/>
        <v>0</v>
      </c>
      <c r="N355" s="10">
        <v>10</v>
      </c>
      <c r="O355" s="12">
        <v>3.3333333333333335</v>
      </c>
      <c r="P355" s="11">
        <v>4020</v>
      </c>
      <c r="Q355" s="10" t="s">
        <v>48</v>
      </c>
      <c r="R355" s="4" t="s">
        <v>1286</v>
      </c>
      <c r="S355" s="4" t="s">
        <v>507</v>
      </c>
      <c r="T355" s="4" t="s">
        <v>19</v>
      </c>
      <c r="U355" s="4" t="str">
        <f t="shared" si="24"/>
        <v>NOT AN ADD-ON</v>
      </c>
      <c r="V355" s="4" t="str">
        <f t="shared" si="22"/>
        <v>SCHEDULER PLUSADD-ONAUTHORIZEDNOT AN ADD-ON</v>
      </c>
    </row>
    <row r="356" spans="1:22" ht="15" thickBot="1">
      <c r="A356" s="10" t="s">
        <v>21</v>
      </c>
      <c r="B356" s="10" t="s">
        <v>22</v>
      </c>
      <c r="C356" s="10" t="s">
        <v>338</v>
      </c>
      <c r="D356" s="10" t="s">
        <v>141</v>
      </c>
      <c r="E356" s="10" t="s">
        <v>142</v>
      </c>
      <c r="F356" s="10" t="s">
        <v>339</v>
      </c>
      <c r="G356" s="11">
        <v>11900</v>
      </c>
      <c r="H356" s="163" t="s">
        <v>358</v>
      </c>
      <c r="I356" s="158" t="s">
        <v>359</v>
      </c>
      <c r="J356" s="163" t="s">
        <v>358</v>
      </c>
      <c r="K356" s="10" t="s">
        <v>40</v>
      </c>
      <c r="L356" s="10">
        <v>0</v>
      </c>
      <c r="M356" s="10">
        <f t="shared" si="21"/>
        <v>0</v>
      </c>
      <c r="N356" s="10">
        <v>10</v>
      </c>
      <c r="O356" s="12">
        <v>1</v>
      </c>
      <c r="P356" s="11">
        <v>11900</v>
      </c>
      <c r="Q356" s="10" t="s">
        <v>33</v>
      </c>
      <c r="R356" s="4" t="s">
        <v>1286</v>
      </c>
      <c r="S356" s="4" t="s">
        <v>507</v>
      </c>
      <c r="T356" s="4" t="s">
        <v>19</v>
      </c>
      <c r="U356" s="4" t="str">
        <f t="shared" si="24"/>
        <v>NOT AN ADD-ON</v>
      </c>
      <c r="V356" s="4" t="str">
        <f t="shared" si="22"/>
        <v>SCHEDULER PLUSADD-ONAUTHORIZEDNOT AN ADD-ON</v>
      </c>
    </row>
    <row r="357" spans="1:22" ht="15" thickBot="1">
      <c r="A357" s="10" t="s">
        <v>21</v>
      </c>
      <c r="B357" s="10" t="s">
        <v>22</v>
      </c>
      <c r="C357" s="10" t="s">
        <v>338</v>
      </c>
      <c r="D357" s="10" t="s">
        <v>141</v>
      </c>
      <c r="E357" s="10" t="s">
        <v>142</v>
      </c>
      <c r="F357" s="10" t="s">
        <v>339</v>
      </c>
      <c r="G357" s="11">
        <v>7230</v>
      </c>
      <c r="H357" s="163" t="s">
        <v>360</v>
      </c>
      <c r="I357" s="158" t="s">
        <v>361</v>
      </c>
      <c r="J357" s="163" t="s">
        <v>358</v>
      </c>
      <c r="K357" s="10" t="s">
        <v>40</v>
      </c>
      <c r="L357" s="10">
        <v>0</v>
      </c>
      <c r="M357" s="10">
        <f t="shared" si="21"/>
        <v>0</v>
      </c>
      <c r="N357" s="10">
        <v>10</v>
      </c>
      <c r="O357" s="12">
        <v>1</v>
      </c>
      <c r="P357" s="11">
        <v>11900</v>
      </c>
      <c r="Q357" s="10" t="s">
        <v>36</v>
      </c>
      <c r="R357" s="4" t="s">
        <v>1286</v>
      </c>
      <c r="S357" s="4" t="s">
        <v>507</v>
      </c>
      <c r="T357" s="4" t="s">
        <v>19</v>
      </c>
      <c r="U357" s="4" t="str">
        <f t="shared" si="24"/>
        <v>NOT AN ADD-ON</v>
      </c>
      <c r="V357" s="4" t="str">
        <f t="shared" si="22"/>
        <v>SCHEDULER PLUSADD-ONAUTHORIZEDNOT AN ADD-ON</v>
      </c>
    </row>
    <row r="358" spans="1:22" ht="27" thickBot="1">
      <c r="A358" s="10" t="s">
        <v>21</v>
      </c>
      <c r="B358" s="10" t="s">
        <v>22</v>
      </c>
      <c r="C358" s="10" t="s">
        <v>338</v>
      </c>
      <c r="D358" s="10" t="s">
        <v>141</v>
      </c>
      <c r="E358" s="10" t="s">
        <v>142</v>
      </c>
      <c r="F358" s="10" t="s">
        <v>339</v>
      </c>
      <c r="G358" s="11">
        <v>7870</v>
      </c>
      <c r="H358" s="163" t="s">
        <v>370</v>
      </c>
      <c r="I358" s="166" t="s">
        <v>371</v>
      </c>
      <c r="J358" s="163" t="s">
        <v>358</v>
      </c>
      <c r="K358" s="10" t="s">
        <v>40</v>
      </c>
      <c r="L358" s="10">
        <v>0</v>
      </c>
      <c r="M358" s="10">
        <f t="shared" si="21"/>
        <v>0</v>
      </c>
      <c r="N358" s="10">
        <v>10</v>
      </c>
      <c r="O358" s="12">
        <v>1</v>
      </c>
      <c r="P358" s="11">
        <v>11900</v>
      </c>
      <c r="Q358" s="10" t="s">
        <v>48</v>
      </c>
      <c r="R358" s="4" t="s">
        <v>1286</v>
      </c>
      <c r="S358" s="4" t="s">
        <v>507</v>
      </c>
      <c r="T358" s="4" t="s">
        <v>19</v>
      </c>
      <c r="U358" s="4" t="str">
        <f t="shared" si="24"/>
        <v>NOT AN ADD-ON</v>
      </c>
      <c r="V358" s="4" t="str">
        <f t="shared" si="22"/>
        <v>SCHEDULER PLUSADD-ONAUTHORIZEDNOT AN ADD-ON</v>
      </c>
    </row>
    <row r="359" spans="1:22" ht="15" thickBot="1">
      <c r="A359" s="10" t="s">
        <v>21</v>
      </c>
      <c r="B359" s="10" t="s">
        <v>22</v>
      </c>
      <c r="C359" s="10" t="s">
        <v>338</v>
      </c>
      <c r="D359" s="10" t="s">
        <v>141</v>
      </c>
      <c r="E359" s="10" t="s">
        <v>142</v>
      </c>
      <c r="F359" s="10" t="s">
        <v>339</v>
      </c>
      <c r="G359" s="11">
        <v>4020</v>
      </c>
      <c r="H359" s="163" t="s">
        <v>348</v>
      </c>
      <c r="I359" s="158" t="s">
        <v>349</v>
      </c>
      <c r="J359" s="163" t="s">
        <v>348</v>
      </c>
      <c r="K359" s="10" t="s">
        <v>30</v>
      </c>
      <c r="L359" s="10">
        <v>0</v>
      </c>
      <c r="M359" s="10">
        <f t="shared" si="21"/>
        <v>0</v>
      </c>
      <c r="N359" s="10">
        <v>10</v>
      </c>
      <c r="O359" s="12">
        <v>3.3333333333333335</v>
      </c>
      <c r="P359" s="11">
        <v>4020</v>
      </c>
      <c r="Q359" s="10" t="s">
        <v>33</v>
      </c>
      <c r="R359" s="4" t="s">
        <v>1286</v>
      </c>
      <c r="S359" s="4" t="s">
        <v>507</v>
      </c>
      <c r="T359" s="4" t="s">
        <v>19</v>
      </c>
      <c r="U359" s="4" t="str">
        <f t="shared" si="24"/>
        <v>NOT AN ADD-ON</v>
      </c>
      <c r="V359" s="4" t="str">
        <f t="shared" si="22"/>
        <v>SCHEDULER PLUSADD-ONAUTHORIZEDNOT AN ADD-ON</v>
      </c>
    </row>
    <row r="360" spans="1:22" ht="15" thickBot="1">
      <c r="A360" s="10" t="s">
        <v>21</v>
      </c>
      <c r="B360" s="10" t="s">
        <v>22</v>
      </c>
      <c r="C360" s="10" t="s">
        <v>338</v>
      </c>
      <c r="D360" s="10" t="s">
        <v>141</v>
      </c>
      <c r="E360" s="10" t="s">
        <v>142</v>
      </c>
      <c r="F360" s="10" t="s">
        <v>339</v>
      </c>
      <c r="G360" s="11">
        <v>2420</v>
      </c>
      <c r="H360" s="163" t="s">
        <v>350</v>
      </c>
      <c r="I360" s="158" t="s">
        <v>351</v>
      </c>
      <c r="J360" s="163" t="s">
        <v>348</v>
      </c>
      <c r="K360" s="10" t="s">
        <v>30</v>
      </c>
      <c r="L360" s="10">
        <v>0</v>
      </c>
      <c r="M360" s="10">
        <f t="shared" si="21"/>
        <v>0</v>
      </c>
      <c r="N360" s="10">
        <v>10</v>
      </c>
      <c r="O360" s="12">
        <v>3.3333333333333335</v>
      </c>
      <c r="P360" s="11">
        <v>4020</v>
      </c>
      <c r="Q360" s="10" t="s">
        <v>36</v>
      </c>
      <c r="R360" s="4" t="s">
        <v>1286</v>
      </c>
      <c r="S360" s="4" t="s">
        <v>507</v>
      </c>
      <c r="T360" s="4" t="s">
        <v>19</v>
      </c>
      <c r="U360" s="4" t="str">
        <f t="shared" si="24"/>
        <v>NOT AN ADD-ON</v>
      </c>
      <c r="V360" s="4" t="str">
        <f t="shared" si="22"/>
        <v>SCHEDULER PLUSADD-ONAUTHORIZEDNOT AN ADD-ON</v>
      </c>
    </row>
    <row r="361" spans="1:22" ht="27" thickBot="1">
      <c r="A361" s="10" t="s">
        <v>21</v>
      </c>
      <c r="B361" s="10" t="s">
        <v>22</v>
      </c>
      <c r="C361" s="10" t="s">
        <v>338</v>
      </c>
      <c r="D361" s="10" t="s">
        <v>141</v>
      </c>
      <c r="E361" s="10" t="s">
        <v>142</v>
      </c>
      <c r="F361" s="10" t="s">
        <v>339</v>
      </c>
      <c r="G361" s="11">
        <v>2660</v>
      </c>
      <c r="H361" s="163" t="s">
        <v>352</v>
      </c>
      <c r="I361" s="166" t="s">
        <v>353</v>
      </c>
      <c r="J361" s="163" t="s">
        <v>348</v>
      </c>
      <c r="K361" s="10" t="s">
        <v>30</v>
      </c>
      <c r="L361" s="10">
        <v>0</v>
      </c>
      <c r="M361" s="10">
        <f t="shared" si="21"/>
        <v>0</v>
      </c>
      <c r="N361" s="10">
        <v>10</v>
      </c>
      <c r="O361" s="12">
        <v>3.3333333333333335</v>
      </c>
      <c r="P361" s="11">
        <v>4020</v>
      </c>
      <c r="Q361" s="10" t="s">
        <v>48</v>
      </c>
      <c r="R361" s="4" t="s">
        <v>1286</v>
      </c>
      <c r="S361" s="4" t="s">
        <v>507</v>
      </c>
      <c r="T361" s="4" t="s">
        <v>19</v>
      </c>
      <c r="U361" s="4" t="str">
        <f t="shared" si="24"/>
        <v>NOT AN ADD-ON</v>
      </c>
      <c r="V361" s="4" t="str">
        <f t="shared" si="22"/>
        <v>SCHEDULER PLUSADD-ONAUTHORIZEDNOT AN ADD-ON</v>
      </c>
    </row>
    <row r="362" spans="1:22" ht="15" thickBot="1">
      <c r="A362" s="10" t="s">
        <v>21</v>
      </c>
      <c r="B362" s="10" t="s">
        <v>22</v>
      </c>
      <c r="C362" s="10" t="s">
        <v>338</v>
      </c>
      <c r="D362" s="10" t="s">
        <v>141</v>
      </c>
      <c r="E362" s="10" t="s">
        <v>142</v>
      </c>
      <c r="F362" s="10" t="s">
        <v>339</v>
      </c>
      <c r="G362" s="11">
        <v>11900</v>
      </c>
      <c r="H362" s="163" t="s">
        <v>364</v>
      </c>
      <c r="I362" s="158" t="s">
        <v>365</v>
      </c>
      <c r="J362" s="163" t="s">
        <v>364</v>
      </c>
      <c r="K362" s="10" t="s">
        <v>40</v>
      </c>
      <c r="L362" s="10">
        <v>0</v>
      </c>
      <c r="M362" s="10">
        <f t="shared" si="21"/>
        <v>0</v>
      </c>
      <c r="N362" s="10">
        <v>10</v>
      </c>
      <c r="O362" s="12">
        <v>1</v>
      </c>
      <c r="P362" s="11">
        <v>11900</v>
      </c>
      <c r="Q362" s="10" t="s">
        <v>33</v>
      </c>
      <c r="R362" s="4" t="s">
        <v>1286</v>
      </c>
      <c r="S362" s="4" t="s">
        <v>507</v>
      </c>
      <c r="T362" s="4" t="s">
        <v>19</v>
      </c>
      <c r="U362" s="4" t="str">
        <f t="shared" si="24"/>
        <v>NOT AN ADD-ON</v>
      </c>
      <c r="V362" s="4" t="str">
        <f t="shared" si="22"/>
        <v>SCHEDULER PLUSADD-ONAUTHORIZEDNOT AN ADD-ON</v>
      </c>
    </row>
    <row r="363" spans="1:22" ht="15" thickBot="1">
      <c r="A363" s="10" t="s">
        <v>21</v>
      </c>
      <c r="B363" s="10" t="s">
        <v>22</v>
      </c>
      <c r="C363" s="10" t="s">
        <v>338</v>
      </c>
      <c r="D363" s="10" t="s">
        <v>141</v>
      </c>
      <c r="E363" s="10" t="s">
        <v>142</v>
      </c>
      <c r="F363" s="10" t="s">
        <v>339</v>
      </c>
      <c r="G363" s="11">
        <v>7230</v>
      </c>
      <c r="H363" s="163" t="s">
        <v>366</v>
      </c>
      <c r="I363" s="158" t="s">
        <v>367</v>
      </c>
      <c r="J363" s="163" t="s">
        <v>364</v>
      </c>
      <c r="K363" s="10" t="s">
        <v>40</v>
      </c>
      <c r="L363" s="10">
        <v>0</v>
      </c>
      <c r="M363" s="10">
        <f t="shared" si="21"/>
        <v>0</v>
      </c>
      <c r="N363" s="10">
        <v>10</v>
      </c>
      <c r="O363" s="12">
        <v>1</v>
      </c>
      <c r="P363" s="11">
        <v>11900</v>
      </c>
      <c r="Q363" s="10" t="s">
        <v>36</v>
      </c>
      <c r="R363" s="4" t="s">
        <v>1286</v>
      </c>
      <c r="S363" s="4" t="s">
        <v>507</v>
      </c>
      <c r="T363" s="4" t="s">
        <v>19</v>
      </c>
      <c r="U363" s="4" t="str">
        <f t="shared" si="24"/>
        <v>NOT AN ADD-ON</v>
      </c>
      <c r="V363" s="4" t="str">
        <f t="shared" si="22"/>
        <v>SCHEDULER PLUSADD-ONAUTHORIZEDNOT AN ADD-ON</v>
      </c>
    </row>
    <row r="364" spans="1:22" ht="27" thickBot="1">
      <c r="A364" s="10" t="s">
        <v>21</v>
      </c>
      <c r="B364" s="10" t="s">
        <v>22</v>
      </c>
      <c r="C364" s="10" t="s">
        <v>338</v>
      </c>
      <c r="D364" s="10" t="s">
        <v>141</v>
      </c>
      <c r="E364" s="10" t="s">
        <v>142</v>
      </c>
      <c r="F364" s="10" t="s">
        <v>339</v>
      </c>
      <c r="G364" s="11">
        <v>7870</v>
      </c>
      <c r="H364" s="163" t="s">
        <v>368</v>
      </c>
      <c r="I364" s="166" t="s">
        <v>369</v>
      </c>
      <c r="J364" s="163" t="s">
        <v>364</v>
      </c>
      <c r="K364" s="10" t="s">
        <v>40</v>
      </c>
      <c r="L364" s="10">
        <v>0</v>
      </c>
      <c r="M364" s="10">
        <f t="shared" si="21"/>
        <v>0</v>
      </c>
      <c r="N364" s="10">
        <v>10</v>
      </c>
      <c r="O364" s="12">
        <v>1</v>
      </c>
      <c r="P364" s="11">
        <v>11900</v>
      </c>
      <c r="Q364" s="10" t="s">
        <v>48</v>
      </c>
      <c r="R364" s="4" t="s">
        <v>1286</v>
      </c>
      <c r="S364" s="4" t="s">
        <v>507</v>
      </c>
      <c r="T364" s="4" t="s">
        <v>19</v>
      </c>
      <c r="U364" s="4" t="str">
        <f t="shared" si="24"/>
        <v>NOT AN ADD-ON</v>
      </c>
      <c r="V364" s="4" t="str">
        <f t="shared" si="22"/>
        <v>SCHEDULER PLUSADD-ONAUTHORIZEDNOT AN ADD-ON</v>
      </c>
    </row>
    <row r="365" spans="1:22" ht="15" thickBot="1">
      <c r="A365" s="10" t="s">
        <v>21</v>
      </c>
      <c r="B365" s="10" t="s">
        <v>22</v>
      </c>
      <c r="C365" s="10" t="s">
        <v>338</v>
      </c>
      <c r="D365" s="10" t="s">
        <v>141</v>
      </c>
      <c r="E365" s="10" t="s">
        <v>142</v>
      </c>
      <c r="F365" s="10" t="s">
        <v>339</v>
      </c>
      <c r="G365" s="11">
        <v>820</v>
      </c>
      <c r="H365" s="163" t="s">
        <v>964</v>
      </c>
      <c r="I365" s="158" t="s">
        <v>965</v>
      </c>
      <c r="J365" s="163" t="s">
        <v>964</v>
      </c>
      <c r="K365" s="10" t="s">
        <v>30</v>
      </c>
      <c r="L365" s="10">
        <v>0</v>
      </c>
      <c r="M365" s="10">
        <f t="shared" si="21"/>
        <v>0</v>
      </c>
      <c r="N365" s="10">
        <v>10</v>
      </c>
      <c r="O365" s="12">
        <v>3.3333333333333335</v>
      </c>
      <c r="P365" s="11">
        <v>820</v>
      </c>
      <c r="Q365" s="10" t="s">
        <v>33</v>
      </c>
      <c r="R365" s="4" t="s">
        <v>1287</v>
      </c>
      <c r="S365" s="4" t="s">
        <v>507</v>
      </c>
      <c r="T365" s="4" t="s">
        <v>19</v>
      </c>
      <c r="U365" s="4" t="str">
        <f t="shared" si="24"/>
        <v>NOT AN ADD-ON</v>
      </c>
      <c r="V365" s="4" t="str">
        <f t="shared" si="22"/>
        <v>GRAPHICAL APPOINTMENT BOOKADD-ONAUTHORIZEDNOT AN ADD-ON</v>
      </c>
    </row>
    <row r="366" spans="1:22" ht="15" thickBot="1">
      <c r="A366" s="10" t="s">
        <v>21</v>
      </c>
      <c r="B366" s="10" t="s">
        <v>22</v>
      </c>
      <c r="C366" s="10" t="s">
        <v>338</v>
      </c>
      <c r="D366" s="10" t="s">
        <v>141</v>
      </c>
      <c r="E366" s="10" t="s">
        <v>142</v>
      </c>
      <c r="F366" s="10" t="s">
        <v>339</v>
      </c>
      <c r="G366" s="11">
        <v>492</v>
      </c>
      <c r="H366" s="163" t="s">
        <v>966</v>
      </c>
      <c r="I366" s="158" t="s">
        <v>967</v>
      </c>
      <c r="J366" s="163" t="s">
        <v>964</v>
      </c>
      <c r="K366" s="10" t="s">
        <v>30</v>
      </c>
      <c r="L366" s="10">
        <v>0</v>
      </c>
      <c r="M366" s="10">
        <f t="shared" si="21"/>
        <v>0</v>
      </c>
      <c r="N366" s="10">
        <v>10</v>
      </c>
      <c r="O366" s="12">
        <v>3.3333333333333335</v>
      </c>
      <c r="P366" s="11">
        <v>820</v>
      </c>
      <c r="Q366" s="10" t="s">
        <v>36</v>
      </c>
      <c r="R366" s="4" t="s">
        <v>1287</v>
      </c>
      <c r="S366" s="4" t="s">
        <v>507</v>
      </c>
      <c r="T366" s="4" t="s">
        <v>19</v>
      </c>
      <c r="U366" s="4" t="str">
        <f t="shared" si="24"/>
        <v>NOT AN ADD-ON</v>
      </c>
      <c r="V366" s="4" t="str">
        <f t="shared" si="22"/>
        <v>GRAPHICAL APPOINTMENT BOOKADD-ONAUTHORIZEDNOT AN ADD-ON</v>
      </c>
    </row>
    <row r="367" spans="1:22" ht="15" thickBot="1">
      <c r="A367" s="10" t="s">
        <v>21</v>
      </c>
      <c r="B367" s="10" t="s">
        <v>22</v>
      </c>
      <c r="C367" s="10" t="s">
        <v>338</v>
      </c>
      <c r="D367" s="10" t="s">
        <v>141</v>
      </c>
      <c r="E367" s="10" t="s">
        <v>142</v>
      </c>
      <c r="F367" s="10" t="s">
        <v>339</v>
      </c>
      <c r="G367" s="11">
        <v>2460</v>
      </c>
      <c r="H367" s="163" t="s">
        <v>976</v>
      </c>
      <c r="I367" s="158" t="s">
        <v>977</v>
      </c>
      <c r="J367" s="163" t="s">
        <v>976</v>
      </c>
      <c r="K367" s="10" t="s">
        <v>40</v>
      </c>
      <c r="L367" s="10">
        <v>0</v>
      </c>
      <c r="M367" s="10">
        <f t="shared" si="21"/>
        <v>0</v>
      </c>
      <c r="N367" s="15">
        <v>10</v>
      </c>
      <c r="O367" s="16">
        <v>1</v>
      </c>
      <c r="P367" s="11">
        <v>2460</v>
      </c>
      <c r="Q367" s="10" t="s">
        <v>33</v>
      </c>
      <c r="R367" s="4" t="s">
        <v>1287</v>
      </c>
      <c r="S367" s="4" t="s">
        <v>507</v>
      </c>
      <c r="T367" s="4" t="s">
        <v>19</v>
      </c>
      <c r="U367" s="4" t="str">
        <f t="shared" si="24"/>
        <v>NOT AN ADD-ON</v>
      </c>
      <c r="V367" s="4" t="str">
        <f t="shared" si="22"/>
        <v>GRAPHICAL APPOINTMENT BOOKADD-ONAUTHORIZEDNOT AN ADD-ON</v>
      </c>
    </row>
    <row r="368" spans="1:22" ht="29.25" customHeight="1" thickBot="1">
      <c r="A368" s="10" t="s">
        <v>21</v>
      </c>
      <c r="B368" s="10" t="s">
        <v>22</v>
      </c>
      <c r="C368" s="10" t="s">
        <v>338</v>
      </c>
      <c r="D368" s="10" t="s">
        <v>141</v>
      </c>
      <c r="E368" s="10" t="s">
        <v>142</v>
      </c>
      <c r="F368" s="10" t="s">
        <v>339</v>
      </c>
      <c r="G368" s="11">
        <v>1470</v>
      </c>
      <c r="H368" s="163" t="s">
        <v>978</v>
      </c>
      <c r="I368" s="158" t="s">
        <v>979</v>
      </c>
      <c r="J368" s="163" t="s">
        <v>976</v>
      </c>
      <c r="K368" s="10" t="s">
        <v>40</v>
      </c>
      <c r="L368" s="10">
        <v>0</v>
      </c>
      <c r="M368" s="10">
        <f t="shared" si="21"/>
        <v>0</v>
      </c>
      <c r="N368" s="15">
        <v>10</v>
      </c>
      <c r="O368" s="16">
        <v>1</v>
      </c>
      <c r="P368" s="11">
        <v>2460</v>
      </c>
      <c r="Q368" s="10" t="s">
        <v>36</v>
      </c>
      <c r="R368" s="4" t="s">
        <v>1287</v>
      </c>
      <c r="S368" s="4" t="s">
        <v>507</v>
      </c>
      <c r="T368" s="4" t="s">
        <v>19</v>
      </c>
      <c r="U368" s="4" t="str">
        <f t="shared" si="24"/>
        <v>NOT AN ADD-ON</v>
      </c>
      <c r="V368" s="4" t="str">
        <f t="shared" si="22"/>
        <v>GRAPHICAL APPOINTMENT BOOKADD-ONAUTHORIZEDNOT AN ADD-ON</v>
      </c>
    </row>
    <row r="369" spans="1:22" ht="15" thickBot="1">
      <c r="A369" s="10" t="s">
        <v>21</v>
      </c>
      <c r="B369" s="10" t="s">
        <v>22</v>
      </c>
      <c r="C369" s="10" t="s">
        <v>338</v>
      </c>
      <c r="D369" s="10" t="s">
        <v>141</v>
      </c>
      <c r="E369" s="10" t="s">
        <v>142</v>
      </c>
      <c r="F369" s="10" t="s">
        <v>339</v>
      </c>
      <c r="G369" s="11">
        <v>820</v>
      </c>
      <c r="H369" s="163" t="s">
        <v>970</v>
      </c>
      <c r="I369" s="166" t="s">
        <v>971</v>
      </c>
      <c r="J369" s="163" t="s">
        <v>970</v>
      </c>
      <c r="K369" s="10" t="s">
        <v>30</v>
      </c>
      <c r="L369" s="10">
        <v>0</v>
      </c>
      <c r="M369" s="10">
        <f t="shared" si="21"/>
        <v>0</v>
      </c>
      <c r="N369" s="10">
        <v>10</v>
      </c>
      <c r="O369" s="12">
        <v>3.3333333333333335</v>
      </c>
      <c r="P369" s="11">
        <v>820</v>
      </c>
      <c r="Q369" s="10" t="s">
        <v>33</v>
      </c>
      <c r="R369" s="4" t="s">
        <v>1287</v>
      </c>
      <c r="S369" s="4" t="s">
        <v>507</v>
      </c>
      <c r="T369" s="4" t="s">
        <v>19</v>
      </c>
      <c r="U369" s="4" t="str">
        <f t="shared" si="24"/>
        <v>NOT AN ADD-ON</v>
      </c>
      <c r="V369" s="4" t="str">
        <f t="shared" si="22"/>
        <v>GRAPHICAL APPOINTMENT BOOKADD-ONAUTHORIZEDNOT AN ADD-ON</v>
      </c>
    </row>
    <row r="370" spans="1:22" ht="15" thickBot="1">
      <c r="A370" s="10" t="s">
        <v>21</v>
      </c>
      <c r="B370" s="10" t="s">
        <v>22</v>
      </c>
      <c r="C370" s="10" t="s">
        <v>338</v>
      </c>
      <c r="D370" s="10" t="s">
        <v>141</v>
      </c>
      <c r="E370" s="10" t="s">
        <v>142</v>
      </c>
      <c r="F370" s="10" t="s">
        <v>339</v>
      </c>
      <c r="G370" s="11">
        <v>492</v>
      </c>
      <c r="H370" s="163" t="s">
        <v>972</v>
      </c>
      <c r="I370" s="166" t="s">
        <v>973</v>
      </c>
      <c r="J370" s="163" t="s">
        <v>970</v>
      </c>
      <c r="K370" s="10" t="s">
        <v>30</v>
      </c>
      <c r="L370" s="10">
        <v>0</v>
      </c>
      <c r="M370" s="10">
        <f t="shared" si="21"/>
        <v>0</v>
      </c>
      <c r="N370" s="10">
        <v>10</v>
      </c>
      <c r="O370" s="12">
        <v>3.3333333333333335</v>
      </c>
      <c r="P370" s="11">
        <v>820</v>
      </c>
      <c r="Q370" s="10" t="s">
        <v>36</v>
      </c>
      <c r="R370" s="4" t="s">
        <v>1287</v>
      </c>
      <c r="S370" s="4" t="s">
        <v>507</v>
      </c>
      <c r="T370" s="4" t="s">
        <v>19</v>
      </c>
      <c r="U370" s="4" t="str">
        <f t="shared" si="24"/>
        <v>NOT AN ADD-ON</v>
      </c>
      <c r="V370" s="4" t="str">
        <f t="shared" si="22"/>
        <v>GRAPHICAL APPOINTMENT BOOKADD-ONAUTHORIZEDNOT AN ADD-ON</v>
      </c>
    </row>
    <row r="371" spans="1:22" ht="15" thickBot="1">
      <c r="A371" s="10" t="s">
        <v>21</v>
      </c>
      <c r="B371" s="10" t="s">
        <v>22</v>
      </c>
      <c r="C371" s="10" t="s">
        <v>338</v>
      </c>
      <c r="D371" s="10" t="s">
        <v>141</v>
      </c>
      <c r="E371" s="10" t="s">
        <v>142</v>
      </c>
      <c r="F371" s="10" t="s">
        <v>339</v>
      </c>
      <c r="G371" s="11">
        <v>2460</v>
      </c>
      <c r="H371" s="163" t="s">
        <v>982</v>
      </c>
      <c r="I371" s="166" t="s">
        <v>983</v>
      </c>
      <c r="J371" s="163" t="s">
        <v>982</v>
      </c>
      <c r="K371" s="10" t="s">
        <v>40</v>
      </c>
      <c r="L371" s="10">
        <v>0</v>
      </c>
      <c r="M371" s="10">
        <f t="shared" si="21"/>
        <v>0</v>
      </c>
      <c r="N371" s="15">
        <v>10</v>
      </c>
      <c r="O371" s="16">
        <v>1</v>
      </c>
      <c r="P371" s="11">
        <v>2460</v>
      </c>
      <c r="Q371" s="10" t="s">
        <v>33</v>
      </c>
      <c r="R371" s="4" t="s">
        <v>1287</v>
      </c>
      <c r="S371" s="4" t="s">
        <v>507</v>
      </c>
      <c r="T371" s="4" t="s">
        <v>19</v>
      </c>
      <c r="U371" s="4" t="str">
        <f t="shared" si="24"/>
        <v>NOT AN ADD-ON</v>
      </c>
      <c r="V371" s="4" t="str">
        <f t="shared" si="22"/>
        <v>GRAPHICAL APPOINTMENT BOOKADD-ONAUTHORIZEDNOT AN ADD-ON</v>
      </c>
    </row>
    <row r="372" spans="1:22" ht="15" thickBot="1">
      <c r="A372" s="10" t="s">
        <v>21</v>
      </c>
      <c r="B372" s="10" t="s">
        <v>22</v>
      </c>
      <c r="C372" s="10" t="s">
        <v>338</v>
      </c>
      <c r="D372" s="10" t="s">
        <v>141</v>
      </c>
      <c r="E372" s="10" t="s">
        <v>142</v>
      </c>
      <c r="F372" s="10" t="s">
        <v>339</v>
      </c>
      <c r="G372" s="11">
        <v>1470</v>
      </c>
      <c r="H372" s="163" t="s">
        <v>984</v>
      </c>
      <c r="I372" s="166" t="s">
        <v>985</v>
      </c>
      <c r="J372" s="163" t="s">
        <v>982</v>
      </c>
      <c r="K372" s="10" t="s">
        <v>40</v>
      </c>
      <c r="L372" s="10">
        <v>0</v>
      </c>
      <c r="M372" s="10">
        <f t="shared" si="21"/>
        <v>0</v>
      </c>
      <c r="N372" s="15">
        <v>10</v>
      </c>
      <c r="O372" s="16">
        <v>1</v>
      </c>
      <c r="P372" s="11">
        <v>2460</v>
      </c>
      <c r="Q372" s="10" t="s">
        <v>36</v>
      </c>
      <c r="R372" s="4" t="s">
        <v>1287</v>
      </c>
      <c r="S372" s="4" t="s">
        <v>507</v>
      </c>
      <c r="T372" s="4" t="s">
        <v>19</v>
      </c>
      <c r="U372" s="4" t="str">
        <f t="shared" si="24"/>
        <v>NOT AN ADD-ON</v>
      </c>
      <c r="V372" s="4" t="str">
        <f t="shared" si="22"/>
        <v>GRAPHICAL APPOINTMENT BOOKADD-ONAUTHORIZEDNOT AN ADD-ON</v>
      </c>
    </row>
    <row r="373" spans="1:22" ht="15" thickBot="1">
      <c r="A373" s="10" t="s">
        <v>1448</v>
      </c>
      <c r="B373" s="10" t="s">
        <v>1448</v>
      </c>
      <c r="C373" s="10" t="s">
        <v>1449</v>
      </c>
      <c r="D373" s="10"/>
      <c r="E373" s="10" t="s">
        <v>1445</v>
      </c>
      <c r="F373" s="10" t="s">
        <v>1443</v>
      </c>
      <c r="G373" s="155">
        <v>500000</v>
      </c>
      <c r="H373" s="163" t="s">
        <v>1444</v>
      </c>
      <c r="I373" s="158" t="s">
        <v>1464</v>
      </c>
      <c r="J373" s="163" t="s">
        <v>1444</v>
      </c>
      <c r="K373" s="10" t="s">
        <v>1446</v>
      </c>
      <c r="L373" s="10">
        <v>175</v>
      </c>
      <c r="M373" s="10">
        <v>1</v>
      </c>
      <c r="N373" s="10">
        <v>175</v>
      </c>
      <c r="O373" s="12">
        <v>1</v>
      </c>
      <c r="P373" s="155">
        <v>500000</v>
      </c>
      <c r="Q373" s="10" t="s">
        <v>33</v>
      </c>
      <c r="R373" s="4" t="s">
        <v>1447</v>
      </c>
      <c r="S373" s="4" t="s">
        <v>1447</v>
      </c>
      <c r="T373" s="4" t="s">
        <v>1446</v>
      </c>
      <c r="U373" s="4" t="str">
        <f t="shared" si="24"/>
        <v>NOT AN ADD-ON</v>
      </c>
      <c r="V373" s="4" t="str">
        <f t="shared" si="22"/>
        <v>Visual InspectionsVisual Inspectionsper vServerNOT AN ADD-ON</v>
      </c>
    </row>
    <row r="374" spans="1:22" ht="15" thickBot="1">
      <c r="A374" s="10" t="s">
        <v>21</v>
      </c>
      <c r="B374" s="10" t="s">
        <v>22</v>
      </c>
      <c r="C374" s="10" t="s">
        <v>428</v>
      </c>
      <c r="D374" s="10" t="s">
        <v>418</v>
      </c>
      <c r="E374" s="10" t="s">
        <v>419</v>
      </c>
      <c r="F374" s="10" t="s">
        <v>420</v>
      </c>
      <c r="G374" s="11">
        <v>161000</v>
      </c>
      <c r="H374" s="163" t="s">
        <v>431</v>
      </c>
      <c r="I374" s="158" t="s">
        <v>432</v>
      </c>
      <c r="J374" s="163" t="s">
        <v>431</v>
      </c>
      <c r="K374" s="10" t="s">
        <v>424</v>
      </c>
      <c r="L374" s="10">
        <v>80</v>
      </c>
      <c r="M374" s="10">
        <f t="shared" ref="M374:M405" si="25">ROUND(IF(K374="Authorized User",L374/3,L374),2)</f>
        <v>80</v>
      </c>
      <c r="N374" s="10">
        <v>80</v>
      </c>
      <c r="O374" s="12">
        <v>1</v>
      </c>
      <c r="P374" s="11">
        <v>161000</v>
      </c>
      <c r="Q374" s="10" t="s">
        <v>33</v>
      </c>
      <c r="R374" s="4" t="s">
        <v>1296</v>
      </c>
      <c r="S374" s="4" t="s">
        <v>1295</v>
      </c>
      <c r="T374" s="4" t="s">
        <v>1295</v>
      </c>
      <c r="U374" s="4" t="str">
        <f t="shared" si="24"/>
        <v>NOT AN ADD-ON</v>
      </c>
      <c r="V374" s="4" t="str">
        <f t="shared" si="22"/>
        <v>ADAPTER FOR ORACLEADAPTERADAPTERNOT AN ADD-ON</v>
      </c>
    </row>
    <row r="375" spans="1:22" ht="15" thickBot="1">
      <c r="A375" s="10" t="s">
        <v>21</v>
      </c>
      <c r="B375" s="10" t="s">
        <v>22</v>
      </c>
      <c r="C375" s="10" t="s">
        <v>428</v>
      </c>
      <c r="D375" s="10" t="s">
        <v>418</v>
      </c>
      <c r="E375" s="10" t="s">
        <v>419</v>
      </c>
      <c r="F375" s="10" t="s">
        <v>420</v>
      </c>
      <c r="G375" s="11">
        <v>96300</v>
      </c>
      <c r="H375" s="163" t="s">
        <v>433</v>
      </c>
      <c r="I375" s="158" t="s">
        <v>434</v>
      </c>
      <c r="J375" s="163" t="s">
        <v>431</v>
      </c>
      <c r="K375" s="10" t="s">
        <v>424</v>
      </c>
      <c r="L375" s="10">
        <v>80</v>
      </c>
      <c r="M375" s="10">
        <f t="shared" si="25"/>
        <v>80</v>
      </c>
      <c r="N375" s="10">
        <v>80</v>
      </c>
      <c r="O375" s="12">
        <v>1</v>
      </c>
      <c r="P375" s="11">
        <v>161000</v>
      </c>
      <c r="Q375" s="10" t="s">
        <v>36</v>
      </c>
      <c r="R375" s="4" t="s">
        <v>1296</v>
      </c>
      <c r="S375" s="4" t="s">
        <v>1295</v>
      </c>
      <c r="T375" s="4" t="s">
        <v>1295</v>
      </c>
      <c r="U375" s="4" t="str">
        <f t="shared" si="24"/>
        <v>NOT AN ADD-ON</v>
      </c>
      <c r="V375" s="4" t="str">
        <f t="shared" si="22"/>
        <v>ADAPTER FOR ORACLEADAPTERADAPTERNOT AN ADD-ON</v>
      </c>
    </row>
    <row r="376" spans="1:22" ht="15" thickBot="1">
      <c r="A376" s="10" t="s">
        <v>21</v>
      </c>
      <c r="B376" s="10" t="s">
        <v>22</v>
      </c>
      <c r="C376" s="10" t="s">
        <v>428</v>
      </c>
      <c r="D376" s="10" t="s">
        <v>418</v>
      </c>
      <c r="E376" s="10" t="s">
        <v>419</v>
      </c>
      <c r="F376" s="10" t="s">
        <v>420</v>
      </c>
      <c r="G376" s="11">
        <v>32100</v>
      </c>
      <c r="H376" s="163" t="s">
        <v>429</v>
      </c>
      <c r="I376" s="158" t="s">
        <v>430</v>
      </c>
      <c r="J376" s="163" t="s">
        <v>431</v>
      </c>
      <c r="K376" s="10" t="s">
        <v>424</v>
      </c>
      <c r="L376" s="10">
        <v>80</v>
      </c>
      <c r="M376" s="10">
        <f t="shared" si="25"/>
        <v>80</v>
      </c>
      <c r="N376" s="10">
        <v>80</v>
      </c>
      <c r="O376" s="12">
        <v>1</v>
      </c>
      <c r="P376" s="11">
        <v>161000</v>
      </c>
      <c r="Q376" s="10" t="s">
        <v>31</v>
      </c>
      <c r="R376" s="4" t="s">
        <v>1296</v>
      </c>
      <c r="S376" s="4" t="s">
        <v>1295</v>
      </c>
      <c r="T376" s="4" t="s">
        <v>1295</v>
      </c>
      <c r="U376" s="4" t="str">
        <f t="shared" si="24"/>
        <v>NOT AN ADD-ON</v>
      </c>
      <c r="V376" s="4" t="str">
        <f t="shared" si="22"/>
        <v>ADAPTER FOR ORACLEADAPTERADAPTERNOT AN ADD-ON</v>
      </c>
    </row>
    <row r="377" spans="1:22" ht="15" thickBot="1">
      <c r="A377" s="10" t="s">
        <v>21</v>
      </c>
      <c r="B377" s="10" t="s">
        <v>22</v>
      </c>
      <c r="C377" s="10" t="s">
        <v>94</v>
      </c>
      <c r="D377" s="10" t="s">
        <v>95</v>
      </c>
      <c r="E377" s="10" t="s">
        <v>96</v>
      </c>
      <c r="F377" s="10" t="s">
        <v>97</v>
      </c>
      <c r="G377" s="11">
        <v>1790</v>
      </c>
      <c r="H377" s="163" t="s">
        <v>98</v>
      </c>
      <c r="I377" s="158" t="s">
        <v>99</v>
      </c>
      <c r="J377" s="163" t="s">
        <v>100</v>
      </c>
      <c r="K377" s="10" t="s">
        <v>101</v>
      </c>
      <c r="L377" s="10" t="s">
        <v>102</v>
      </c>
      <c r="M377" s="10" t="e">
        <f t="shared" si="25"/>
        <v>#VALUE!</v>
      </c>
      <c r="N377" s="10">
        <v>15</v>
      </c>
      <c r="O377" s="12">
        <v>5</v>
      </c>
      <c r="P377" s="11">
        <v>8980</v>
      </c>
      <c r="Q377" s="10" t="s">
        <v>31</v>
      </c>
      <c r="R377" s="4" t="s">
        <v>1294</v>
      </c>
      <c r="S377" s="4" t="s">
        <v>1379</v>
      </c>
      <c r="T377" s="4" t="s">
        <v>1380</v>
      </c>
      <c r="U377" s="4" t="str">
        <f t="shared" si="24"/>
        <v>NOT AN ADD-ON</v>
      </c>
      <c r="V377" s="4" t="str">
        <f t="shared" si="22"/>
        <v>ASSET CONFIGURATION MANAGERACMASSETNOT AN ADD-ON</v>
      </c>
    </row>
    <row r="378" spans="1:22" ht="15" thickBot="1">
      <c r="A378" s="10" t="s">
        <v>21</v>
      </c>
      <c r="B378" s="10" t="s">
        <v>22</v>
      </c>
      <c r="C378" s="10" t="s">
        <v>94</v>
      </c>
      <c r="D378" s="10" t="s">
        <v>95</v>
      </c>
      <c r="E378" s="10" t="s">
        <v>96</v>
      </c>
      <c r="F378" s="10" t="s">
        <v>97</v>
      </c>
      <c r="G378" s="11">
        <v>1140</v>
      </c>
      <c r="H378" s="163" t="s">
        <v>106</v>
      </c>
      <c r="I378" s="158" t="s">
        <v>107</v>
      </c>
      <c r="J378" s="163" t="s">
        <v>108</v>
      </c>
      <c r="K378" s="10" t="s">
        <v>30</v>
      </c>
      <c r="L378" s="10">
        <v>15</v>
      </c>
      <c r="M378" s="10">
        <f t="shared" si="25"/>
        <v>5</v>
      </c>
      <c r="N378" s="10">
        <v>15</v>
      </c>
      <c r="O378" s="12">
        <v>5</v>
      </c>
      <c r="P378" s="11">
        <v>5740</v>
      </c>
      <c r="Q378" s="10" t="s">
        <v>31</v>
      </c>
      <c r="R378" s="4" t="s">
        <v>1294</v>
      </c>
      <c r="S378" s="4" t="s">
        <v>1379</v>
      </c>
      <c r="T378" s="4" t="s">
        <v>19</v>
      </c>
      <c r="U378" s="4" t="str">
        <f t="shared" si="24"/>
        <v>NOT AN ADD-ON</v>
      </c>
      <c r="V378" s="4" t="str">
        <f t="shared" si="22"/>
        <v>ASSET CONFIGURATION MANAGERACMAUTHORIZEDNOT AN ADD-ON</v>
      </c>
    </row>
    <row r="379" spans="1:22" ht="15" thickBot="1">
      <c r="A379" s="10" t="s">
        <v>21</v>
      </c>
      <c r="B379" s="10" t="s">
        <v>22</v>
      </c>
      <c r="C379" s="10" t="s">
        <v>385</v>
      </c>
      <c r="D379" s="10" t="s">
        <v>386</v>
      </c>
      <c r="E379" s="10" t="s">
        <v>387</v>
      </c>
      <c r="F379" s="10" t="s">
        <v>388</v>
      </c>
      <c r="G379" s="11">
        <v>116</v>
      </c>
      <c r="H379" s="163" t="s">
        <v>389</v>
      </c>
      <c r="I379" s="158" t="s">
        <v>390</v>
      </c>
      <c r="J379" s="163" t="s">
        <v>391</v>
      </c>
      <c r="K379" s="10" t="s">
        <v>30</v>
      </c>
      <c r="L379" s="10">
        <v>0</v>
      </c>
      <c r="M379" s="10">
        <f t="shared" si="25"/>
        <v>0</v>
      </c>
      <c r="N379" s="10">
        <v>5</v>
      </c>
      <c r="O379" s="12">
        <v>1.6666666666666667</v>
      </c>
      <c r="P379" s="11">
        <v>584</v>
      </c>
      <c r="Q379" s="10" t="s">
        <v>31</v>
      </c>
      <c r="R379" s="4" t="s">
        <v>1288</v>
      </c>
      <c r="S379" s="4" t="s">
        <v>507</v>
      </c>
      <c r="T379" s="4" t="s">
        <v>19</v>
      </c>
      <c r="U379" s="4" t="str">
        <f t="shared" si="24"/>
        <v>NOT AN ADD-ON</v>
      </c>
      <c r="V379" s="4" t="str">
        <f t="shared" si="22"/>
        <v>CALIBRATIONADD-ONAUTHORIZEDNOT AN ADD-ON</v>
      </c>
    </row>
    <row r="380" spans="1:22" ht="29.25" customHeight="1" thickBot="1">
      <c r="A380" s="10" t="s">
        <v>21</v>
      </c>
      <c r="B380" s="10" t="s">
        <v>22</v>
      </c>
      <c r="C380" s="10" t="s">
        <v>1015</v>
      </c>
      <c r="D380" s="10" t="s">
        <v>141</v>
      </c>
      <c r="E380" s="10" t="s">
        <v>142</v>
      </c>
      <c r="F380" s="10" t="s">
        <v>143</v>
      </c>
      <c r="G380" s="11">
        <v>142</v>
      </c>
      <c r="H380" s="163" t="s">
        <v>1016</v>
      </c>
      <c r="I380" s="158" t="s">
        <v>1017</v>
      </c>
      <c r="J380" s="163" t="s">
        <v>1018</v>
      </c>
      <c r="K380" s="10" t="s">
        <v>30</v>
      </c>
      <c r="L380" s="10">
        <v>0</v>
      </c>
      <c r="M380" s="10">
        <f t="shared" si="25"/>
        <v>0</v>
      </c>
      <c r="N380" s="10">
        <v>5</v>
      </c>
      <c r="O380" s="12">
        <v>1.6666666666666667</v>
      </c>
      <c r="P380" s="11">
        <v>712</v>
      </c>
      <c r="Q380" s="10" t="s">
        <v>31</v>
      </c>
      <c r="R380" s="4" t="s">
        <v>1290</v>
      </c>
      <c r="S380" s="4" t="s">
        <v>507</v>
      </c>
      <c r="T380" s="4" t="s">
        <v>19</v>
      </c>
      <c r="U380" s="4" t="str">
        <f t="shared" si="24"/>
        <v>NOT AN ADD-ON</v>
      </c>
      <c r="V380" s="4" t="str">
        <f t="shared" si="22"/>
        <v>LINEARADD-ONAUTHORIZEDNOT AN ADD-ON</v>
      </c>
    </row>
    <row r="381" spans="1:22" ht="15" thickBot="1">
      <c r="A381" s="10" t="s">
        <v>21</v>
      </c>
      <c r="B381" s="10" t="s">
        <v>22</v>
      </c>
      <c r="C381" s="10" t="s">
        <v>435</v>
      </c>
      <c r="D381" s="10" t="s">
        <v>418</v>
      </c>
      <c r="E381" s="10" t="s">
        <v>419</v>
      </c>
      <c r="F381" s="10" t="s">
        <v>420</v>
      </c>
      <c r="G381" s="11">
        <v>32100</v>
      </c>
      <c r="H381" s="163" t="s">
        <v>442</v>
      </c>
      <c r="I381" s="158" t="s">
        <v>443</v>
      </c>
      <c r="J381" s="163" t="s">
        <v>444</v>
      </c>
      <c r="K381" s="10" t="s">
        <v>424</v>
      </c>
      <c r="L381" s="10">
        <v>80</v>
      </c>
      <c r="M381" s="10">
        <f t="shared" si="25"/>
        <v>80</v>
      </c>
      <c r="N381" s="10">
        <v>80</v>
      </c>
      <c r="O381" s="12">
        <v>1</v>
      </c>
      <c r="P381" s="11">
        <v>161000</v>
      </c>
      <c r="Q381" s="10" t="s">
        <v>31</v>
      </c>
      <c r="R381" s="4" t="s">
        <v>1297</v>
      </c>
      <c r="S381" s="4" t="s">
        <v>1295</v>
      </c>
      <c r="T381" s="4" t="s">
        <v>1295</v>
      </c>
      <c r="U381" s="4" t="str">
        <f t="shared" si="24"/>
        <v>NOT AN ADD-ON</v>
      </c>
      <c r="V381" s="4" t="str">
        <f t="shared" si="22"/>
        <v>ADAPTER FOR SAPADAPTERADAPTERNOT AN ADD-ON</v>
      </c>
    </row>
    <row r="382" spans="1:22" ht="15" thickBot="1">
      <c r="A382" s="10" t="s">
        <v>21</v>
      </c>
      <c r="B382" s="10" t="s">
        <v>22</v>
      </c>
      <c r="C382" s="10" t="s">
        <v>230</v>
      </c>
      <c r="D382" s="10" t="s">
        <v>141</v>
      </c>
      <c r="E382" s="10" t="s">
        <v>142</v>
      </c>
      <c r="F382" s="10" t="s">
        <v>143</v>
      </c>
      <c r="G382" s="11">
        <v>356</v>
      </c>
      <c r="H382" s="163" t="s">
        <v>289</v>
      </c>
      <c r="I382" s="158" t="s">
        <v>290</v>
      </c>
      <c r="J382" s="163" t="s">
        <v>291</v>
      </c>
      <c r="K382" s="10" t="s">
        <v>30</v>
      </c>
      <c r="L382" s="10">
        <v>0</v>
      </c>
      <c r="M382" s="10">
        <f t="shared" si="25"/>
        <v>0</v>
      </c>
      <c r="N382" s="10">
        <v>5</v>
      </c>
      <c r="O382" s="12">
        <v>1.6666666666666667</v>
      </c>
      <c r="P382" s="11">
        <v>1780</v>
      </c>
      <c r="Q382" s="10" t="s">
        <v>31</v>
      </c>
      <c r="R382" s="4" t="s">
        <v>234</v>
      </c>
      <c r="S382" s="4" t="s">
        <v>235</v>
      </c>
      <c r="T382" s="4" t="s">
        <v>672</v>
      </c>
      <c r="U382" s="4" t="str">
        <f t="shared" si="24"/>
        <v>NOT AN ADD-ON</v>
      </c>
      <c r="V382" s="4" t="str">
        <f t="shared" si="22"/>
        <v>MANAGED SERVICE PROVIDERSMSPLIMITEDNOT AN ADD-ON</v>
      </c>
    </row>
    <row r="383" spans="1:22" ht="15" thickBot="1">
      <c r="A383" s="10" t="s">
        <v>21</v>
      </c>
      <c r="B383" s="10" t="s">
        <v>22</v>
      </c>
      <c r="C383" s="10" t="s">
        <v>230</v>
      </c>
      <c r="D383" s="10" t="s">
        <v>141</v>
      </c>
      <c r="E383" s="10" t="s">
        <v>142</v>
      </c>
      <c r="F383" s="10" t="s">
        <v>143</v>
      </c>
      <c r="G383" s="11">
        <v>715</v>
      </c>
      <c r="H383" s="163" t="s">
        <v>277</v>
      </c>
      <c r="I383" s="158" t="s">
        <v>278</v>
      </c>
      <c r="J383" s="163" t="s">
        <v>279</v>
      </c>
      <c r="K383" s="10" t="s">
        <v>30</v>
      </c>
      <c r="L383" s="10">
        <v>5</v>
      </c>
      <c r="M383" s="10">
        <f t="shared" si="25"/>
        <v>1.67</v>
      </c>
      <c r="N383" s="10">
        <v>15</v>
      </c>
      <c r="O383" s="12">
        <v>5</v>
      </c>
      <c r="P383" s="11">
        <v>3570</v>
      </c>
      <c r="Q383" s="10" t="s">
        <v>31</v>
      </c>
      <c r="R383" s="4" t="s">
        <v>234</v>
      </c>
      <c r="S383" s="4" t="s">
        <v>235</v>
      </c>
      <c r="T383" s="4" t="s">
        <v>19</v>
      </c>
      <c r="U383" s="4" t="str">
        <f t="shared" ref="U383:U400" si="26">IF(ISNUMBER(SEARCH("ADD-ON",$I383)),"ADD-ON","NOT AN ADD-ON")</f>
        <v>NOT AN ADD-ON</v>
      </c>
      <c r="V383" s="4" t="str">
        <f t="shared" si="22"/>
        <v>MANAGED SERVICE PROVIDERSMSPAUTHORIZEDNOT AN ADD-ON</v>
      </c>
    </row>
    <row r="384" spans="1:22" ht="15" thickBot="1">
      <c r="A384" s="10" t="s">
        <v>21</v>
      </c>
      <c r="B384" s="10" t="s">
        <v>22</v>
      </c>
      <c r="C384" s="10" t="s">
        <v>204</v>
      </c>
      <c r="D384" s="10" t="s">
        <v>141</v>
      </c>
      <c r="E384" s="10" t="s">
        <v>142</v>
      </c>
      <c r="F384" s="10" t="s">
        <v>143</v>
      </c>
      <c r="G384" s="11">
        <v>214</v>
      </c>
      <c r="H384" s="163" t="s">
        <v>249</v>
      </c>
      <c r="I384" s="158" t="s">
        <v>250</v>
      </c>
      <c r="J384" s="163" t="s">
        <v>251</v>
      </c>
      <c r="K384" s="10" t="s">
        <v>30</v>
      </c>
      <c r="L384" s="10">
        <v>5</v>
      </c>
      <c r="M384" s="10">
        <f t="shared" si="25"/>
        <v>1.67</v>
      </c>
      <c r="N384" s="10">
        <v>15</v>
      </c>
      <c r="O384" s="12">
        <v>5</v>
      </c>
      <c r="P384" s="11">
        <v>1070</v>
      </c>
      <c r="Q384" s="10" t="s">
        <v>31</v>
      </c>
      <c r="R384" s="4" t="s">
        <v>208</v>
      </c>
      <c r="S384" s="4" t="s">
        <v>507</v>
      </c>
      <c r="T384" s="4" t="s">
        <v>19</v>
      </c>
      <c r="U384" s="4" t="str">
        <f t="shared" si="26"/>
        <v>NOT AN ADD-ON</v>
      </c>
      <c r="V384" s="4" t="str">
        <f t="shared" si="22"/>
        <v>INTERNAL SERVICE PROVIDERSADD-ONAUTHORIZEDNOT AN ADD-ON</v>
      </c>
    </row>
    <row r="385" spans="1:22" ht="15" thickBot="1">
      <c r="A385" s="10" t="s">
        <v>21</v>
      </c>
      <c r="B385" s="10" t="s">
        <v>22</v>
      </c>
      <c r="C385" s="10" t="s">
        <v>230</v>
      </c>
      <c r="D385" s="10" t="s">
        <v>141</v>
      </c>
      <c r="E385" s="10" t="s">
        <v>142</v>
      </c>
      <c r="F385" s="10" t="s">
        <v>143</v>
      </c>
      <c r="G385" s="11">
        <v>715</v>
      </c>
      <c r="H385" s="163" t="s">
        <v>283</v>
      </c>
      <c r="I385" s="158" t="s">
        <v>284</v>
      </c>
      <c r="J385" s="163" t="s">
        <v>285</v>
      </c>
      <c r="K385" s="10" t="s">
        <v>30</v>
      </c>
      <c r="L385" s="10">
        <v>5</v>
      </c>
      <c r="M385" s="10">
        <f t="shared" si="25"/>
        <v>1.67</v>
      </c>
      <c r="N385" s="10">
        <v>15</v>
      </c>
      <c r="O385" s="12">
        <v>5</v>
      </c>
      <c r="P385" s="11">
        <v>3570</v>
      </c>
      <c r="Q385" s="10" t="s">
        <v>31</v>
      </c>
      <c r="R385" s="4" t="s">
        <v>234</v>
      </c>
      <c r="S385" s="4" t="s">
        <v>235</v>
      </c>
      <c r="T385" s="4" t="s">
        <v>19</v>
      </c>
      <c r="U385" s="4" t="str">
        <f t="shared" si="26"/>
        <v>NOT AN ADD-ON</v>
      </c>
      <c r="V385" s="4" t="str">
        <f t="shared" si="22"/>
        <v>MANAGED SERVICE PROVIDERSMSPAUTHORIZEDNOT AN ADD-ON</v>
      </c>
    </row>
    <row r="386" spans="1:22" ht="15" thickBot="1">
      <c r="A386" s="10" t="s">
        <v>21</v>
      </c>
      <c r="B386" s="10" t="s">
        <v>22</v>
      </c>
      <c r="C386" s="10" t="s">
        <v>1015</v>
      </c>
      <c r="D386" s="10" t="s">
        <v>141</v>
      </c>
      <c r="E386" s="10" t="s">
        <v>142</v>
      </c>
      <c r="F386" s="10" t="s">
        <v>143</v>
      </c>
      <c r="G386" s="11">
        <v>142</v>
      </c>
      <c r="H386" s="163" t="s">
        <v>1038</v>
      </c>
      <c r="I386" s="158" t="s">
        <v>1039</v>
      </c>
      <c r="J386" s="163" t="s">
        <v>1040</v>
      </c>
      <c r="K386" s="10" t="s">
        <v>30</v>
      </c>
      <c r="L386" s="10">
        <v>0</v>
      </c>
      <c r="M386" s="10">
        <f t="shared" si="25"/>
        <v>0</v>
      </c>
      <c r="N386" s="10">
        <v>5</v>
      </c>
      <c r="O386" s="12">
        <v>1.6666666666666667</v>
      </c>
      <c r="P386" s="11">
        <v>712</v>
      </c>
      <c r="Q386" s="10" t="s">
        <v>31</v>
      </c>
      <c r="R386" s="4" t="s">
        <v>1290</v>
      </c>
      <c r="S386" s="4" t="s">
        <v>507</v>
      </c>
      <c r="T386" s="4" t="s">
        <v>19</v>
      </c>
      <c r="U386" s="4" t="str">
        <f t="shared" si="26"/>
        <v>NOT AN ADD-ON</v>
      </c>
      <c r="V386" s="4" t="str">
        <f t="shared" si="22"/>
        <v>LINEARADD-ONAUTHORIZEDNOT AN ADD-ON</v>
      </c>
    </row>
    <row r="387" spans="1:22" ht="15" thickBot="1">
      <c r="A387" s="10" t="s">
        <v>21</v>
      </c>
      <c r="B387" s="10" t="s">
        <v>22</v>
      </c>
      <c r="C387" s="10" t="s">
        <v>204</v>
      </c>
      <c r="D387" s="10" t="s">
        <v>141</v>
      </c>
      <c r="E387" s="10" t="s">
        <v>142</v>
      </c>
      <c r="F387" s="10" t="s">
        <v>143</v>
      </c>
      <c r="G387" s="11">
        <v>214</v>
      </c>
      <c r="H387" s="163" t="s">
        <v>255</v>
      </c>
      <c r="I387" s="158" t="s">
        <v>256</v>
      </c>
      <c r="J387" s="163" t="s">
        <v>257</v>
      </c>
      <c r="K387" s="10" t="s">
        <v>30</v>
      </c>
      <c r="L387" s="10">
        <v>5</v>
      </c>
      <c r="M387" s="10">
        <f t="shared" si="25"/>
        <v>1.67</v>
      </c>
      <c r="N387" s="10">
        <v>15</v>
      </c>
      <c r="O387" s="12">
        <v>5</v>
      </c>
      <c r="P387" s="11">
        <v>1070</v>
      </c>
      <c r="Q387" s="10" t="s">
        <v>31</v>
      </c>
      <c r="R387" s="4" t="s">
        <v>208</v>
      </c>
      <c r="S387" s="4" t="s">
        <v>507</v>
      </c>
      <c r="T387" s="4" t="s">
        <v>19</v>
      </c>
      <c r="U387" s="4" t="str">
        <f t="shared" si="26"/>
        <v>NOT AN ADD-ON</v>
      </c>
      <c r="V387" s="4" t="str">
        <f t="shared" ref="V387:V450" si="27">CONCATENATE(R387,S387,T387,U387)</f>
        <v>INTERNAL SERVICE PROVIDERSADD-ONAUTHORIZEDNOT AN ADD-ON</v>
      </c>
    </row>
    <row r="388" spans="1:22" ht="15" thickBot="1">
      <c r="A388" s="10" t="s">
        <v>21</v>
      </c>
      <c r="B388" s="10" t="s">
        <v>22</v>
      </c>
      <c r="C388" s="10" t="s">
        <v>230</v>
      </c>
      <c r="D388" s="10" t="s">
        <v>141</v>
      </c>
      <c r="E388" s="10" t="s">
        <v>142</v>
      </c>
      <c r="F388" s="10" t="s">
        <v>143</v>
      </c>
      <c r="G388" s="11">
        <v>356</v>
      </c>
      <c r="H388" s="163" t="s">
        <v>295</v>
      </c>
      <c r="I388" s="166" t="s">
        <v>296</v>
      </c>
      <c r="J388" s="163" t="s">
        <v>297</v>
      </c>
      <c r="K388" s="10" t="s">
        <v>30</v>
      </c>
      <c r="L388" s="10">
        <v>0</v>
      </c>
      <c r="M388" s="10">
        <f t="shared" si="25"/>
        <v>0</v>
      </c>
      <c r="N388" s="10">
        <v>5</v>
      </c>
      <c r="O388" s="12">
        <v>1.6666666666666667</v>
      </c>
      <c r="P388" s="11">
        <v>1780</v>
      </c>
      <c r="Q388" s="10" t="s">
        <v>31</v>
      </c>
      <c r="R388" s="4" t="s">
        <v>234</v>
      </c>
      <c r="S388" s="4" t="s">
        <v>235</v>
      </c>
      <c r="T388" s="4" t="s">
        <v>672</v>
      </c>
      <c r="U388" s="4" t="str">
        <f t="shared" si="26"/>
        <v>NOT AN ADD-ON</v>
      </c>
      <c r="V388" s="4" t="str">
        <f t="shared" si="27"/>
        <v>MANAGED SERVICE PROVIDERSMSPLIMITEDNOT AN ADD-ON</v>
      </c>
    </row>
    <row r="389" spans="1:22" ht="15" thickBot="1">
      <c r="A389" s="10" t="s">
        <v>21</v>
      </c>
      <c r="B389" s="10" t="s">
        <v>22</v>
      </c>
      <c r="C389" s="10" t="s">
        <v>94</v>
      </c>
      <c r="D389" s="10" t="s">
        <v>95</v>
      </c>
      <c r="E389" s="10" t="s">
        <v>96</v>
      </c>
      <c r="F389" s="10" t="s">
        <v>97</v>
      </c>
      <c r="G389" s="11">
        <v>1790</v>
      </c>
      <c r="H389" s="163" t="s">
        <v>128</v>
      </c>
      <c r="I389" s="158" t="s">
        <v>129</v>
      </c>
      <c r="J389" s="163" t="s">
        <v>130</v>
      </c>
      <c r="K389" s="10" t="s">
        <v>101</v>
      </c>
      <c r="L389" s="10" t="s">
        <v>102</v>
      </c>
      <c r="M389" s="10" t="e">
        <f t="shared" si="25"/>
        <v>#VALUE!</v>
      </c>
      <c r="N389" s="10">
        <v>15</v>
      </c>
      <c r="O389" s="12">
        <v>5</v>
      </c>
      <c r="P389" s="11">
        <v>8980</v>
      </c>
      <c r="Q389" s="10" t="s">
        <v>31</v>
      </c>
      <c r="R389" s="4" t="s">
        <v>1294</v>
      </c>
      <c r="S389" s="4" t="s">
        <v>1379</v>
      </c>
      <c r="T389" s="4" t="s">
        <v>1380</v>
      </c>
      <c r="U389" s="4" t="str">
        <f t="shared" si="26"/>
        <v>NOT AN ADD-ON</v>
      </c>
      <c r="V389" s="4" t="str">
        <f t="shared" si="27"/>
        <v>ASSET CONFIGURATION MANAGERACMASSETNOT AN ADD-ON</v>
      </c>
    </row>
    <row r="390" spans="1:22" ht="15" thickBot="1">
      <c r="A390" s="10" t="s">
        <v>21</v>
      </c>
      <c r="B390" s="10" t="s">
        <v>22</v>
      </c>
      <c r="C390" s="10" t="s">
        <v>94</v>
      </c>
      <c r="D390" s="10" t="s">
        <v>95</v>
      </c>
      <c r="E390" s="10" t="s">
        <v>96</v>
      </c>
      <c r="F390" s="10" t="s">
        <v>97</v>
      </c>
      <c r="G390" s="11">
        <v>1140</v>
      </c>
      <c r="H390" s="163" t="s">
        <v>134</v>
      </c>
      <c r="I390" s="158" t="s">
        <v>135</v>
      </c>
      <c r="J390" s="163" t="s">
        <v>136</v>
      </c>
      <c r="K390" s="10" t="s">
        <v>30</v>
      </c>
      <c r="L390" s="10">
        <v>15</v>
      </c>
      <c r="M390" s="10">
        <f t="shared" si="25"/>
        <v>5</v>
      </c>
      <c r="N390" s="10">
        <v>15</v>
      </c>
      <c r="O390" s="12">
        <v>5</v>
      </c>
      <c r="P390" s="11">
        <v>5740</v>
      </c>
      <c r="Q390" s="10" t="s">
        <v>31</v>
      </c>
      <c r="R390" s="4" t="s">
        <v>1294</v>
      </c>
      <c r="S390" s="4" t="s">
        <v>1379</v>
      </c>
      <c r="T390" s="4" t="s">
        <v>19</v>
      </c>
      <c r="U390" s="4" t="str">
        <f t="shared" si="26"/>
        <v>NOT AN ADD-ON</v>
      </c>
      <c r="V390" s="4" t="str">
        <f t="shared" si="27"/>
        <v>ASSET CONFIGURATION MANAGERACMAUTHORIZEDNOT AN ADD-ON</v>
      </c>
    </row>
    <row r="391" spans="1:22" ht="29.25" customHeight="1" thickBot="1">
      <c r="A391" s="10" t="s">
        <v>21</v>
      </c>
      <c r="B391" s="10" t="s">
        <v>22</v>
      </c>
      <c r="C391" s="10" t="s">
        <v>417</v>
      </c>
      <c r="D391" s="10" t="s">
        <v>418</v>
      </c>
      <c r="E391" s="10" t="s">
        <v>419</v>
      </c>
      <c r="F391" s="10" t="s">
        <v>420</v>
      </c>
      <c r="G391" s="11">
        <v>32100</v>
      </c>
      <c r="H391" s="163" t="s">
        <v>421</v>
      </c>
      <c r="I391" s="158" t="s">
        <v>422</v>
      </c>
      <c r="J391" s="163" t="s">
        <v>423</v>
      </c>
      <c r="K391" s="10" t="s">
        <v>424</v>
      </c>
      <c r="L391" s="10">
        <v>80</v>
      </c>
      <c r="M391" s="10">
        <f t="shared" si="25"/>
        <v>80</v>
      </c>
      <c r="N391" s="10">
        <v>80</v>
      </c>
      <c r="O391" s="12">
        <v>1</v>
      </c>
      <c r="P391" s="11">
        <v>161000</v>
      </c>
      <c r="Q391" s="10" t="s">
        <v>31</v>
      </c>
      <c r="R391" s="4" t="s">
        <v>1296</v>
      </c>
      <c r="S391" s="4" t="s">
        <v>1295</v>
      </c>
      <c r="T391" s="4" t="s">
        <v>1295</v>
      </c>
      <c r="U391" s="4" t="str">
        <f t="shared" si="26"/>
        <v>NOT AN ADD-ON</v>
      </c>
      <c r="V391" s="4" t="str">
        <f t="shared" si="27"/>
        <v>ADAPTER FOR ORACLEADAPTERADAPTERNOT AN ADD-ON</v>
      </c>
    </row>
    <row r="392" spans="1:22" ht="15" thickBot="1">
      <c r="A392" s="10" t="s">
        <v>21</v>
      </c>
      <c r="B392" s="10" t="s">
        <v>22</v>
      </c>
      <c r="C392" s="10" t="s">
        <v>435</v>
      </c>
      <c r="D392" s="10" t="s">
        <v>418</v>
      </c>
      <c r="E392" s="10" t="s">
        <v>419</v>
      </c>
      <c r="F392" s="10" t="s">
        <v>420</v>
      </c>
      <c r="G392" s="11">
        <v>32100</v>
      </c>
      <c r="H392" s="163" t="s">
        <v>436</v>
      </c>
      <c r="I392" s="158" t="s">
        <v>437</v>
      </c>
      <c r="J392" s="163" t="s">
        <v>438</v>
      </c>
      <c r="K392" s="10" t="s">
        <v>424</v>
      </c>
      <c r="L392" s="10">
        <v>80</v>
      </c>
      <c r="M392" s="10">
        <f t="shared" si="25"/>
        <v>80</v>
      </c>
      <c r="N392" s="10">
        <v>80</v>
      </c>
      <c r="O392" s="12">
        <v>1</v>
      </c>
      <c r="P392" s="11">
        <v>161000</v>
      </c>
      <c r="Q392" s="10" t="s">
        <v>31</v>
      </c>
      <c r="R392" s="4" t="s">
        <v>1297</v>
      </c>
      <c r="S392" s="4" t="s">
        <v>1295</v>
      </c>
      <c r="T392" s="4" t="s">
        <v>1295</v>
      </c>
      <c r="U392" s="4" t="str">
        <f t="shared" si="26"/>
        <v>NOT AN ADD-ON</v>
      </c>
      <c r="V392" s="4" t="str">
        <f t="shared" si="27"/>
        <v>ADAPTER FOR SAPADAPTERADAPTERNOT AN ADD-ON</v>
      </c>
    </row>
    <row r="393" spans="1:22" ht="15" thickBot="1">
      <c r="A393" s="10" t="s">
        <v>21</v>
      </c>
      <c r="B393" s="10" t="s">
        <v>22</v>
      </c>
      <c r="C393" s="10" t="s">
        <v>385</v>
      </c>
      <c r="D393" s="10" t="s">
        <v>386</v>
      </c>
      <c r="E393" s="10" t="s">
        <v>387</v>
      </c>
      <c r="F393" s="10" t="s">
        <v>388</v>
      </c>
      <c r="G393" s="11">
        <v>116</v>
      </c>
      <c r="H393" s="163" t="s">
        <v>411</v>
      </c>
      <c r="I393" s="158" t="s">
        <v>412</v>
      </c>
      <c r="J393" s="163" t="s">
        <v>413</v>
      </c>
      <c r="K393" s="10" t="s">
        <v>30</v>
      </c>
      <c r="L393" s="10">
        <v>0</v>
      </c>
      <c r="M393" s="10">
        <f t="shared" si="25"/>
        <v>0</v>
      </c>
      <c r="N393" s="15">
        <v>5</v>
      </c>
      <c r="O393" s="16">
        <v>1.67</v>
      </c>
      <c r="P393" s="11">
        <v>584</v>
      </c>
      <c r="Q393" s="10" t="s">
        <v>31</v>
      </c>
      <c r="R393" s="4" t="s">
        <v>1288</v>
      </c>
      <c r="S393" s="4" t="s">
        <v>507</v>
      </c>
      <c r="T393" s="4" t="s">
        <v>19</v>
      </c>
      <c r="U393" s="4" t="str">
        <f t="shared" si="26"/>
        <v>NOT AN ADD-ON</v>
      </c>
      <c r="V393" s="4" t="str">
        <f t="shared" si="27"/>
        <v>CALIBRATIONADD-ONAUTHORIZEDNOT AN ADD-ON</v>
      </c>
    </row>
    <row r="394" spans="1:22" ht="15" thickBot="1">
      <c r="A394" s="10" t="s">
        <v>21</v>
      </c>
      <c r="B394" s="10" t="s">
        <v>22</v>
      </c>
      <c r="C394" s="10" t="s">
        <v>301</v>
      </c>
      <c r="D394" s="10" t="s">
        <v>141</v>
      </c>
      <c r="E394" s="10" t="s">
        <v>142</v>
      </c>
      <c r="F394" s="10" t="s">
        <v>143</v>
      </c>
      <c r="G394" s="11">
        <v>402</v>
      </c>
      <c r="H394" s="163" t="s">
        <v>307</v>
      </c>
      <c r="I394" s="158" t="s">
        <v>308</v>
      </c>
      <c r="J394" s="163" t="s">
        <v>304</v>
      </c>
      <c r="K394" s="10" t="s">
        <v>30</v>
      </c>
      <c r="L394" s="10">
        <v>0</v>
      </c>
      <c r="M394" s="10">
        <f t="shared" si="25"/>
        <v>0</v>
      </c>
      <c r="N394" s="10">
        <v>10</v>
      </c>
      <c r="O394" s="12">
        <v>3.3333333333333335</v>
      </c>
      <c r="P394" s="11">
        <v>2020</v>
      </c>
      <c r="Q394" s="10" t="s">
        <v>31</v>
      </c>
      <c r="R394" s="4" t="s">
        <v>1285</v>
      </c>
      <c r="S394" s="4" t="s">
        <v>507</v>
      </c>
      <c r="T394" s="4" t="s">
        <v>19</v>
      </c>
      <c r="U394" s="4" t="str">
        <f t="shared" si="26"/>
        <v>NOT AN ADD-ON</v>
      </c>
      <c r="V394" s="4" t="str">
        <f t="shared" si="27"/>
        <v>SCHEDULERADD-ONAUTHORIZEDNOT AN ADD-ON</v>
      </c>
    </row>
    <row r="395" spans="1:22" ht="15" thickBot="1">
      <c r="A395" s="10" t="s">
        <v>21</v>
      </c>
      <c r="B395" s="10" t="s">
        <v>22</v>
      </c>
      <c r="C395" s="10" t="s">
        <v>301</v>
      </c>
      <c r="D395" s="10" t="s">
        <v>141</v>
      </c>
      <c r="E395" s="10" t="s">
        <v>142</v>
      </c>
      <c r="F395" s="10" t="s">
        <v>143</v>
      </c>
      <c r="G395" s="11">
        <v>402</v>
      </c>
      <c r="H395" s="163" t="s">
        <v>333</v>
      </c>
      <c r="I395" s="158" t="s">
        <v>334</v>
      </c>
      <c r="J395" s="163" t="s">
        <v>330</v>
      </c>
      <c r="K395" s="10" t="s">
        <v>30</v>
      </c>
      <c r="L395" s="10">
        <v>0</v>
      </c>
      <c r="M395" s="10">
        <f t="shared" si="25"/>
        <v>0</v>
      </c>
      <c r="N395" s="10">
        <v>10</v>
      </c>
      <c r="O395" s="12">
        <v>3.3333333333333335</v>
      </c>
      <c r="P395" s="11">
        <v>2020</v>
      </c>
      <c r="Q395" s="10" t="s">
        <v>31</v>
      </c>
      <c r="R395" s="4" t="s">
        <v>1285</v>
      </c>
      <c r="S395" s="4" t="s">
        <v>507</v>
      </c>
      <c r="T395" s="4" t="s">
        <v>19</v>
      </c>
      <c r="U395" s="4" t="str">
        <f t="shared" si="26"/>
        <v>NOT AN ADD-ON</v>
      </c>
      <c r="V395" s="4" t="str">
        <f t="shared" si="27"/>
        <v>SCHEDULERADD-ONAUTHORIZEDNOT AN ADD-ON</v>
      </c>
    </row>
    <row r="396" spans="1:22" ht="15" thickBot="1">
      <c r="A396" s="10" t="s">
        <v>21</v>
      </c>
      <c r="B396" s="10" t="s">
        <v>22</v>
      </c>
      <c r="C396" s="10" t="s">
        <v>140</v>
      </c>
      <c r="D396" s="10" t="s">
        <v>141</v>
      </c>
      <c r="E396" s="10" t="s">
        <v>142</v>
      </c>
      <c r="F396" s="10" t="s">
        <v>143</v>
      </c>
      <c r="G396" s="11">
        <v>641</v>
      </c>
      <c r="H396" s="163" t="s">
        <v>264</v>
      </c>
      <c r="I396" s="158" t="s">
        <v>265</v>
      </c>
      <c r="J396" s="163" t="s">
        <v>263</v>
      </c>
      <c r="K396" s="10" t="s">
        <v>30</v>
      </c>
      <c r="L396" s="10">
        <v>5</v>
      </c>
      <c r="M396" s="10">
        <f t="shared" si="25"/>
        <v>1.67</v>
      </c>
      <c r="N396" s="10">
        <v>5</v>
      </c>
      <c r="O396" s="12">
        <v>1.6666666666666667</v>
      </c>
      <c r="P396" s="11">
        <v>3200</v>
      </c>
      <c r="Q396" s="10" t="s">
        <v>31</v>
      </c>
      <c r="R396" s="4" t="s">
        <v>1278</v>
      </c>
      <c r="S396" s="4" t="s">
        <v>1278</v>
      </c>
      <c r="T396" s="4" t="s">
        <v>672</v>
      </c>
      <c r="U396" s="4" t="str">
        <f t="shared" si="26"/>
        <v>NOT AN ADD-ON</v>
      </c>
      <c r="V396" s="4" t="str">
        <f t="shared" si="27"/>
        <v>ASSET MANAGEMENT (CORE)ASSET MANAGEMENT (CORE)LIMITEDNOT AN ADD-ON</v>
      </c>
    </row>
    <row r="397" spans="1:22" ht="15" thickBot="1">
      <c r="A397" s="10" t="s">
        <v>21</v>
      </c>
      <c r="B397" s="10" t="s">
        <v>22</v>
      </c>
      <c r="C397" s="10" t="s">
        <v>140</v>
      </c>
      <c r="D397" s="10" t="s">
        <v>141</v>
      </c>
      <c r="E397" s="10" t="s">
        <v>142</v>
      </c>
      <c r="F397" s="10" t="s">
        <v>143</v>
      </c>
      <c r="G397" s="11">
        <v>1290</v>
      </c>
      <c r="H397" s="163" t="s">
        <v>147</v>
      </c>
      <c r="I397" s="158" t="s">
        <v>148</v>
      </c>
      <c r="J397" s="163" t="s">
        <v>146</v>
      </c>
      <c r="K397" s="10" t="s">
        <v>30</v>
      </c>
      <c r="L397" s="10">
        <v>10</v>
      </c>
      <c r="M397" s="10">
        <f t="shared" si="25"/>
        <v>3.33</v>
      </c>
      <c r="N397" s="10">
        <v>10</v>
      </c>
      <c r="O397" s="12">
        <v>3.3333333333333335</v>
      </c>
      <c r="P397" s="11">
        <v>6390</v>
      </c>
      <c r="Q397" s="10" t="s">
        <v>31</v>
      </c>
      <c r="R397" s="4" t="s">
        <v>1278</v>
      </c>
      <c r="S397" s="4" t="s">
        <v>1278</v>
      </c>
      <c r="T397" s="4" t="s">
        <v>19</v>
      </c>
      <c r="U397" s="4" t="str">
        <f t="shared" si="26"/>
        <v>NOT AN ADD-ON</v>
      </c>
      <c r="V397" s="4" t="str">
        <f t="shared" si="27"/>
        <v>ASSET MANAGEMENT (CORE)ASSET MANAGEMENT (CORE)AUTHORIZEDNOT AN ADD-ON</v>
      </c>
    </row>
    <row r="398" spans="1:22" ht="15" thickBot="1">
      <c r="A398" s="10" t="s">
        <v>21</v>
      </c>
      <c r="B398" s="10" t="s">
        <v>22</v>
      </c>
      <c r="C398" s="10" t="s">
        <v>140</v>
      </c>
      <c r="D398" s="10" t="s">
        <v>141</v>
      </c>
      <c r="E398" s="10" t="s">
        <v>142</v>
      </c>
      <c r="F398" s="10" t="s">
        <v>143</v>
      </c>
      <c r="G398" s="11">
        <v>1290</v>
      </c>
      <c r="H398" s="163" t="s">
        <v>225</v>
      </c>
      <c r="I398" s="158" t="s">
        <v>226</v>
      </c>
      <c r="J398" s="163" t="s">
        <v>224</v>
      </c>
      <c r="K398" s="10" t="s">
        <v>30</v>
      </c>
      <c r="L398" s="10">
        <v>10</v>
      </c>
      <c r="M398" s="10">
        <f t="shared" si="25"/>
        <v>3.33</v>
      </c>
      <c r="N398" s="10">
        <v>10</v>
      </c>
      <c r="O398" s="12">
        <v>3.3333333333333335</v>
      </c>
      <c r="P398" s="11">
        <v>6390</v>
      </c>
      <c r="Q398" s="10" t="s">
        <v>31</v>
      </c>
      <c r="R398" s="4" t="s">
        <v>1278</v>
      </c>
      <c r="S398" s="4" t="s">
        <v>1278</v>
      </c>
      <c r="T398" s="4" t="s">
        <v>19</v>
      </c>
      <c r="U398" s="4" t="str">
        <f t="shared" si="26"/>
        <v>NOT AN ADD-ON</v>
      </c>
      <c r="V398" s="4" t="str">
        <f t="shared" si="27"/>
        <v>ASSET MANAGEMENT (CORE)ASSET MANAGEMENT (CORE)AUTHORIZEDNOT AN ADD-ON</v>
      </c>
    </row>
    <row r="399" spans="1:22" ht="15" thickBot="1">
      <c r="A399" s="10" t="s">
        <v>21</v>
      </c>
      <c r="B399" s="10" t="s">
        <v>22</v>
      </c>
      <c r="C399" s="10" t="s">
        <v>140</v>
      </c>
      <c r="D399" s="10" t="s">
        <v>141</v>
      </c>
      <c r="E399" s="10" t="s">
        <v>142</v>
      </c>
      <c r="F399" s="10" t="s">
        <v>143</v>
      </c>
      <c r="G399" s="11">
        <v>641</v>
      </c>
      <c r="H399" s="163" t="s">
        <v>272</v>
      </c>
      <c r="I399" s="158" t="s">
        <v>273</v>
      </c>
      <c r="J399" s="163" t="s">
        <v>271</v>
      </c>
      <c r="K399" s="10" t="s">
        <v>30</v>
      </c>
      <c r="L399" s="10">
        <v>5</v>
      </c>
      <c r="M399" s="10">
        <f t="shared" si="25"/>
        <v>1.67</v>
      </c>
      <c r="N399" s="10">
        <v>5</v>
      </c>
      <c r="O399" s="12">
        <v>1.6666666666666667</v>
      </c>
      <c r="P399" s="11">
        <v>3200</v>
      </c>
      <c r="Q399" s="10" t="s">
        <v>31</v>
      </c>
      <c r="R399" s="4" t="s">
        <v>1278</v>
      </c>
      <c r="S399" s="4" t="s">
        <v>1278</v>
      </c>
      <c r="T399" s="4" t="s">
        <v>672</v>
      </c>
      <c r="U399" s="4" t="str">
        <f t="shared" si="26"/>
        <v>NOT AN ADD-ON</v>
      </c>
      <c r="V399" s="4" t="str">
        <f t="shared" si="27"/>
        <v>ASSET MANAGEMENT (CORE)ASSET MANAGEMENT (CORE)LIMITEDNOT AN ADD-ON</v>
      </c>
    </row>
    <row r="400" spans="1:22" ht="15" thickBot="1">
      <c r="A400" s="10" t="s">
        <v>21</v>
      </c>
      <c r="B400" s="10" t="s">
        <v>22</v>
      </c>
      <c r="C400" s="10" t="s">
        <v>593</v>
      </c>
      <c r="D400" s="10" t="s">
        <v>594</v>
      </c>
      <c r="E400" s="10" t="s">
        <v>595</v>
      </c>
      <c r="F400" s="10" t="s">
        <v>596</v>
      </c>
      <c r="G400" s="11">
        <v>1520</v>
      </c>
      <c r="H400" s="163" t="s">
        <v>626</v>
      </c>
      <c r="I400" s="158" t="s">
        <v>627</v>
      </c>
      <c r="J400" s="163" t="s">
        <v>621</v>
      </c>
      <c r="K400" s="10" t="s">
        <v>30</v>
      </c>
      <c r="L400" s="10">
        <v>15</v>
      </c>
      <c r="M400" s="10">
        <f t="shared" si="25"/>
        <v>5</v>
      </c>
      <c r="N400" s="10">
        <v>15</v>
      </c>
      <c r="O400" s="12">
        <v>5</v>
      </c>
      <c r="P400" s="11">
        <v>7660</v>
      </c>
      <c r="Q400" s="10" t="s">
        <v>31</v>
      </c>
      <c r="R400" s="4" t="s">
        <v>1281</v>
      </c>
      <c r="S400" s="4" t="s">
        <v>1279</v>
      </c>
      <c r="T400" s="4" t="s">
        <v>19</v>
      </c>
      <c r="U400" s="4" t="str">
        <f t="shared" si="26"/>
        <v>NOT AN ADD-ON</v>
      </c>
      <c r="V400" s="4" t="str">
        <f t="shared" si="27"/>
        <v>NUCLEAR POWERINDUSTRY SOLUTIONAUTHORIZEDNOT AN ADD-ON</v>
      </c>
    </row>
    <row r="401" spans="1:22" ht="15" thickBot="1">
      <c r="A401" s="10" t="s">
        <v>21</v>
      </c>
      <c r="B401" s="10" t="s">
        <v>22</v>
      </c>
      <c r="C401" s="10" t="s">
        <v>593</v>
      </c>
      <c r="D401" s="10" t="s">
        <v>594</v>
      </c>
      <c r="E401" s="10" t="s">
        <v>595</v>
      </c>
      <c r="F401" s="10" t="s">
        <v>596</v>
      </c>
      <c r="G401" s="11">
        <v>431</v>
      </c>
      <c r="H401" s="163" t="s">
        <v>597</v>
      </c>
      <c r="I401" s="158" t="s">
        <v>598</v>
      </c>
      <c r="J401" s="163" t="s">
        <v>599</v>
      </c>
      <c r="K401" s="10" t="s">
        <v>30</v>
      </c>
      <c r="L401" s="10">
        <v>5</v>
      </c>
      <c r="M401" s="10">
        <f t="shared" si="25"/>
        <v>1.67</v>
      </c>
      <c r="N401" s="10">
        <v>15</v>
      </c>
      <c r="O401" s="12">
        <v>5</v>
      </c>
      <c r="P401" s="11">
        <v>2150</v>
      </c>
      <c r="Q401" s="10" t="s">
        <v>31</v>
      </c>
      <c r="R401" s="4" t="s">
        <v>1281</v>
      </c>
      <c r="S401" s="4" t="s">
        <v>1279</v>
      </c>
      <c r="T401" s="4" t="s">
        <v>19</v>
      </c>
      <c r="U401" s="4" t="s">
        <v>507</v>
      </c>
      <c r="V401" s="4" t="str">
        <f t="shared" si="27"/>
        <v>NUCLEAR POWERINDUSTRY SOLUTIONAUTHORIZEDADD-ON</v>
      </c>
    </row>
    <row r="402" spans="1:22" ht="15" thickBot="1">
      <c r="A402" s="10" t="s">
        <v>21</v>
      </c>
      <c r="B402" s="10" t="s">
        <v>22</v>
      </c>
      <c r="C402" s="10" t="s">
        <v>593</v>
      </c>
      <c r="D402" s="10" t="s">
        <v>594</v>
      </c>
      <c r="E402" s="10" t="s">
        <v>595</v>
      </c>
      <c r="F402" s="10" t="s">
        <v>596</v>
      </c>
      <c r="G402" s="11">
        <v>1520</v>
      </c>
      <c r="H402" s="163" t="s">
        <v>664</v>
      </c>
      <c r="I402" s="158" t="s">
        <v>665</v>
      </c>
      <c r="J402" s="163" t="s">
        <v>659</v>
      </c>
      <c r="K402" s="10" t="s">
        <v>30</v>
      </c>
      <c r="L402" s="10">
        <v>15</v>
      </c>
      <c r="M402" s="10">
        <f t="shared" si="25"/>
        <v>5</v>
      </c>
      <c r="N402" s="10">
        <v>15</v>
      </c>
      <c r="O402" s="12">
        <v>5</v>
      </c>
      <c r="P402" s="11">
        <v>7660</v>
      </c>
      <c r="Q402" s="10" t="s">
        <v>31</v>
      </c>
      <c r="R402" s="4" t="s">
        <v>1281</v>
      </c>
      <c r="S402" s="4" t="s">
        <v>1279</v>
      </c>
      <c r="T402" s="4" t="s">
        <v>19</v>
      </c>
      <c r="U402" s="4" t="str">
        <f>IF(ISNUMBER(SEARCH("ADD-ON",$I402)),"ADD-ON","NOT AN ADD-ON")</f>
        <v>NOT AN ADD-ON</v>
      </c>
      <c r="V402" s="4" t="str">
        <f t="shared" si="27"/>
        <v>NUCLEAR POWERINDUSTRY SOLUTIONAUTHORIZEDNOT AN ADD-ON</v>
      </c>
    </row>
    <row r="403" spans="1:22" ht="15" thickBot="1">
      <c r="A403" s="10" t="s">
        <v>21</v>
      </c>
      <c r="B403" s="10" t="s">
        <v>22</v>
      </c>
      <c r="C403" s="10" t="s">
        <v>593</v>
      </c>
      <c r="D403" s="10" t="s">
        <v>594</v>
      </c>
      <c r="E403" s="10" t="s">
        <v>595</v>
      </c>
      <c r="F403" s="10" t="s">
        <v>596</v>
      </c>
      <c r="G403" s="11">
        <v>431</v>
      </c>
      <c r="H403" s="163" t="s">
        <v>651</v>
      </c>
      <c r="I403" s="158" t="s">
        <v>652</v>
      </c>
      <c r="J403" s="163" t="s">
        <v>653</v>
      </c>
      <c r="K403" s="10" t="s">
        <v>30</v>
      </c>
      <c r="L403" s="10">
        <v>5</v>
      </c>
      <c r="M403" s="10">
        <f t="shared" si="25"/>
        <v>1.67</v>
      </c>
      <c r="N403" s="10">
        <v>15</v>
      </c>
      <c r="O403" s="12">
        <v>5</v>
      </c>
      <c r="P403" s="11">
        <v>2150</v>
      </c>
      <c r="Q403" s="10" t="s">
        <v>31</v>
      </c>
      <c r="R403" s="4" t="s">
        <v>1281</v>
      </c>
      <c r="S403" s="4" t="s">
        <v>1279</v>
      </c>
      <c r="T403" s="4" t="s">
        <v>19</v>
      </c>
      <c r="U403" s="4" t="s">
        <v>507</v>
      </c>
      <c r="V403" s="4" t="str">
        <f t="shared" si="27"/>
        <v>NUCLEAR POWERINDUSTRY SOLUTIONAUTHORIZEDADD-ON</v>
      </c>
    </row>
    <row r="404" spans="1:22" ht="15" thickBot="1">
      <c r="A404" s="10" t="s">
        <v>21</v>
      </c>
      <c r="B404" s="10" t="s">
        <v>22</v>
      </c>
      <c r="C404" s="10" t="s">
        <v>686</v>
      </c>
      <c r="D404" s="10" t="s">
        <v>687</v>
      </c>
      <c r="E404" s="10" t="s">
        <v>688</v>
      </c>
      <c r="F404" s="10" t="s">
        <v>689</v>
      </c>
      <c r="G404" s="11">
        <v>1520</v>
      </c>
      <c r="H404" s="163" t="s">
        <v>719</v>
      </c>
      <c r="I404" s="158" t="s">
        <v>720</v>
      </c>
      <c r="J404" s="163" t="s">
        <v>714</v>
      </c>
      <c r="K404" s="10" t="s">
        <v>30</v>
      </c>
      <c r="L404" s="10">
        <v>15</v>
      </c>
      <c r="M404" s="10">
        <f t="shared" si="25"/>
        <v>5</v>
      </c>
      <c r="N404" s="10">
        <v>15</v>
      </c>
      <c r="O404" s="12">
        <v>5</v>
      </c>
      <c r="P404" s="11">
        <v>7660</v>
      </c>
      <c r="Q404" s="10" t="s">
        <v>31</v>
      </c>
      <c r="R404" s="4" t="s">
        <v>1282</v>
      </c>
      <c r="S404" s="4" t="s">
        <v>1279</v>
      </c>
      <c r="T404" s="4" t="s">
        <v>19</v>
      </c>
      <c r="U404" s="4" t="str">
        <f>IF(ISNUMBER(SEARCH("ADD-ON",$I404)),"ADD-ON","NOT AN ADD-ON")</f>
        <v>NOT AN ADD-ON</v>
      </c>
      <c r="V404" s="4" t="str">
        <f t="shared" si="27"/>
        <v>OIL AND GASINDUSTRY SOLUTIONAUTHORIZEDNOT AN ADD-ON</v>
      </c>
    </row>
    <row r="405" spans="1:22" ht="15" thickBot="1">
      <c r="A405" s="10" t="s">
        <v>21</v>
      </c>
      <c r="B405" s="10" t="s">
        <v>22</v>
      </c>
      <c r="C405" s="10" t="s">
        <v>686</v>
      </c>
      <c r="D405" s="10" t="s">
        <v>687</v>
      </c>
      <c r="E405" s="10" t="s">
        <v>688</v>
      </c>
      <c r="F405" s="10" t="s">
        <v>689</v>
      </c>
      <c r="G405" s="11">
        <v>431</v>
      </c>
      <c r="H405" s="163" t="s">
        <v>690</v>
      </c>
      <c r="I405" s="158" t="s">
        <v>691</v>
      </c>
      <c r="J405" s="163" t="s">
        <v>692</v>
      </c>
      <c r="K405" s="10" t="s">
        <v>30</v>
      </c>
      <c r="L405" s="10">
        <v>5</v>
      </c>
      <c r="M405" s="10">
        <f t="shared" si="25"/>
        <v>1.67</v>
      </c>
      <c r="N405" s="10">
        <v>15</v>
      </c>
      <c r="O405" s="12">
        <v>5</v>
      </c>
      <c r="P405" s="11">
        <v>2150</v>
      </c>
      <c r="Q405" s="10" t="s">
        <v>31</v>
      </c>
      <c r="R405" s="4" t="s">
        <v>1282</v>
      </c>
      <c r="S405" s="4" t="s">
        <v>1279</v>
      </c>
      <c r="T405" s="4" t="s">
        <v>19</v>
      </c>
      <c r="U405" s="4" t="s">
        <v>507</v>
      </c>
      <c r="V405" s="4" t="str">
        <f t="shared" si="27"/>
        <v>OIL AND GASINDUSTRY SOLUTIONAUTHORIZEDADD-ON</v>
      </c>
    </row>
    <row r="406" spans="1:22" ht="15" thickBot="1">
      <c r="A406" s="10" t="s">
        <v>21</v>
      </c>
      <c r="B406" s="10" t="s">
        <v>22</v>
      </c>
      <c r="C406" s="10" t="s">
        <v>686</v>
      </c>
      <c r="D406" s="10" t="s">
        <v>687</v>
      </c>
      <c r="E406" s="10" t="s">
        <v>688</v>
      </c>
      <c r="F406" s="10" t="s">
        <v>689</v>
      </c>
      <c r="G406" s="11">
        <v>1520</v>
      </c>
      <c r="H406" s="163" t="s">
        <v>756</v>
      </c>
      <c r="I406" s="158" t="s">
        <v>757</v>
      </c>
      <c r="J406" s="163" t="s">
        <v>758</v>
      </c>
      <c r="K406" s="10" t="s">
        <v>30</v>
      </c>
      <c r="L406" s="10">
        <v>15</v>
      </c>
      <c r="M406" s="10">
        <f t="shared" ref="M406:M437" si="28">ROUND(IF(K406="Authorized User",L406/3,L406),2)</f>
        <v>5</v>
      </c>
      <c r="N406" s="10">
        <v>15</v>
      </c>
      <c r="O406" s="12">
        <v>5</v>
      </c>
      <c r="P406" s="11">
        <v>7660</v>
      </c>
      <c r="Q406" s="10" t="s">
        <v>31</v>
      </c>
      <c r="R406" s="4" t="s">
        <v>1282</v>
      </c>
      <c r="S406" s="4" t="s">
        <v>1279</v>
      </c>
      <c r="T406" s="4" t="s">
        <v>19</v>
      </c>
      <c r="U406" s="4" t="str">
        <f>IF(ISNUMBER(SEARCH("ADD-ON",$I406)),"ADD-ON","NOT AN ADD-ON")</f>
        <v>NOT AN ADD-ON</v>
      </c>
      <c r="V406" s="4" t="str">
        <f t="shared" si="27"/>
        <v>OIL AND GASINDUSTRY SOLUTIONAUTHORIZEDNOT AN ADD-ON</v>
      </c>
    </row>
    <row r="407" spans="1:22" ht="15" thickBot="1">
      <c r="A407" s="10" t="s">
        <v>21</v>
      </c>
      <c r="B407" s="10" t="s">
        <v>22</v>
      </c>
      <c r="C407" s="10" t="s">
        <v>686</v>
      </c>
      <c r="D407" s="10" t="s">
        <v>687</v>
      </c>
      <c r="E407" s="10" t="s">
        <v>688</v>
      </c>
      <c r="F407" s="10" t="s">
        <v>689</v>
      </c>
      <c r="G407" s="11">
        <v>431</v>
      </c>
      <c r="H407" s="163" t="s">
        <v>744</v>
      </c>
      <c r="I407" s="158" t="s">
        <v>745</v>
      </c>
      <c r="J407" s="163" t="s">
        <v>746</v>
      </c>
      <c r="K407" s="10" t="s">
        <v>30</v>
      </c>
      <c r="L407" s="10">
        <v>5</v>
      </c>
      <c r="M407" s="10">
        <f t="shared" si="28"/>
        <v>1.67</v>
      </c>
      <c r="N407" s="10">
        <v>15</v>
      </c>
      <c r="O407" s="12">
        <v>5</v>
      </c>
      <c r="P407" s="11">
        <v>2150</v>
      </c>
      <c r="Q407" s="10" t="s">
        <v>31</v>
      </c>
      <c r="R407" s="4" t="s">
        <v>1282</v>
      </c>
      <c r="S407" s="4" t="s">
        <v>1279</v>
      </c>
      <c r="T407" s="4" t="s">
        <v>19</v>
      </c>
      <c r="U407" s="4" t="s">
        <v>507</v>
      </c>
      <c r="V407" s="4" t="str">
        <f t="shared" si="27"/>
        <v>OIL AND GASINDUSTRY SOLUTIONAUTHORIZEDADD-ON</v>
      </c>
    </row>
    <row r="408" spans="1:22" ht="15" thickBot="1">
      <c r="A408" s="10" t="s">
        <v>21</v>
      </c>
      <c r="B408" s="10" t="s">
        <v>22</v>
      </c>
      <c r="C408" s="10" t="s">
        <v>778</v>
      </c>
      <c r="D408" s="10" t="s">
        <v>779</v>
      </c>
      <c r="E408" s="10" t="s">
        <v>780</v>
      </c>
      <c r="F408" s="10" t="s">
        <v>781</v>
      </c>
      <c r="G408" s="11">
        <v>1520</v>
      </c>
      <c r="H408" s="163" t="s">
        <v>811</v>
      </c>
      <c r="I408" s="158" t="s">
        <v>812</v>
      </c>
      <c r="J408" s="163" t="s">
        <v>806</v>
      </c>
      <c r="K408" s="10" t="s">
        <v>30</v>
      </c>
      <c r="L408" s="10">
        <v>15</v>
      </c>
      <c r="M408" s="10">
        <f t="shared" si="28"/>
        <v>5</v>
      </c>
      <c r="N408" s="10">
        <v>15</v>
      </c>
      <c r="O408" s="12">
        <v>5</v>
      </c>
      <c r="P408" s="11">
        <v>7660</v>
      </c>
      <c r="Q408" s="10" t="s">
        <v>31</v>
      </c>
      <c r="R408" s="4" t="s">
        <v>1283</v>
      </c>
      <c r="S408" s="4" t="s">
        <v>1279</v>
      </c>
      <c r="T408" s="4" t="s">
        <v>19</v>
      </c>
      <c r="U408" s="4" t="str">
        <f>IF(ISNUMBER(SEARCH("ADD-ON",$I408)),"ADD-ON","NOT AN ADD-ON")</f>
        <v>NOT AN ADD-ON</v>
      </c>
      <c r="V408" s="4" t="str">
        <f t="shared" si="27"/>
        <v>TRANSPORATIONINDUSTRY SOLUTIONAUTHORIZEDNOT AN ADD-ON</v>
      </c>
    </row>
    <row r="409" spans="1:22" ht="15" thickBot="1">
      <c r="A409" s="10" t="s">
        <v>21</v>
      </c>
      <c r="B409" s="10" t="s">
        <v>22</v>
      </c>
      <c r="C409" s="10" t="s">
        <v>778</v>
      </c>
      <c r="D409" s="10" t="s">
        <v>779</v>
      </c>
      <c r="E409" s="10" t="s">
        <v>780</v>
      </c>
      <c r="F409" s="10" t="s">
        <v>781</v>
      </c>
      <c r="G409" s="11">
        <v>431</v>
      </c>
      <c r="H409" s="163" t="s">
        <v>782</v>
      </c>
      <c r="I409" s="158" t="s">
        <v>783</v>
      </c>
      <c r="J409" s="163" t="s">
        <v>784</v>
      </c>
      <c r="K409" s="10" t="s">
        <v>30</v>
      </c>
      <c r="L409" s="10">
        <v>5</v>
      </c>
      <c r="M409" s="10">
        <f t="shared" si="28"/>
        <v>1.67</v>
      </c>
      <c r="N409" s="10">
        <v>15</v>
      </c>
      <c r="O409" s="12">
        <v>5</v>
      </c>
      <c r="P409" s="11">
        <v>2150</v>
      </c>
      <c r="Q409" s="10" t="s">
        <v>31</v>
      </c>
      <c r="R409" s="4" t="s">
        <v>1283</v>
      </c>
      <c r="S409" s="4" t="s">
        <v>1279</v>
      </c>
      <c r="T409" s="4" t="s">
        <v>19</v>
      </c>
      <c r="U409" s="4" t="s">
        <v>507</v>
      </c>
      <c r="V409" s="4" t="str">
        <f t="shared" si="27"/>
        <v>TRANSPORATIONINDUSTRY SOLUTIONAUTHORIZEDADD-ON</v>
      </c>
    </row>
    <row r="410" spans="1:22" ht="15" thickBot="1">
      <c r="A410" s="10" t="s">
        <v>21</v>
      </c>
      <c r="B410" s="10" t="s">
        <v>22</v>
      </c>
      <c r="C410" s="10" t="s">
        <v>778</v>
      </c>
      <c r="D410" s="10" t="s">
        <v>779</v>
      </c>
      <c r="E410" s="10" t="s">
        <v>780</v>
      </c>
      <c r="F410" s="10" t="s">
        <v>781</v>
      </c>
      <c r="G410" s="11">
        <v>1520</v>
      </c>
      <c r="H410" s="163" t="s">
        <v>849</v>
      </c>
      <c r="I410" s="158" t="s">
        <v>850</v>
      </c>
      <c r="J410" s="163" t="s">
        <v>844</v>
      </c>
      <c r="K410" s="10" t="s">
        <v>30</v>
      </c>
      <c r="L410" s="10">
        <v>15</v>
      </c>
      <c r="M410" s="10">
        <f t="shared" si="28"/>
        <v>5</v>
      </c>
      <c r="N410" s="10">
        <v>15</v>
      </c>
      <c r="O410" s="12">
        <v>5</v>
      </c>
      <c r="P410" s="11">
        <v>7660</v>
      </c>
      <c r="Q410" s="10" t="s">
        <v>31</v>
      </c>
      <c r="R410" s="4" t="s">
        <v>1283</v>
      </c>
      <c r="S410" s="4" t="s">
        <v>1279</v>
      </c>
      <c r="T410" s="4" t="s">
        <v>19</v>
      </c>
      <c r="U410" s="4" t="str">
        <f>IF(ISNUMBER(SEARCH("ADD-ON",$I410)),"ADD-ON","NOT AN ADD-ON")</f>
        <v>NOT AN ADD-ON</v>
      </c>
      <c r="V410" s="4" t="str">
        <f t="shared" si="27"/>
        <v>TRANSPORATIONINDUSTRY SOLUTIONAUTHORIZEDNOT AN ADD-ON</v>
      </c>
    </row>
    <row r="411" spans="1:22" ht="15" thickBot="1">
      <c r="A411" s="10" t="s">
        <v>21</v>
      </c>
      <c r="B411" s="10" t="s">
        <v>22</v>
      </c>
      <c r="C411" s="10" t="s">
        <v>778</v>
      </c>
      <c r="D411" s="10" t="s">
        <v>779</v>
      </c>
      <c r="E411" s="10" t="s">
        <v>780</v>
      </c>
      <c r="F411" s="10" t="s">
        <v>781</v>
      </c>
      <c r="G411" s="11">
        <v>431</v>
      </c>
      <c r="H411" s="163" t="s">
        <v>836</v>
      </c>
      <c r="I411" s="158" t="s">
        <v>837</v>
      </c>
      <c r="J411" s="163" t="s">
        <v>838</v>
      </c>
      <c r="K411" s="10" t="s">
        <v>30</v>
      </c>
      <c r="L411" s="10">
        <v>5</v>
      </c>
      <c r="M411" s="10">
        <f t="shared" si="28"/>
        <v>1.67</v>
      </c>
      <c r="N411" s="10">
        <v>15</v>
      </c>
      <c r="O411" s="12">
        <v>5</v>
      </c>
      <c r="P411" s="11">
        <v>2150</v>
      </c>
      <c r="Q411" s="10" t="s">
        <v>31</v>
      </c>
      <c r="R411" s="4" t="s">
        <v>1283</v>
      </c>
      <c r="S411" s="4" t="s">
        <v>1279</v>
      </c>
      <c r="T411" s="4" t="s">
        <v>19</v>
      </c>
      <c r="U411" s="4" t="s">
        <v>507</v>
      </c>
      <c r="V411" s="4" t="str">
        <f t="shared" si="27"/>
        <v>TRANSPORATIONINDUSTRY SOLUTIONAUTHORIZEDADD-ON</v>
      </c>
    </row>
    <row r="412" spans="1:22" ht="15" thickBot="1">
      <c r="A412" s="10" t="s">
        <v>21</v>
      </c>
      <c r="B412" s="10" t="s">
        <v>22</v>
      </c>
      <c r="C412" s="10" t="s">
        <v>870</v>
      </c>
      <c r="D412" s="10" t="s">
        <v>871</v>
      </c>
      <c r="E412" s="10" t="s">
        <v>872</v>
      </c>
      <c r="F412" s="10" t="s">
        <v>873</v>
      </c>
      <c r="G412" s="11">
        <v>1520</v>
      </c>
      <c r="H412" s="163" t="s">
        <v>903</v>
      </c>
      <c r="I412" s="158" t="s">
        <v>904</v>
      </c>
      <c r="J412" s="163" t="s">
        <v>898</v>
      </c>
      <c r="K412" s="10" t="s">
        <v>30</v>
      </c>
      <c r="L412" s="10">
        <v>15</v>
      </c>
      <c r="M412" s="10">
        <f t="shared" si="28"/>
        <v>5</v>
      </c>
      <c r="N412" s="10">
        <v>15</v>
      </c>
      <c r="O412" s="12">
        <v>5</v>
      </c>
      <c r="P412" s="11">
        <v>7660</v>
      </c>
      <c r="Q412" s="10" t="s">
        <v>31</v>
      </c>
      <c r="R412" s="4" t="s">
        <v>1284</v>
      </c>
      <c r="S412" s="4" t="s">
        <v>1279</v>
      </c>
      <c r="T412" s="4" t="s">
        <v>19</v>
      </c>
      <c r="U412" s="4" t="str">
        <f>IF(ISNUMBER(SEARCH("ADD-ON",$I412)),"ADD-ON","NOT AN ADD-ON")</f>
        <v>NOT AN ADD-ON</v>
      </c>
      <c r="V412" s="4" t="str">
        <f t="shared" si="27"/>
        <v>UTILITIESINDUSTRY SOLUTIONAUTHORIZEDNOT AN ADD-ON</v>
      </c>
    </row>
    <row r="413" spans="1:22" ht="15" thickBot="1">
      <c r="A413" s="10" t="s">
        <v>21</v>
      </c>
      <c r="B413" s="10" t="s">
        <v>22</v>
      </c>
      <c r="C413" s="10" t="s">
        <v>870</v>
      </c>
      <c r="D413" s="10" t="s">
        <v>871</v>
      </c>
      <c r="E413" s="10" t="s">
        <v>872</v>
      </c>
      <c r="F413" s="10" t="s">
        <v>873</v>
      </c>
      <c r="G413" s="11">
        <v>431</v>
      </c>
      <c r="H413" s="163" t="s">
        <v>874</v>
      </c>
      <c r="I413" s="158" t="s">
        <v>875</v>
      </c>
      <c r="J413" s="163" t="s">
        <v>876</v>
      </c>
      <c r="K413" s="10" t="s">
        <v>30</v>
      </c>
      <c r="L413" s="10">
        <v>5</v>
      </c>
      <c r="M413" s="10">
        <f t="shared" si="28"/>
        <v>1.67</v>
      </c>
      <c r="N413" s="10">
        <v>15</v>
      </c>
      <c r="O413" s="12">
        <v>5</v>
      </c>
      <c r="P413" s="11">
        <v>2150</v>
      </c>
      <c r="Q413" s="10" t="s">
        <v>31</v>
      </c>
      <c r="R413" s="4" t="s">
        <v>1284</v>
      </c>
      <c r="S413" s="4" t="s">
        <v>1279</v>
      </c>
      <c r="T413" s="4" t="s">
        <v>19</v>
      </c>
      <c r="U413" s="4" t="s">
        <v>507</v>
      </c>
      <c r="V413" s="4" t="str">
        <f t="shared" si="27"/>
        <v>UTILITIESINDUSTRY SOLUTIONAUTHORIZEDADD-ON</v>
      </c>
    </row>
    <row r="414" spans="1:22" ht="15" thickBot="1">
      <c r="A414" s="10" t="s">
        <v>21</v>
      </c>
      <c r="B414" s="10" t="s">
        <v>22</v>
      </c>
      <c r="C414" s="10" t="s">
        <v>870</v>
      </c>
      <c r="D414" s="10" t="s">
        <v>871</v>
      </c>
      <c r="E414" s="10" t="s">
        <v>872</v>
      </c>
      <c r="F414" s="10" t="s">
        <v>873</v>
      </c>
      <c r="G414" s="11">
        <v>1520</v>
      </c>
      <c r="H414" s="163" t="s">
        <v>937</v>
      </c>
      <c r="I414" s="158" t="s">
        <v>938</v>
      </c>
      <c r="J414" s="163" t="s">
        <v>932</v>
      </c>
      <c r="K414" s="10" t="s">
        <v>30</v>
      </c>
      <c r="L414" s="10">
        <v>15</v>
      </c>
      <c r="M414" s="10">
        <f t="shared" si="28"/>
        <v>5</v>
      </c>
      <c r="N414" s="10">
        <v>15</v>
      </c>
      <c r="O414" s="12">
        <v>5</v>
      </c>
      <c r="P414" s="11">
        <v>7660</v>
      </c>
      <c r="Q414" s="10" t="s">
        <v>31</v>
      </c>
      <c r="R414" s="4" t="s">
        <v>1284</v>
      </c>
      <c r="S414" s="4" t="s">
        <v>1279</v>
      </c>
      <c r="T414" s="4" t="s">
        <v>19</v>
      </c>
      <c r="U414" s="4" t="str">
        <f>IF(ISNUMBER(SEARCH("ADD-ON",$I414)),"ADD-ON","NOT AN ADD-ON")</f>
        <v>NOT AN ADD-ON</v>
      </c>
      <c r="V414" s="4" t="str">
        <f t="shared" si="27"/>
        <v>UTILITIESINDUSTRY SOLUTIONAUTHORIZEDNOT AN ADD-ON</v>
      </c>
    </row>
    <row r="415" spans="1:22" ht="15" thickBot="1">
      <c r="A415" s="10" t="s">
        <v>21</v>
      </c>
      <c r="B415" s="10" t="s">
        <v>22</v>
      </c>
      <c r="C415" s="10" t="s">
        <v>870</v>
      </c>
      <c r="D415" s="10" t="s">
        <v>871</v>
      </c>
      <c r="E415" s="10" t="s">
        <v>872</v>
      </c>
      <c r="F415" s="10" t="s">
        <v>873</v>
      </c>
      <c r="G415" s="11">
        <v>431</v>
      </c>
      <c r="H415" s="163" t="s">
        <v>924</v>
      </c>
      <c r="I415" s="158" t="s">
        <v>925</v>
      </c>
      <c r="J415" s="163" t="s">
        <v>926</v>
      </c>
      <c r="K415" s="10" t="s">
        <v>30</v>
      </c>
      <c r="L415" s="10">
        <v>15</v>
      </c>
      <c r="M415" s="10">
        <f t="shared" si="28"/>
        <v>5</v>
      </c>
      <c r="N415" s="10">
        <v>15</v>
      </c>
      <c r="O415" s="12">
        <v>5</v>
      </c>
      <c r="P415" s="11">
        <v>2150</v>
      </c>
      <c r="Q415" s="10" t="s">
        <v>31</v>
      </c>
      <c r="R415" s="4" t="s">
        <v>1284</v>
      </c>
      <c r="S415" s="4" t="s">
        <v>1279</v>
      </c>
      <c r="T415" s="4" t="s">
        <v>19</v>
      </c>
      <c r="U415" s="4" t="str">
        <f>IF(ISNUMBER(SEARCH("ADD-ON",$I415)),"ADD-ON","NOT AN ADD-ON")</f>
        <v>NOT AN ADD-ON</v>
      </c>
      <c r="V415" s="4" t="str">
        <f t="shared" si="27"/>
        <v>UTILITIESINDUSTRY SOLUTIONAUTHORIZEDNOT AN ADD-ON</v>
      </c>
    </row>
    <row r="416" spans="1:22" ht="15" thickBot="1">
      <c r="A416" s="10" t="s">
        <v>21</v>
      </c>
      <c r="B416" s="10" t="s">
        <v>22</v>
      </c>
      <c r="C416" s="10" t="s">
        <v>500</v>
      </c>
      <c r="D416" s="10" t="s">
        <v>501</v>
      </c>
      <c r="E416" s="10" t="s">
        <v>502</v>
      </c>
      <c r="F416" s="10" t="s">
        <v>503</v>
      </c>
      <c r="G416" s="11">
        <v>1400</v>
      </c>
      <c r="H416" s="163" t="s">
        <v>534</v>
      </c>
      <c r="I416" s="158" t="s">
        <v>535</v>
      </c>
      <c r="J416" s="163" t="s">
        <v>529</v>
      </c>
      <c r="K416" s="10" t="s">
        <v>30</v>
      </c>
      <c r="L416" s="10">
        <v>10</v>
      </c>
      <c r="M416" s="10">
        <f t="shared" si="28"/>
        <v>3.33</v>
      </c>
      <c r="N416" s="15">
        <v>5</v>
      </c>
      <c r="O416" s="16">
        <v>1.67</v>
      </c>
      <c r="P416" s="11">
        <v>6980</v>
      </c>
      <c r="Q416" s="10" t="s">
        <v>31</v>
      </c>
      <c r="R416" s="4" t="s">
        <v>1292</v>
      </c>
      <c r="S416" s="4" t="s">
        <v>1292</v>
      </c>
      <c r="T416" s="4" t="s">
        <v>19</v>
      </c>
      <c r="U416" s="4" t="str">
        <f>IF(ISNUMBER(SEARCH("ADD-ON",$I416)),"ADD-ON","NOT AN ADD-ON")</f>
        <v>NOT AN ADD-ON</v>
      </c>
      <c r="V416" s="4" t="str">
        <f t="shared" si="27"/>
        <v>LIFE SCIENCESLIFE SCIENCESAUTHORIZEDNOT AN ADD-ON</v>
      </c>
    </row>
    <row r="417" spans="1:22" ht="15" thickBot="1">
      <c r="A417" s="10" t="s">
        <v>21</v>
      </c>
      <c r="B417" s="10" t="s">
        <v>22</v>
      </c>
      <c r="C417" s="10" t="s">
        <v>500</v>
      </c>
      <c r="D417" s="10" t="s">
        <v>501</v>
      </c>
      <c r="E417" s="10" t="s">
        <v>502</v>
      </c>
      <c r="F417" s="10" t="s">
        <v>503</v>
      </c>
      <c r="G417" s="11">
        <v>142</v>
      </c>
      <c r="H417" s="163" t="s">
        <v>504</v>
      </c>
      <c r="I417" s="158" t="s">
        <v>505</v>
      </c>
      <c r="J417" s="163" t="s">
        <v>506</v>
      </c>
      <c r="K417" s="10" t="s">
        <v>30</v>
      </c>
      <c r="L417" s="10">
        <v>0</v>
      </c>
      <c r="M417" s="10">
        <f t="shared" si="28"/>
        <v>0</v>
      </c>
      <c r="N417" s="15">
        <v>5</v>
      </c>
      <c r="O417" s="16">
        <v>1.67</v>
      </c>
      <c r="P417" s="11">
        <v>712</v>
      </c>
      <c r="Q417" s="10" t="s">
        <v>31</v>
      </c>
      <c r="R417" s="4" t="s">
        <v>1292</v>
      </c>
      <c r="S417" s="4" t="s">
        <v>1292</v>
      </c>
      <c r="T417" s="4" t="s">
        <v>19</v>
      </c>
      <c r="U417" s="4" t="s">
        <v>507</v>
      </c>
      <c r="V417" s="4" t="str">
        <f t="shared" si="27"/>
        <v>LIFE SCIENCESLIFE SCIENCESAUTHORIZEDADD-ON</v>
      </c>
    </row>
    <row r="418" spans="1:22" ht="15" thickBot="1">
      <c r="A418" s="10" t="s">
        <v>21</v>
      </c>
      <c r="B418" s="10" t="s">
        <v>22</v>
      </c>
      <c r="C418" s="10" t="s">
        <v>500</v>
      </c>
      <c r="D418" s="10" t="s">
        <v>501</v>
      </c>
      <c r="E418" s="10" t="s">
        <v>502</v>
      </c>
      <c r="F418" s="10" t="s">
        <v>503</v>
      </c>
      <c r="G418" s="11">
        <v>1400</v>
      </c>
      <c r="H418" s="163" t="s">
        <v>571</v>
      </c>
      <c r="I418" s="158" t="s">
        <v>572</v>
      </c>
      <c r="J418" s="163" t="s">
        <v>573</v>
      </c>
      <c r="K418" s="10" t="s">
        <v>30</v>
      </c>
      <c r="L418" s="10">
        <v>10</v>
      </c>
      <c r="M418" s="10">
        <f t="shared" si="28"/>
        <v>3.33</v>
      </c>
      <c r="N418" s="10">
        <v>5</v>
      </c>
      <c r="O418" s="12">
        <v>1.6666666666666667</v>
      </c>
      <c r="P418" s="11">
        <v>6980</v>
      </c>
      <c r="Q418" s="10" t="s">
        <v>31</v>
      </c>
      <c r="R418" s="4" t="s">
        <v>1292</v>
      </c>
      <c r="S418" s="4" t="s">
        <v>1292</v>
      </c>
      <c r="T418" s="4" t="s">
        <v>19</v>
      </c>
      <c r="U418" s="4" t="str">
        <f>IF(ISNUMBER(SEARCH("ADD-ON",$I418)),"ADD-ON","NOT AN ADD-ON")</f>
        <v>NOT AN ADD-ON</v>
      </c>
      <c r="V418" s="4" t="str">
        <f t="shared" si="27"/>
        <v>LIFE SCIENCESLIFE SCIENCESAUTHORIZEDNOT AN ADD-ON</v>
      </c>
    </row>
    <row r="419" spans="1:22" ht="15" thickBot="1">
      <c r="A419" s="10" t="s">
        <v>21</v>
      </c>
      <c r="B419" s="10" t="s">
        <v>22</v>
      </c>
      <c r="C419" s="10" t="s">
        <v>500</v>
      </c>
      <c r="D419" s="10" t="s">
        <v>501</v>
      </c>
      <c r="E419" s="10" t="s">
        <v>502</v>
      </c>
      <c r="F419" s="10" t="s">
        <v>503</v>
      </c>
      <c r="G419" s="11">
        <v>142</v>
      </c>
      <c r="H419" s="163" t="s">
        <v>559</v>
      </c>
      <c r="I419" s="158" t="s">
        <v>560</v>
      </c>
      <c r="J419" s="163" t="s">
        <v>561</v>
      </c>
      <c r="K419" s="10" t="s">
        <v>30</v>
      </c>
      <c r="L419" s="10">
        <v>0</v>
      </c>
      <c r="M419" s="10">
        <f t="shared" si="28"/>
        <v>0</v>
      </c>
      <c r="N419" s="10">
        <v>5</v>
      </c>
      <c r="O419" s="12">
        <v>1.6666666666666667</v>
      </c>
      <c r="P419" s="11">
        <v>712</v>
      </c>
      <c r="Q419" s="10" t="s">
        <v>31</v>
      </c>
      <c r="R419" s="4" t="s">
        <v>1292</v>
      </c>
      <c r="S419" s="4" t="s">
        <v>1292</v>
      </c>
      <c r="T419" s="4" t="s">
        <v>19</v>
      </c>
      <c r="U419" s="4" t="s">
        <v>507</v>
      </c>
      <c r="V419" s="4" t="str">
        <f t="shared" si="27"/>
        <v>LIFE SCIENCESLIFE SCIENCESAUTHORIZEDADD-ON</v>
      </c>
    </row>
    <row r="420" spans="1:22" ht="15" thickBot="1">
      <c r="A420" s="10" t="s">
        <v>21</v>
      </c>
      <c r="B420" s="10" t="s">
        <v>22</v>
      </c>
      <c r="C420" s="10" t="s">
        <v>1044</v>
      </c>
      <c r="D420" s="10" t="s">
        <v>1045</v>
      </c>
      <c r="E420" s="10" t="s">
        <v>1046</v>
      </c>
      <c r="F420" s="10" t="s">
        <v>1047</v>
      </c>
      <c r="G420" s="11">
        <v>7150</v>
      </c>
      <c r="H420" s="163" t="s">
        <v>1083</v>
      </c>
      <c r="I420" s="158" t="s">
        <v>1084</v>
      </c>
      <c r="J420" s="163" t="s">
        <v>1085</v>
      </c>
      <c r="K420" s="10" t="s">
        <v>1079</v>
      </c>
      <c r="L420" s="10">
        <v>20</v>
      </c>
      <c r="M420" s="10">
        <f t="shared" si="28"/>
        <v>20</v>
      </c>
      <c r="N420" s="10">
        <v>20</v>
      </c>
      <c r="O420" s="12">
        <v>1</v>
      </c>
      <c r="P420" s="11">
        <v>35700</v>
      </c>
      <c r="Q420" s="10" t="s">
        <v>31</v>
      </c>
      <c r="R420" s="4" t="s">
        <v>1291</v>
      </c>
      <c r="S420" s="4" t="s">
        <v>507</v>
      </c>
      <c r="T420" s="4" t="s">
        <v>1384</v>
      </c>
      <c r="U420" s="4" t="str">
        <f t="shared" ref="U420:U463" si="29">IF(ISNUMBER(SEARCH("ADD-ON",$I420)),"ADD-ON","NOT AN ADD-ON")</f>
        <v>NOT AN ADD-ON</v>
      </c>
      <c r="V420" s="4" t="str">
        <f t="shared" si="27"/>
        <v>SPATIALADD-ONINSTALLNOT AN ADD-ON</v>
      </c>
    </row>
    <row r="421" spans="1:22" ht="15" thickBot="1">
      <c r="A421" s="10" t="s">
        <v>21</v>
      </c>
      <c r="B421" s="10" t="s">
        <v>22</v>
      </c>
      <c r="C421" s="10" t="s">
        <v>1044</v>
      </c>
      <c r="D421" s="10" t="s">
        <v>1045</v>
      </c>
      <c r="E421" s="10" t="s">
        <v>1046</v>
      </c>
      <c r="F421" s="10" t="s">
        <v>1047</v>
      </c>
      <c r="G421" s="11">
        <v>43.1</v>
      </c>
      <c r="H421" s="163" t="s">
        <v>1048</v>
      </c>
      <c r="I421" s="158" t="s">
        <v>1049</v>
      </c>
      <c r="J421" s="163" t="s">
        <v>1050</v>
      </c>
      <c r="K421" s="10" t="s">
        <v>30</v>
      </c>
      <c r="L421" s="10">
        <v>0</v>
      </c>
      <c r="M421" s="10">
        <f t="shared" si="28"/>
        <v>0</v>
      </c>
      <c r="N421" s="10">
        <v>5</v>
      </c>
      <c r="O421" s="12">
        <v>1.6666666666666667</v>
      </c>
      <c r="P421" s="11">
        <v>215</v>
      </c>
      <c r="Q421" s="10" t="s">
        <v>31</v>
      </c>
      <c r="R421" s="4" t="s">
        <v>1291</v>
      </c>
      <c r="S421" s="4" t="s">
        <v>507</v>
      </c>
      <c r="T421" s="4" t="s">
        <v>19</v>
      </c>
      <c r="U421" s="4" t="str">
        <f t="shared" si="29"/>
        <v>NOT AN ADD-ON</v>
      </c>
      <c r="V421" s="4" t="str">
        <f t="shared" si="27"/>
        <v>SPATIALADD-ONAUTHORIZEDNOT AN ADD-ON</v>
      </c>
    </row>
    <row r="422" spans="1:22" ht="15" thickBot="1">
      <c r="A422" s="10" t="s">
        <v>21</v>
      </c>
      <c r="B422" s="10" t="s">
        <v>22</v>
      </c>
      <c r="C422" s="10" t="s">
        <v>1044</v>
      </c>
      <c r="D422" s="10" t="s">
        <v>1045</v>
      </c>
      <c r="E422" s="10" t="s">
        <v>1046</v>
      </c>
      <c r="F422" s="10" t="s">
        <v>1047</v>
      </c>
      <c r="G422" s="11">
        <v>43.1</v>
      </c>
      <c r="H422" s="163" t="s">
        <v>1070</v>
      </c>
      <c r="I422" s="158" t="s">
        <v>1071</v>
      </c>
      <c r="J422" s="163" t="s">
        <v>1072</v>
      </c>
      <c r="K422" s="10" t="s">
        <v>30</v>
      </c>
      <c r="L422" s="10">
        <v>0</v>
      </c>
      <c r="M422" s="10">
        <f t="shared" si="28"/>
        <v>0</v>
      </c>
      <c r="N422" s="10">
        <v>5</v>
      </c>
      <c r="O422" s="12">
        <v>1.6666666666666667</v>
      </c>
      <c r="P422" s="11">
        <v>215</v>
      </c>
      <c r="Q422" s="10" t="s">
        <v>31</v>
      </c>
      <c r="R422" s="4" t="s">
        <v>1291</v>
      </c>
      <c r="S422" s="4" t="s">
        <v>507</v>
      </c>
      <c r="T422" s="4" t="s">
        <v>19</v>
      </c>
      <c r="U422" s="4" t="str">
        <f t="shared" si="29"/>
        <v>NOT AN ADD-ON</v>
      </c>
      <c r="V422" s="4" t="str">
        <f t="shared" si="27"/>
        <v>SPATIALADD-ONAUTHORIZEDNOT AN ADD-ON</v>
      </c>
    </row>
    <row r="423" spans="1:22" ht="15" thickBot="1">
      <c r="A423" s="10" t="s">
        <v>21</v>
      </c>
      <c r="B423" s="10" t="s">
        <v>22</v>
      </c>
      <c r="C423" s="10" t="s">
        <v>1044</v>
      </c>
      <c r="D423" s="10" t="s">
        <v>1045</v>
      </c>
      <c r="E423" s="10" t="s">
        <v>1046</v>
      </c>
      <c r="F423" s="10" t="s">
        <v>1047</v>
      </c>
      <c r="G423" s="11">
        <v>7150</v>
      </c>
      <c r="H423" s="163" t="s">
        <v>1076</v>
      </c>
      <c r="I423" s="158" t="s">
        <v>1077</v>
      </c>
      <c r="J423" s="163" t="s">
        <v>1078</v>
      </c>
      <c r="K423" s="10" t="s">
        <v>1079</v>
      </c>
      <c r="L423" s="10">
        <v>20</v>
      </c>
      <c r="M423" s="10">
        <f t="shared" si="28"/>
        <v>20</v>
      </c>
      <c r="N423" s="10">
        <v>20</v>
      </c>
      <c r="O423" s="12">
        <v>1</v>
      </c>
      <c r="P423" s="11">
        <v>35700</v>
      </c>
      <c r="Q423" s="10" t="s">
        <v>31</v>
      </c>
      <c r="R423" s="4" t="s">
        <v>1291</v>
      </c>
      <c r="S423" s="4" t="s">
        <v>507</v>
      </c>
      <c r="T423" s="4" t="s">
        <v>1384</v>
      </c>
      <c r="U423" s="4" t="str">
        <f t="shared" si="29"/>
        <v>NOT AN ADD-ON</v>
      </c>
      <c r="V423" s="4" t="str">
        <f t="shared" si="27"/>
        <v>SPATIALADD-ONINSTALLNOT AN ADD-ON</v>
      </c>
    </row>
    <row r="424" spans="1:22" ht="15" thickBot="1">
      <c r="A424" s="10" t="s">
        <v>21</v>
      </c>
      <c r="B424" s="10" t="s">
        <v>22</v>
      </c>
      <c r="C424" s="10" t="s">
        <v>986</v>
      </c>
      <c r="D424" s="10" t="s">
        <v>141</v>
      </c>
      <c r="E424" s="10" t="s">
        <v>142</v>
      </c>
      <c r="F424" s="10" t="s">
        <v>143</v>
      </c>
      <c r="G424" s="11">
        <v>536</v>
      </c>
      <c r="H424" s="163" t="s">
        <v>993</v>
      </c>
      <c r="I424" s="166" t="s">
        <v>994</v>
      </c>
      <c r="J424" s="163" t="s">
        <v>995</v>
      </c>
      <c r="K424" s="10" t="s">
        <v>30</v>
      </c>
      <c r="L424" s="10">
        <v>15</v>
      </c>
      <c r="M424" s="10">
        <f t="shared" si="28"/>
        <v>5</v>
      </c>
      <c r="N424" s="10">
        <v>15</v>
      </c>
      <c r="O424" s="12">
        <v>5</v>
      </c>
      <c r="P424" s="11">
        <v>2680</v>
      </c>
      <c r="Q424" s="10" t="s">
        <v>31</v>
      </c>
      <c r="R424" s="4" t="s">
        <v>1293</v>
      </c>
      <c r="S424" s="4" t="s">
        <v>1383</v>
      </c>
      <c r="T424" s="4" t="s">
        <v>19</v>
      </c>
      <c r="U424" s="4" t="str">
        <f t="shared" si="29"/>
        <v>NOT AN ADD-ON</v>
      </c>
      <c r="V424" s="4" t="str">
        <f t="shared" si="27"/>
        <v>HEALTH SAFETY AND ENVIRONMENT MANAGERHSEAUTHORIZEDNOT AN ADD-ON</v>
      </c>
    </row>
    <row r="425" spans="1:22" ht="15" thickBot="1">
      <c r="A425" s="10" t="s">
        <v>21</v>
      </c>
      <c r="B425" s="10" t="s">
        <v>22</v>
      </c>
      <c r="C425" s="10" t="s">
        <v>986</v>
      </c>
      <c r="D425" s="10" t="s">
        <v>141</v>
      </c>
      <c r="E425" s="10" t="s">
        <v>142</v>
      </c>
      <c r="F425" s="10" t="s">
        <v>143</v>
      </c>
      <c r="G425" s="11">
        <v>536</v>
      </c>
      <c r="H425" s="163" t="s">
        <v>999</v>
      </c>
      <c r="I425" s="158" t="s">
        <v>1000</v>
      </c>
      <c r="J425" s="163" t="s">
        <v>1001</v>
      </c>
      <c r="K425" s="10" t="s">
        <v>30</v>
      </c>
      <c r="L425" s="10">
        <v>15</v>
      </c>
      <c r="M425" s="10">
        <f t="shared" si="28"/>
        <v>5</v>
      </c>
      <c r="N425" s="10">
        <v>15</v>
      </c>
      <c r="O425" s="12">
        <v>5</v>
      </c>
      <c r="P425" s="11">
        <v>2680</v>
      </c>
      <c r="Q425" s="10" t="s">
        <v>31</v>
      </c>
      <c r="R425" s="4" t="s">
        <v>1293</v>
      </c>
      <c r="S425" s="4" t="s">
        <v>1383</v>
      </c>
      <c r="T425" s="4" t="s">
        <v>19</v>
      </c>
      <c r="U425" s="4" t="str">
        <f t="shared" si="29"/>
        <v>NOT AN ADD-ON</v>
      </c>
      <c r="V425" s="4" t="str">
        <f t="shared" si="27"/>
        <v>HEALTH SAFETY AND ENVIRONMENT MANAGERHSEAUTHORIZEDNOT AN ADD-ON</v>
      </c>
    </row>
    <row r="426" spans="1:22" ht="15" thickBot="1">
      <c r="A426" s="10" t="s">
        <v>21</v>
      </c>
      <c r="B426" s="10" t="s">
        <v>22</v>
      </c>
      <c r="C426" s="10" t="s">
        <v>140</v>
      </c>
      <c r="D426" s="10" t="s">
        <v>141</v>
      </c>
      <c r="E426" s="10" t="s">
        <v>142</v>
      </c>
      <c r="F426" s="10" t="s">
        <v>143</v>
      </c>
      <c r="G426" s="11">
        <v>241</v>
      </c>
      <c r="H426" s="163" t="s">
        <v>176</v>
      </c>
      <c r="I426" s="158" t="s">
        <v>177</v>
      </c>
      <c r="J426" s="163" t="s">
        <v>178</v>
      </c>
      <c r="K426" s="10" t="s">
        <v>30</v>
      </c>
      <c r="L426" s="10">
        <v>5</v>
      </c>
      <c r="M426" s="10">
        <f t="shared" si="28"/>
        <v>1.67</v>
      </c>
      <c r="N426" s="10">
        <v>5</v>
      </c>
      <c r="O426" s="12">
        <v>1.6666666666666667</v>
      </c>
      <c r="P426" s="11">
        <v>1190</v>
      </c>
      <c r="Q426" s="10" t="s">
        <v>31</v>
      </c>
      <c r="R426" s="4" t="s">
        <v>1278</v>
      </c>
      <c r="S426" s="4" t="s">
        <v>1278</v>
      </c>
      <c r="T426" s="4" t="s">
        <v>1381</v>
      </c>
      <c r="U426" s="4" t="str">
        <f t="shared" si="29"/>
        <v>NOT AN ADD-ON</v>
      </c>
      <c r="V426" s="4" t="str">
        <f t="shared" si="27"/>
        <v>ASSET MANAGEMENT (CORE)ASSET MANAGEMENT (CORE)EXPRESSNOT AN ADD-ON</v>
      </c>
    </row>
    <row r="427" spans="1:22" ht="29.25" customHeight="1" thickBot="1">
      <c r="A427" s="10" t="s">
        <v>21</v>
      </c>
      <c r="B427" s="10" t="s">
        <v>22</v>
      </c>
      <c r="C427" s="10" t="s">
        <v>140</v>
      </c>
      <c r="D427" s="10" t="s">
        <v>141</v>
      </c>
      <c r="E427" s="10" t="s">
        <v>142</v>
      </c>
      <c r="F427" s="10" t="s">
        <v>143</v>
      </c>
      <c r="G427" s="11">
        <v>241</v>
      </c>
      <c r="H427" s="163" t="s">
        <v>193</v>
      </c>
      <c r="I427" s="158" t="s">
        <v>194</v>
      </c>
      <c r="J427" s="163" t="s">
        <v>195</v>
      </c>
      <c r="K427" s="10" t="s">
        <v>30</v>
      </c>
      <c r="L427" s="10">
        <v>5</v>
      </c>
      <c r="M427" s="10">
        <f t="shared" si="28"/>
        <v>1.67</v>
      </c>
      <c r="N427" s="10">
        <v>5</v>
      </c>
      <c r="O427" s="12">
        <v>1.6666666666666667</v>
      </c>
      <c r="P427" s="11">
        <v>1190</v>
      </c>
      <c r="Q427" s="10" t="s">
        <v>31</v>
      </c>
      <c r="R427" s="4" t="s">
        <v>1278</v>
      </c>
      <c r="S427" s="4" t="s">
        <v>1278</v>
      </c>
      <c r="T427" s="4" t="s">
        <v>1381</v>
      </c>
      <c r="U427" s="4" t="str">
        <f t="shared" si="29"/>
        <v>NOT AN ADD-ON</v>
      </c>
      <c r="V427" s="4" t="str">
        <f t="shared" si="27"/>
        <v>ASSET MANAGEMENT (CORE)ASSET MANAGEMENT (CORE)EXPRESSNOT AN ADD-ON</v>
      </c>
    </row>
    <row r="428" spans="1:22" ht="15" thickBot="1">
      <c r="A428" s="10" t="s">
        <v>21</v>
      </c>
      <c r="B428" s="10" t="s">
        <v>22</v>
      </c>
      <c r="C428" s="10" t="s">
        <v>593</v>
      </c>
      <c r="D428" s="10" t="s">
        <v>594</v>
      </c>
      <c r="E428" s="10" t="s">
        <v>595</v>
      </c>
      <c r="F428" s="10" t="s">
        <v>596</v>
      </c>
      <c r="G428" s="11">
        <v>767</v>
      </c>
      <c r="H428" s="163" t="s">
        <v>673</v>
      </c>
      <c r="I428" s="158" t="s">
        <v>674</v>
      </c>
      <c r="J428" s="163" t="s">
        <v>671</v>
      </c>
      <c r="K428" s="10" t="s">
        <v>30</v>
      </c>
      <c r="L428" s="10">
        <v>5</v>
      </c>
      <c r="M428" s="10">
        <f t="shared" si="28"/>
        <v>1.67</v>
      </c>
      <c r="N428" s="10">
        <v>5</v>
      </c>
      <c r="O428" s="12">
        <v>1.6666666666666667</v>
      </c>
      <c r="P428" s="11">
        <v>3840</v>
      </c>
      <c r="Q428" s="10" t="s">
        <v>31</v>
      </c>
      <c r="R428" s="4" t="s">
        <v>1281</v>
      </c>
      <c r="S428" s="4" t="s">
        <v>1279</v>
      </c>
      <c r="T428" s="4" t="s">
        <v>672</v>
      </c>
      <c r="U428" s="4" t="str">
        <f t="shared" si="29"/>
        <v>NOT AN ADD-ON</v>
      </c>
      <c r="V428" s="4" t="str">
        <f t="shared" si="27"/>
        <v>NUCLEAR POWERINDUSTRY SOLUTIONLIMITEDNOT AN ADD-ON</v>
      </c>
    </row>
    <row r="429" spans="1:22" ht="15" thickBot="1">
      <c r="A429" s="10" t="s">
        <v>21</v>
      </c>
      <c r="B429" s="10" t="s">
        <v>22</v>
      </c>
      <c r="C429" s="10" t="s">
        <v>593</v>
      </c>
      <c r="D429" s="10" t="s">
        <v>594</v>
      </c>
      <c r="E429" s="10" t="s">
        <v>595</v>
      </c>
      <c r="F429" s="10" t="s">
        <v>596</v>
      </c>
      <c r="G429" s="11">
        <v>767</v>
      </c>
      <c r="H429" s="163" t="s">
        <v>681</v>
      </c>
      <c r="I429" s="158" t="s">
        <v>682</v>
      </c>
      <c r="J429" s="163" t="s">
        <v>680</v>
      </c>
      <c r="K429" s="10" t="s">
        <v>30</v>
      </c>
      <c r="L429" s="10">
        <v>5</v>
      </c>
      <c r="M429" s="10">
        <f t="shared" si="28"/>
        <v>1.67</v>
      </c>
      <c r="N429" s="10">
        <v>5</v>
      </c>
      <c r="O429" s="12">
        <v>1.6666666666666667</v>
      </c>
      <c r="P429" s="11">
        <v>3840</v>
      </c>
      <c r="Q429" s="10" t="s">
        <v>31</v>
      </c>
      <c r="R429" s="4" t="s">
        <v>1281</v>
      </c>
      <c r="S429" s="4" t="s">
        <v>1279</v>
      </c>
      <c r="T429" s="4" t="s">
        <v>672</v>
      </c>
      <c r="U429" s="4" t="str">
        <f t="shared" si="29"/>
        <v>NOT AN ADD-ON</v>
      </c>
      <c r="V429" s="4" t="str">
        <f t="shared" si="27"/>
        <v>NUCLEAR POWERINDUSTRY SOLUTIONLIMITEDNOT AN ADD-ON</v>
      </c>
    </row>
    <row r="430" spans="1:22" ht="15" thickBot="1">
      <c r="A430" s="10" t="s">
        <v>21</v>
      </c>
      <c r="B430" s="10" t="s">
        <v>22</v>
      </c>
      <c r="C430" s="10" t="s">
        <v>686</v>
      </c>
      <c r="D430" s="10" t="s">
        <v>687</v>
      </c>
      <c r="E430" s="10" t="s">
        <v>688</v>
      </c>
      <c r="F430" s="10" t="s">
        <v>689</v>
      </c>
      <c r="G430" s="11">
        <v>767</v>
      </c>
      <c r="H430" s="163" t="s">
        <v>765</v>
      </c>
      <c r="I430" s="158" t="s">
        <v>766</v>
      </c>
      <c r="J430" s="163" t="s">
        <v>764</v>
      </c>
      <c r="K430" s="10" t="s">
        <v>30</v>
      </c>
      <c r="L430" s="10">
        <v>5</v>
      </c>
      <c r="M430" s="10">
        <f t="shared" si="28"/>
        <v>1.67</v>
      </c>
      <c r="N430" s="10">
        <v>5</v>
      </c>
      <c r="O430" s="12">
        <v>1.6666666666666667</v>
      </c>
      <c r="P430" s="11">
        <v>3840</v>
      </c>
      <c r="Q430" s="10" t="s">
        <v>31</v>
      </c>
      <c r="R430" s="4" t="s">
        <v>1282</v>
      </c>
      <c r="S430" s="4" t="s">
        <v>1279</v>
      </c>
      <c r="T430" s="4" t="s">
        <v>672</v>
      </c>
      <c r="U430" s="4" t="str">
        <f t="shared" si="29"/>
        <v>NOT AN ADD-ON</v>
      </c>
      <c r="V430" s="4" t="str">
        <f t="shared" si="27"/>
        <v>OIL AND GASINDUSTRY SOLUTIONLIMITEDNOT AN ADD-ON</v>
      </c>
    </row>
    <row r="431" spans="1:22" ht="15" thickBot="1">
      <c r="A431" s="10" t="s">
        <v>21</v>
      </c>
      <c r="B431" s="10" t="s">
        <v>22</v>
      </c>
      <c r="C431" s="10" t="s">
        <v>686</v>
      </c>
      <c r="D431" s="10" t="s">
        <v>687</v>
      </c>
      <c r="E431" s="10" t="s">
        <v>688</v>
      </c>
      <c r="F431" s="10" t="s">
        <v>689</v>
      </c>
      <c r="G431" s="11">
        <v>767</v>
      </c>
      <c r="H431" s="163" t="s">
        <v>773</v>
      </c>
      <c r="I431" s="158" t="s">
        <v>774</v>
      </c>
      <c r="J431" s="163" t="s">
        <v>772</v>
      </c>
      <c r="K431" s="10" t="s">
        <v>30</v>
      </c>
      <c r="L431" s="10">
        <v>5</v>
      </c>
      <c r="M431" s="10">
        <f t="shared" si="28"/>
        <v>1.67</v>
      </c>
      <c r="N431" s="10">
        <v>5</v>
      </c>
      <c r="O431" s="12">
        <v>1.6666666666666667</v>
      </c>
      <c r="P431" s="11">
        <v>3840</v>
      </c>
      <c r="Q431" s="10" t="s">
        <v>31</v>
      </c>
      <c r="R431" s="4" t="s">
        <v>1282</v>
      </c>
      <c r="S431" s="4" t="s">
        <v>1279</v>
      </c>
      <c r="T431" s="4" t="s">
        <v>672</v>
      </c>
      <c r="U431" s="4" t="str">
        <f t="shared" si="29"/>
        <v>NOT AN ADD-ON</v>
      </c>
      <c r="V431" s="4" t="str">
        <f t="shared" si="27"/>
        <v>OIL AND GASINDUSTRY SOLUTIONLIMITEDNOT AN ADD-ON</v>
      </c>
    </row>
    <row r="432" spans="1:22" ht="15" thickBot="1">
      <c r="A432" s="10" t="s">
        <v>21</v>
      </c>
      <c r="B432" s="10" t="s">
        <v>22</v>
      </c>
      <c r="C432" s="10" t="s">
        <v>778</v>
      </c>
      <c r="D432" s="10" t="s">
        <v>779</v>
      </c>
      <c r="E432" s="10" t="s">
        <v>780</v>
      </c>
      <c r="F432" s="10" t="s">
        <v>781</v>
      </c>
      <c r="G432" s="11">
        <v>767</v>
      </c>
      <c r="H432" s="163" t="s">
        <v>857</v>
      </c>
      <c r="I432" s="158" t="s">
        <v>858</v>
      </c>
      <c r="J432" s="163" t="s">
        <v>856</v>
      </c>
      <c r="K432" s="10" t="s">
        <v>30</v>
      </c>
      <c r="L432" s="10">
        <v>5</v>
      </c>
      <c r="M432" s="10">
        <f t="shared" si="28"/>
        <v>1.67</v>
      </c>
      <c r="N432" s="10">
        <v>5</v>
      </c>
      <c r="O432" s="12">
        <v>1.6666666666666667</v>
      </c>
      <c r="P432" s="11">
        <v>3840</v>
      </c>
      <c r="Q432" s="10" t="s">
        <v>31</v>
      </c>
      <c r="R432" s="4" t="s">
        <v>1283</v>
      </c>
      <c r="S432" s="4" t="s">
        <v>1279</v>
      </c>
      <c r="T432" s="4" t="s">
        <v>672</v>
      </c>
      <c r="U432" s="4" t="str">
        <f t="shared" si="29"/>
        <v>NOT AN ADD-ON</v>
      </c>
      <c r="V432" s="4" t="str">
        <f t="shared" si="27"/>
        <v>TRANSPORATIONINDUSTRY SOLUTIONLIMITEDNOT AN ADD-ON</v>
      </c>
    </row>
    <row r="433" spans="1:22" ht="15" thickBot="1">
      <c r="A433" s="10" t="s">
        <v>21</v>
      </c>
      <c r="B433" s="10" t="s">
        <v>22</v>
      </c>
      <c r="C433" s="10" t="s">
        <v>778</v>
      </c>
      <c r="D433" s="10" t="s">
        <v>779</v>
      </c>
      <c r="E433" s="10" t="s">
        <v>780</v>
      </c>
      <c r="F433" s="10" t="s">
        <v>781</v>
      </c>
      <c r="G433" s="11">
        <v>767</v>
      </c>
      <c r="H433" s="163" t="s">
        <v>865</v>
      </c>
      <c r="I433" s="158" t="s">
        <v>866</v>
      </c>
      <c r="J433" s="163" t="s">
        <v>864</v>
      </c>
      <c r="K433" s="10" t="s">
        <v>30</v>
      </c>
      <c r="L433" s="10">
        <v>5</v>
      </c>
      <c r="M433" s="10">
        <f t="shared" si="28"/>
        <v>1.67</v>
      </c>
      <c r="N433" s="10">
        <v>5</v>
      </c>
      <c r="O433" s="12">
        <v>1.6666666666666667</v>
      </c>
      <c r="P433" s="11">
        <v>3840</v>
      </c>
      <c r="Q433" s="10" t="s">
        <v>31</v>
      </c>
      <c r="R433" s="4" t="s">
        <v>1283</v>
      </c>
      <c r="S433" s="4" t="s">
        <v>1279</v>
      </c>
      <c r="T433" s="4" t="s">
        <v>672</v>
      </c>
      <c r="U433" s="4" t="str">
        <f t="shared" si="29"/>
        <v>NOT AN ADD-ON</v>
      </c>
      <c r="V433" s="4" t="str">
        <f t="shared" si="27"/>
        <v>TRANSPORATIONINDUSTRY SOLUTIONLIMITEDNOT AN ADD-ON</v>
      </c>
    </row>
    <row r="434" spans="1:22" ht="15" thickBot="1">
      <c r="A434" s="10" t="s">
        <v>21</v>
      </c>
      <c r="B434" s="10" t="s">
        <v>22</v>
      </c>
      <c r="C434" s="10" t="s">
        <v>870</v>
      </c>
      <c r="D434" s="10" t="s">
        <v>871</v>
      </c>
      <c r="E434" s="10" t="s">
        <v>872</v>
      </c>
      <c r="F434" s="10" t="s">
        <v>873</v>
      </c>
      <c r="G434" s="11">
        <v>767</v>
      </c>
      <c r="H434" s="163" t="s">
        <v>945</v>
      </c>
      <c r="I434" s="158" t="s">
        <v>946</v>
      </c>
      <c r="J434" s="163" t="s">
        <v>944</v>
      </c>
      <c r="K434" s="10" t="s">
        <v>30</v>
      </c>
      <c r="L434" s="10">
        <v>5</v>
      </c>
      <c r="M434" s="10">
        <f t="shared" si="28"/>
        <v>1.67</v>
      </c>
      <c r="N434" s="10">
        <v>5</v>
      </c>
      <c r="O434" s="12">
        <v>1.6666666666666667</v>
      </c>
      <c r="P434" s="11">
        <v>3840</v>
      </c>
      <c r="Q434" s="10" t="s">
        <v>31</v>
      </c>
      <c r="R434" s="4" t="s">
        <v>1284</v>
      </c>
      <c r="S434" s="4" t="s">
        <v>1279</v>
      </c>
      <c r="T434" s="4" t="s">
        <v>672</v>
      </c>
      <c r="U434" s="4" t="str">
        <f t="shared" si="29"/>
        <v>NOT AN ADD-ON</v>
      </c>
      <c r="V434" s="4" t="str">
        <f t="shared" si="27"/>
        <v>UTILITIESINDUSTRY SOLUTIONLIMITEDNOT AN ADD-ON</v>
      </c>
    </row>
    <row r="435" spans="1:22" ht="15" thickBot="1">
      <c r="A435" s="10" t="s">
        <v>21</v>
      </c>
      <c r="B435" s="10" t="s">
        <v>22</v>
      </c>
      <c r="C435" s="10" t="s">
        <v>870</v>
      </c>
      <c r="D435" s="10" t="s">
        <v>871</v>
      </c>
      <c r="E435" s="10" t="s">
        <v>872</v>
      </c>
      <c r="F435" s="10" t="s">
        <v>873</v>
      </c>
      <c r="G435" s="11">
        <v>767</v>
      </c>
      <c r="H435" s="163" t="s">
        <v>953</v>
      </c>
      <c r="I435" s="158" t="s">
        <v>954</v>
      </c>
      <c r="J435" s="163" t="s">
        <v>952</v>
      </c>
      <c r="K435" s="10" t="s">
        <v>30</v>
      </c>
      <c r="L435" s="10">
        <v>5</v>
      </c>
      <c r="M435" s="10">
        <f t="shared" si="28"/>
        <v>1.67</v>
      </c>
      <c r="N435" s="10">
        <v>5</v>
      </c>
      <c r="O435" s="12">
        <v>1.6666666666666667</v>
      </c>
      <c r="P435" s="11">
        <v>3840</v>
      </c>
      <c r="Q435" s="10" t="s">
        <v>31</v>
      </c>
      <c r="R435" s="4" t="s">
        <v>1284</v>
      </c>
      <c r="S435" s="4" t="s">
        <v>1279</v>
      </c>
      <c r="T435" s="4" t="s">
        <v>672</v>
      </c>
      <c r="U435" s="4" t="str">
        <f t="shared" si="29"/>
        <v>NOT AN ADD-ON</v>
      </c>
      <c r="V435" s="4" t="str">
        <f t="shared" si="27"/>
        <v>UTILITIESINDUSTRY SOLUTIONLIMITEDNOT AN ADD-ON</v>
      </c>
    </row>
    <row r="436" spans="1:22" ht="15" thickBot="1">
      <c r="A436" s="10" t="s">
        <v>21</v>
      </c>
      <c r="B436" s="10" t="s">
        <v>22</v>
      </c>
      <c r="C436" s="10" t="s">
        <v>500</v>
      </c>
      <c r="D436" s="10" t="s">
        <v>501</v>
      </c>
      <c r="E436" s="10" t="s">
        <v>502</v>
      </c>
      <c r="F436" s="10" t="s">
        <v>503</v>
      </c>
      <c r="G436" s="11">
        <v>695</v>
      </c>
      <c r="H436" s="163" t="s">
        <v>580</v>
      </c>
      <c r="I436" s="158" t="s">
        <v>581</v>
      </c>
      <c r="J436" s="163" t="s">
        <v>579</v>
      </c>
      <c r="K436" s="10" t="s">
        <v>30</v>
      </c>
      <c r="L436" s="10">
        <v>5</v>
      </c>
      <c r="M436" s="10">
        <f t="shared" si="28"/>
        <v>1.67</v>
      </c>
      <c r="N436" s="10">
        <v>5</v>
      </c>
      <c r="O436" s="12">
        <v>1.6666666666666667</v>
      </c>
      <c r="P436" s="11">
        <v>3480</v>
      </c>
      <c r="Q436" s="10" t="s">
        <v>31</v>
      </c>
      <c r="R436" s="4" t="s">
        <v>1292</v>
      </c>
      <c r="S436" s="4" t="s">
        <v>1292</v>
      </c>
      <c r="T436" s="4" t="s">
        <v>672</v>
      </c>
      <c r="U436" s="4" t="str">
        <f t="shared" si="29"/>
        <v>NOT AN ADD-ON</v>
      </c>
      <c r="V436" s="4" t="str">
        <f t="shared" si="27"/>
        <v>LIFE SCIENCESLIFE SCIENCESLIMITEDNOT AN ADD-ON</v>
      </c>
    </row>
    <row r="437" spans="1:22" ht="15" thickBot="1">
      <c r="A437" s="10" t="s">
        <v>21</v>
      </c>
      <c r="B437" s="10" t="s">
        <v>22</v>
      </c>
      <c r="C437" s="10" t="s">
        <v>500</v>
      </c>
      <c r="D437" s="10" t="s">
        <v>501</v>
      </c>
      <c r="E437" s="10" t="s">
        <v>502</v>
      </c>
      <c r="F437" s="10" t="s">
        <v>503</v>
      </c>
      <c r="G437" s="11">
        <v>695</v>
      </c>
      <c r="H437" s="163" t="s">
        <v>588</v>
      </c>
      <c r="I437" s="158" t="s">
        <v>589</v>
      </c>
      <c r="J437" s="163" t="s">
        <v>587</v>
      </c>
      <c r="K437" s="10" t="s">
        <v>30</v>
      </c>
      <c r="L437" s="10">
        <v>5</v>
      </c>
      <c r="M437" s="10">
        <f t="shared" si="28"/>
        <v>1.67</v>
      </c>
      <c r="N437" s="10">
        <v>5</v>
      </c>
      <c r="O437" s="12">
        <v>1.6666666666666667</v>
      </c>
      <c r="P437" s="11">
        <v>3480</v>
      </c>
      <c r="Q437" s="10" t="s">
        <v>31</v>
      </c>
      <c r="R437" s="4" t="s">
        <v>1292</v>
      </c>
      <c r="S437" s="4" t="s">
        <v>1292</v>
      </c>
      <c r="T437" s="4" t="s">
        <v>672</v>
      </c>
      <c r="U437" s="4" t="str">
        <f t="shared" si="29"/>
        <v>NOT AN ADD-ON</v>
      </c>
      <c r="V437" s="4" t="str">
        <f t="shared" si="27"/>
        <v>LIFE SCIENCESLIFE SCIENCESLIMITEDNOT AN ADD-ON</v>
      </c>
    </row>
    <row r="438" spans="1:22" ht="15" thickBot="1">
      <c r="A438" s="10" t="s">
        <v>21</v>
      </c>
      <c r="B438" s="10" t="s">
        <v>22</v>
      </c>
      <c r="C438" s="10" t="s">
        <v>23</v>
      </c>
      <c r="D438" s="10" t="s">
        <v>24</v>
      </c>
      <c r="E438" s="10" t="s">
        <v>25</v>
      </c>
      <c r="F438" s="10" t="s">
        <v>26</v>
      </c>
      <c r="G438" s="11">
        <v>461</v>
      </c>
      <c r="H438" s="163" t="s">
        <v>88</v>
      </c>
      <c r="I438" s="158" t="s">
        <v>89</v>
      </c>
      <c r="J438" s="163" t="s">
        <v>90</v>
      </c>
      <c r="K438" s="10" t="s">
        <v>30</v>
      </c>
      <c r="L438" s="10">
        <v>5</v>
      </c>
      <c r="M438" s="10">
        <f t="shared" ref="M438:M469" si="30">ROUND(IF(K438="Authorized User",L438/3,L438),2)</f>
        <v>1.67</v>
      </c>
      <c r="N438" s="10">
        <v>5</v>
      </c>
      <c r="O438" s="12">
        <f>N438/3</f>
        <v>1.6666666666666667</v>
      </c>
      <c r="P438" s="11">
        <v>2310</v>
      </c>
      <c r="Q438" s="10" t="s">
        <v>31</v>
      </c>
      <c r="R438" s="4" t="s">
        <v>42</v>
      </c>
      <c r="S438" s="4" t="s">
        <v>42</v>
      </c>
      <c r="T438" s="4" t="s">
        <v>19</v>
      </c>
      <c r="U438" s="4" t="str">
        <f t="shared" si="29"/>
        <v>NOT AN ADD-ON</v>
      </c>
      <c r="V438" s="4" t="str">
        <f t="shared" si="27"/>
        <v>ANYWHEREANYWHEREAUTHORIZEDNOT AN ADD-ON</v>
      </c>
    </row>
    <row r="439" spans="1:22" ht="15" thickBot="1">
      <c r="A439" s="10" t="s">
        <v>21</v>
      </c>
      <c r="B439" s="10" t="s">
        <v>22</v>
      </c>
      <c r="C439" s="10" t="s">
        <v>23</v>
      </c>
      <c r="D439" s="10" t="s">
        <v>24</v>
      </c>
      <c r="E439" s="10" t="s">
        <v>25</v>
      </c>
      <c r="F439" s="10" t="s">
        <v>26</v>
      </c>
      <c r="G439" s="11">
        <v>461</v>
      </c>
      <c r="H439" s="163" t="s">
        <v>80</v>
      </c>
      <c r="I439" s="158" t="s">
        <v>81</v>
      </c>
      <c r="J439" s="163" t="s">
        <v>82</v>
      </c>
      <c r="K439" s="10" t="s">
        <v>30</v>
      </c>
      <c r="L439" s="10">
        <v>5</v>
      </c>
      <c r="M439" s="10">
        <f t="shared" si="30"/>
        <v>1.67</v>
      </c>
      <c r="N439" s="10">
        <v>5</v>
      </c>
      <c r="O439" s="12">
        <f>N439/3</f>
        <v>1.6666666666666667</v>
      </c>
      <c r="P439" s="11">
        <v>2310</v>
      </c>
      <c r="Q439" s="10" t="s">
        <v>31</v>
      </c>
      <c r="R439" s="4" t="s">
        <v>42</v>
      </c>
      <c r="S439" s="4" t="s">
        <v>42</v>
      </c>
      <c r="T439" s="4" t="s">
        <v>19</v>
      </c>
      <c r="U439" s="4" t="str">
        <f t="shared" si="29"/>
        <v>NOT AN ADD-ON</v>
      </c>
      <c r="V439" s="4" t="str">
        <f t="shared" si="27"/>
        <v>ANYWHEREANYWHEREAUTHORIZEDNOT AN ADD-ON</v>
      </c>
    </row>
    <row r="440" spans="1:22" ht="15" thickBot="1">
      <c r="A440" s="10" t="s">
        <v>21</v>
      </c>
      <c r="B440" s="10" t="s">
        <v>22</v>
      </c>
      <c r="C440" s="10" t="s">
        <v>23</v>
      </c>
      <c r="D440" s="10" t="s">
        <v>24</v>
      </c>
      <c r="E440" s="10" t="s">
        <v>25</v>
      </c>
      <c r="F440" s="10" t="s">
        <v>26</v>
      </c>
      <c r="G440" s="11">
        <v>280</v>
      </c>
      <c r="H440" s="163" t="s">
        <v>27</v>
      </c>
      <c r="I440" s="158" t="s">
        <v>28</v>
      </c>
      <c r="J440" s="163" t="s">
        <v>29</v>
      </c>
      <c r="K440" s="10" t="s">
        <v>30</v>
      </c>
      <c r="L440" s="10">
        <v>0</v>
      </c>
      <c r="M440" s="10">
        <f t="shared" si="30"/>
        <v>0</v>
      </c>
      <c r="N440" s="10">
        <v>5</v>
      </c>
      <c r="O440" s="12">
        <f>N440/3</f>
        <v>1.6666666666666667</v>
      </c>
      <c r="P440" s="11">
        <v>1400</v>
      </c>
      <c r="Q440" s="10" t="s">
        <v>31</v>
      </c>
      <c r="R440" s="4" t="s">
        <v>42</v>
      </c>
      <c r="S440" s="4" t="s">
        <v>42</v>
      </c>
      <c r="T440" s="4" t="s">
        <v>19</v>
      </c>
      <c r="U440" s="4" t="str">
        <f t="shared" si="29"/>
        <v>ADD-ON</v>
      </c>
      <c r="V440" s="4" t="str">
        <f t="shared" si="27"/>
        <v>ANYWHEREANYWHEREAUTHORIZEDADD-ON</v>
      </c>
    </row>
    <row r="441" spans="1:22" ht="15" thickBot="1">
      <c r="A441" s="10" t="s">
        <v>21</v>
      </c>
      <c r="B441" s="10" t="s">
        <v>22</v>
      </c>
      <c r="C441" s="10" t="s">
        <v>23</v>
      </c>
      <c r="D441" s="10" t="s">
        <v>24</v>
      </c>
      <c r="E441" s="10" t="s">
        <v>25</v>
      </c>
      <c r="F441" s="10" t="s">
        <v>26</v>
      </c>
      <c r="G441" s="11">
        <v>280</v>
      </c>
      <c r="H441" s="163" t="s">
        <v>56</v>
      </c>
      <c r="I441" s="158" t="s">
        <v>57</v>
      </c>
      <c r="J441" s="163" t="s">
        <v>58</v>
      </c>
      <c r="K441" s="10" t="s">
        <v>30</v>
      </c>
      <c r="L441" s="10">
        <v>0</v>
      </c>
      <c r="M441" s="10">
        <f t="shared" si="30"/>
        <v>0</v>
      </c>
      <c r="N441" s="10">
        <v>5</v>
      </c>
      <c r="O441" s="12">
        <f>N441/3</f>
        <v>1.6666666666666667</v>
      </c>
      <c r="P441" s="11">
        <v>1400</v>
      </c>
      <c r="Q441" s="10" t="s">
        <v>31</v>
      </c>
      <c r="R441" s="4" t="s">
        <v>42</v>
      </c>
      <c r="S441" s="4" t="s">
        <v>42</v>
      </c>
      <c r="T441" s="4" t="s">
        <v>19</v>
      </c>
      <c r="U441" s="4" t="str">
        <f t="shared" si="29"/>
        <v>ADD-ON</v>
      </c>
      <c r="V441" s="4" t="str">
        <f t="shared" si="27"/>
        <v>ANYWHEREANYWHEREAUTHORIZEDADD-ON</v>
      </c>
    </row>
    <row r="442" spans="1:22" ht="15" thickBot="1">
      <c r="A442" s="10" t="s">
        <v>21</v>
      </c>
      <c r="B442" s="10" t="s">
        <v>22</v>
      </c>
      <c r="C442" s="10" t="s">
        <v>448</v>
      </c>
      <c r="D442" s="10" t="s">
        <v>449</v>
      </c>
      <c r="E442" s="10" t="s">
        <v>450</v>
      </c>
      <c r="F442" s="10" t="s">
        <v>451</v>
      </c>
      <c r="G442" s="11">
        <v>2290</v>
      </c>
      <c r="H442" s="163" t="s">
        <v>452</v>
      </c>
      <c r="I442" s="158" t="s">
        <v>453</v>
      </c>
      <c r="J442" s="163" t="s">
        <v>454</v>
      </c>
      <c r="K442" s="10" t="s">
        <v>30</v>
      </c>
      <c r="L442" s="10">
        <v>15</v>
      </c>
      <c r="M442" s="10">
        <f t="shared" si="30"/>
        <v>5</v>
      </c>
      <c r="N442" s="10">
        <v>15</v>
      </c>
      <c r="O442" s="12">
        <v>5</v>
      </c>
      <c r="P442" s="11">
        <v>11400</v>
      </c>
      <c r="Q442" s="10" t="s">
        <v>31</v>
      </c>
      <c r="R442" s="4" t="s">
        <v>1280</v>
      </c>
      <c r="S442" s="4" t="s">
        <v>1279</v>
      </c>
      <c r="T442" s="4" t="s">
        <v>19</v>
      </c>
      <c r="U442" s="4" t="str">
        <f t="shared" si="29"/>
        <v>NOT AN ADD-ON</v>
      </c>
      <c r="V442" s="4" t="str">
        <f t="shared" si="27"/>
        <v>AVIATIONINDUSTRY SOLUTIONAUTHORIZEDNOT AN ADD-ON</v>
      </c>
    </row>
    <row r="443" spans="1:22" ht="15" thickBot="1">
      <c r="A443" s="10" t="s">
        <v>21</v>
      </c>
      <c r="B443" s="10" t="s">
        <v>22</v>
      </c>
      <c r="C443" s="10" t="s">
        <v>448</v>
      </c>
      <c r="D443" s="10" t="s">
        <v>449</v>
      </c>
      <c r="E443" s="10" t="s">
        <v>450</v>
      </c>
      <c r="F443" s="10" t="s">
        <v>451</v>
      </c>
      <c r="G443" s="11">
        <v>6310</v>
      </c>
      <c r="H443" s="163" t="s">
        <v>458</v>
      </c>
      <c r="I443" s="158" t="s">
        <v>459</v>
      </c>
      <c r="J443" s="163" t="s">
        <v>460</v>
      </c>
      <c r="K443" s="10" t="s">
        <v>40</v>
      </c>
      <c r="L443" s="10">
        <v>15</v>
      </c>
      <c r="M443" s="10">
        <f t="shared" si="30"/>
        <v>15</v>
      </c>
      <c r="N443" s="10">
        <v>15</v>
      </c>
      <c r="O443" s="12">
        <v>1</v>
      </c>
      <c r="P443" s="11">
        <v>31600</v>
      </c>
      <c r="Q443" s="10" t="s">
        <v>31</v>
      </c>
      <c r="R443" s="4" t="s">
        <v>1280</v>
      </c>
      <c r="S443" s="4" t="s">
        <v>1279</v>
      </c>
      <c r="T443" s="4" t="s">
        <v>19</v>
      </c>
      <c r="U443" s="4" t="str">
        <f t="shared" si="29"/>
        <v>NOT AN ADD-ON</v>
      </c>
      <c r="V443" s="4" t="str">
        <f t="shared" si="27"/>
        <v>AVIATIONINDUSTRY SOLUTIONAUTHORIZEDNOT AN ADD-ON</v>
      </c>
    </row>
    <row r="444" spans="1:22" ht="15" thickBot="1">
      <c r="A444" s="10" t="s">
        <v>21</v>
      </c>
      <c r="B444" s="10" t="s">
        <v>22</v>
      </c>
      <c r="C444" s="10" t="s">
        <v>448</v>
      </c>
      <c r="D444" s="10" t="s">
        <v>449</v>
      </c>
      <c r="E444" s="10" t="s">
        <v>450</v>
      </c>
      <c r="F444" s="10" t="s">
        <v>451</v>
      </c>
      <c r="G444" s="11">
        <v>767</v>
      </c>
      <c r="H444" s="163" t="s">
        <v>476</v>
      </c>
      <c r="I444" s="158" t="s">
        <v>477</v>
      </c>
      <c r="J444" s="163" t="s">
        <v>478</v>
      </c>
      <c r="K444" s="10" t="s">
        <v>30</v>
      </c>
      <c r="L444" s="10">
        <v>5</v>
      </c>
      <c r="M444" s="10">
        <f t="shared" si="30"/>
        <v>1.67</v>
      </c>
      <c r="N444" s="10">
        <v>5</v>
      </c>
      <c r="O444" s="12">
        <v>1.6666666666666667</v>
      </c>
      <c r="P444" s="11">
        <v>3840</v>
      </c>
      <c r="Q444" s="10" t="s">
        <v>31</v>
      </c>
      <c r="R444" s="4" t="s">
        <v>1280</v>
      </c>
      <c r="S444" s="4" t="s">
        <v>1279</v>
      </c>
      <c r="T444" s="4" t="s">
        <v>672</v>
      </c>
      <c r="U444" s="4" t="str">
        <f t="shared" si="29"/>
        <v>NOT AN ADD-ON</v>
      </c>
      <c r="V444" s="4" t="str">
        <f t="shared" si="27"/>
        <v>AVIATIONINDUSTRY SOLUTIONLIMITEDNOT AN ADD-ON</v>
      </c>
    </row>
    <row r="445" spans="1:22" ht="15" thickBot="1">
      <c r="A445" s="10" t="s">
        <v>21</v>
      </c>
      <c r="B445" s="10" t="s">
        <v>22</v>
      </c>
      <c r="C445" s="10" t="s">
        <v>448</v>
      </c>
      <c r="D445" s="10" t="s">
        <v>449</v>
      </c>
      <c r="E445" s="10" t="s">
        <v>450</v>
      </c>
      <c r="F445" s="10" t="s">
        <v>451</v>
      </c>
      <c r="G445" s="11">
        <v>2110</v>
      </c>
      <c r="H445" s="163" t="s">
        <v>482</v>
      </c>
      <c r="I445" s="158" t="s">
        <v>483</v>
      </c>
      <c r="J445" s="163" t="s">
        <v>484</v>
      </c>
      <c r="K445" s="10" t="s">
        <v>40</v>
      </c>
      <c r="L445" s="10">
        <v>5</v>
      </c>
      <c r="M445" s="10">
        <f t="shared" si="30"/>
        <v>5</v>
      </c>
      <c r="N445" s="10">
        <v>5</v>
      </c>
      <c r="O445" s="12">
        <v>1</v>
      </c>
      <c r="P445" s="11">
        <v>10500</v>
      </c>
      <c r="Q445" s="10" t="s">
        <v>31</v>
      </c>
      <c r="R445" s="4" t="s">
        <v>1280</v>
      </c>
      <c r="S445" s="4" t="s">
        <v>1279</v>
      </c>
      <c r="T445" s="4" t="s">
        <v>672</v>
      </c>
      <c r="U445" s="4" t="str">
        <f t="shared" si="29"/>
        <v>NOT AN ADD-ON</v>
      </c>
      <c r="V445" s="4" t="str">
        <f t="shared" si="27"/>
        <v>AVIATIONINDUSTRY SOLUTIONLIMITEDNOT AN ADD-ON</v>
      </c>
    </row>
    <row r="446" spans="1:22" ht="15" thickBot="1">
      <c r="A446" s="10" t="s">
        <v>21</v>
      </c>
      <c r="B446" s="10" t="s">
        <v>22</v>
      </c>
      <c r="C446" s="10" t="s">
        <v>448</v>
      </c>
      <c r="D446" s="10" t="s">
        <v>449</v>
      </c>
      <c r="E446" s="10" t="s">
        <v>450</v>
      </c>
      <c r="F446" s="10" t="s">
        <v>451</v>
      </c>
      <c r="G446" s="11">
        <v>6310</v>
      </c>
      <c r="H446" s="163" t="s">
        <v>470</v>
      </c>
      <c r="I446" s="158" t="s">
        <v>471</v>
      </c>
      <c r="J446" s="163" t="s">
        <v>472</v>
      </c>
      <c r="K446" s="10" t="s">
        <v>40</v>
      </c>
      <c r="L446" s="10">
        <v>15</v>
      </c>
      <c r="M446" s="10">
        <f t="shared" si="30"/>
        <v>15</v>
      </c>
      <c r="N446" s="10">
        <v>15</v>
      </c>
      <c r="O446" s="12">
        <v>1</v>
      </c>
      <c r="P446" s="11">
        <v>31600</v>
      </c>
      <c r="Q446" s="10" t="s">
        <v>31</v>
      </c>
      <c r="R446" s="4" t="s">
        <v>1280</v>
      </c>
      <c r="S446" s="4" t="s">
        <v>1279</v>
      </c>
      <c r="T446" s="4" t="s">
        <v>19</v>
      </c>
      <c r="U446" s="4" t="str">
        <f t="shared" si="29"/>
        <v>NOT AN ADD-ON</v>
      </c>
      <c r="V446" s="4" t="str">
        <f t="shared" si="27"/>
        <v>AVIATIONINDUSTRY SOLUTIONAUTHORIZEDNOT AN ADD-ON</v>
      </c>
    </row>
    <row r="447" spans="1:22" ht="15" thickBot="1">
      <c r="A447" s="10" t="s">
        <v>21</v>
      </c>
      <c r="B447" s="10" t="s">
        <v>22</v>
      </c>
      <c r="C447" s="10" t="s">
        <v>140</v>
      </c>
      <c r="D447" s="10" t="s">
        <v>141</v>
      </c>
      <c r="E447" s="10" t="s">
        <v>142</v>
      </c>
      <c r="F447" s="10" t="s">
        <v>143</v>
      </c>
      <c r="G447" s="11">
        <v>723</v>
      </c>
      <c r="H447" s="163" t="s">
        <v>182</v>
      </c>
      <c r="I447" s="158" t="s">
        <v>183</v>
      </c>
      <c r="J447" s="163" t="s">
        <v>184</v>
      </c>
      <c r="K447" s="10" t="s">
        <v>40</v>
      </c>
      <c r="L447" s="10">
        <v>5</v>
      </c>
      <c r="M447" s="10">
        <f t="shared" si="30"/>
        <v>5</v>
      </c>
      <c r="N447" s="10">
        <v>5</v>
      </c>
      <c r="O447" s="12">
        <v>1</v>
      </c>
      <c r="P447" s="11">
        <v>3620</v>
      </c>
      <c r="Q447" s="10" t="s">
        <v>31</v>
      </c>
      <c r="R447" s="4" t="s">
        <v>1278</v>
      </c>
      <c r="S447" s="4" t="s">
        <v>1278</v>
      </c>
      <c r="T447" s="4" t="s">
        <v>1381</v>
      </c>
      <c r="U447" s="4" t="str">
        <f t="shared" si="29"/>
        <v>NOT AN ADD-ON</v>
      </c>
      <c r="V447" s="4" t="str">
        <f t="shared" si="27"/>
        <v>ASSET MANAGEMENT (CORE)ASSET MANAGEMENT (CORE)EXPRESSNOT AN ADD-ON</v>
      </c>
    </row>
    <row r="448" spans="1:22" ht="15" thickBot="1">
      <c r="A448" s="10" t="s">
        <v>21</v>
      </c>
      <c r="B448" s="10" t="s">
        <v>22</v>
      </c>
      <c r="C448" s="10" t="s">
        <v>448</v>
      </c>
      <c r="D448" s="10" t="s">
        <v>449</v>
      </c>
      <c r="E448" s="10" t="s">
        <v>450</v>
      </c>
      <c r="F448" s="10" t="s">
        <v>451</v>
      </c>
      <c r="G448" s="11">
        <v>2290</v>
      </c>
      <c r="H448" s="163" t="s">
        <v>464</v>
      </c>
      <c r="I448" s="158" t="s">
        <v>465</v>
      </c>
      <c r="J448" s="163" t="s">
        <v>466</v>
      </c>
      <c r="K448" s="10" t="s">
        <v>30</v>
      </c>
      <c r="L448" s="10">
        <v>15</v>
      </c>
      <c r="M448" s="10">
        <f t="shared" si="30"/>
        <v>5</v>
      </c>
      <c r="N448" s="10">
        <v>15</v>
      </c>
      <c r="O448" s="12">
        <v>5</v>
      </c>
      <c r="P448" s="11">
        <v>11400</v>
      </c>
      <c r="Q448" s="10" t="s">
        <v>31</v>
      </c>
      <c r="R448" s="4" t="s">
        <v>1280</v>
      </c>
      <c r="S448" s="4" t="s">
        <v>1279</v>
      </c>
      <c r="T448" s="4" t="s">
        <v>19</v>
      </c>
      <c r="U448" s="4" t="str">
        <f t="shared" si="29"/>
        <v>NOT AN ADD-ON</v>
      </c>
      <c r="V448" s="4" t="str">
        <f t="shared" si="27"/>
        <v>AVIATIONINDUSTRY SOLUTIONAUTHORIZEDNOT AN ADD-ON</v>
      </c>
    </row>
    <row r="449" spans="1:22" ht="15" thickBot="1">
      <c r="A449" s="10" t="s">
        <v>21</v>
      </c>
      <c r="B449" s="10" t="s">
        <v>22</v>
      </c>
      <c r="C449" s="10" t="s">
        <v>448</v>
      </c>
      <c r="D449" s="10" t="s">
        <v>449</v>
      </c>
      <c r="E449" s="10" t="s">
        <v>450</v>
      </c>
      <c r="F449" s="10" t="s">
        <v>451</v>
      </c>
      <c r="G449" s="11">
        <v>2110</v>
      </c>
      <c r="H449" s="163" t="s">
        <v>494</v>
      </c>
      <c r="I449" s="158" t="s">
        <v>495</v>
      </c>
      <c r="J449" s="163" t="s">
        <v>496</v>
      </c>
      <c r="K449" s="10" t="s">
        <v>40</v>
      </c>
      <c r="L449" s="10">
        <v>5</v>
      </c>
      <c r="M449" s="10">
        <f t="shared" si="30"/>
        <v>5</v>
      </c>
      <c r="N449" s="10">
        <v>5</v>
      </c>
      <c r="O449" s="12">
        <v>1</v>
      </c>
      <c r="P449" s="11">
        <v>10500</v>
      </c>
      <c r="Q449" s="10" t="s">
        <v>31</v>
      </c>
      <c r="R449" s="4" t="s">
        <v>1280</v>
      </c>
      <c r="S449" s="4" t="s">
        <v>1279</v>
      </c>
      <c r="T449" s="4" t="s">
        <v>672</v>
      </c>
      <c r="U449" s="4" t="str">
        <f t="shared" si="29"/>
        <v>NOT AN ADD-ON</v>
      </c>
      <c r="V449" s="4" t="str">
        <f t="shared" si="27"/>
        <v>AVIATIONINDUSTRY SOLUTIONLIMITEDNOT AN ADD-ON</v>
      </c>
    </row>
    <row r="450" spans="1:22" ht="15" thickBot="1">
      <c r="A450" s="10" t="s">
        <v>21</v>
      </c>
      <c r="B450" s="10" t="s">
        <v>22</v>
      </c>
      <c r="C450" s="10" t="s">
        <v>140</v>
      </c>
      <c r="D450" s="10" t="s">
        <v>141</v>
      </c>
      <c r="E450" s="10" t="s">
        <v>142</v>
      </c>
      <c r="F450" s="10" t="s">
        <v>143</v>
      </c>
      <c r="G450" s="11">
        <v>723</v>
      </c>
      <c r="H450" s="163" t="s">
        <v>199</v>
      </c>
      <c r="I450" s="158" t="s">
        <v>200</v>
      </c>
      <c r="J450" s="163" t="s">
        <v>190</v>
      </c>
      <c r="K450" s="10" t="s">
        <v>40</v>
      </c>
      <c r="L450" s="10">
        <v>5</v>
      </c>
      <c r="M450" s="10">
        <f t="shared" si="30"/>
        <v>5</v>
      </c>
      <c r="N450" s="10">
        <v>5</v>
      </c>
      <c r="O450" s="12">
        <v>1</v>
      </c>
      <c r="P450" s="11">
        <v>3620</v>
      </c>
      <c r="Q450" s="10" t="s">
        <v>31</v>
      </c>
      <c r="R450" s="4" t="s">
        <v>1278</v>
      </c>
      <c r="S450" s="4" t="s">
        <v>1278</v>
      </c>
      <c r="T450" s="4" t="s">
        <v>1381</v>
      </c>
      <c r="U450" s="4" t="str">
        <f t="shared" si="29"/>
        <v>NOT AN ADD-ON</v>
      </c>
      <c r="V450" s="4" t="str">
        <f t="shared" si="27"/>
        <v>ASSET MANAGEMENT (CORE)ASSET MANAGEMENT (CORE)EXPRESSNOT AN ADD-ON</v>
      </c>
    </row>
    <row r="451" spans="1:22" ht="15" thickBot="1">
      <c r="A451" s="10" t="s">
        <v>21</v>
      </c>
      <c r="B451" s="10" t="s">
        <v>22</v>
      </c>
      <c r="C451" s="10" t="s">
        <v>448</v>
      </c>
      <c r="D451" s="10" t="s">
        <v>449</v>
      </c>
      <c r="E451" s="10" t="s">
        <v>450</v>
      </c>
      <c r="F451" s="10" t="s">
        <v>451</v>
      </c>
      <c r="G451" s="11">
        <v>767</v>
      </c>
      <c r="H451" s="163" t="s">
        <v>488</v>
      </c>
      <c r="I451" s="158" t="s">
        <v>489</v>
      </c>
      <c r="J451" s="163" t="s">
        <v>490</v>
      </c>
      <c r="K451" s="10" t="s">
        <v>30</v>
      </c>
      <c r="L451" s="10">
        <v>5</v>
      </c>
      <c r="M451" s="10">
        <f t="shared" si="30"/>
        <v>1.67</v>
      </c>
      <c r="N451" s="15">
        <v>5</v>
      </c>
      <c r="O451" s="16">
        <v>1.67</v>
      </c>
      <c r="P451" s="11">
        <v>3840</v>
      </c>
      <c r="Q451" s="10" t="s">
        <v>31</v>
      </c>
      <c r="R451" s="4" t="s">
        <v>1280</v>
      </c>
      <c r="S451" s="4" t="s">
        <v>1279</v>
      </c>
      <c r="T451" s="4" t="s">
        <v>672</v>
      </c>
      <c r="U451" s="4" t="str">
        <f t="shared" si="29"/>
        <v>NOT AN ADD-ON</v>
      </c>
      <c r="V451" s="4" t="str">
        <f t="shared" ref="V451:V505" si="31">CONCATENATE(R451,S451,T451,U451)</f>
        <v>AVIATIONINDUSTRY SOLUTIONLIMITEDNOT AN ADD-ON</v>
      </c>
    </row>
    <row r="452" spans="1:22" ht="15" thickBot="1">
      <c r="A452" s="10" t="s">
        <v>21</v>
      </c>
      <c r="B452" s="10" t="s">
        <v>1256</v>
      </c>
      <c r="C452" s="10" t="s">
        <v>1257</v>
      </c>
      <c r="D452" s="10" t="s">
        <v>1134</v>
      </c>
      <c r="E452" s="10" t="s">
        <v>1135</v>
      </c>
      <c r="F452" s="10" t="s">
        <v>1258</v>
      </c>
      <c r="G452" s="116">
        <v>874</v>
      </c>
      <c r="H452" s="163" t="s">
        <v>1265</v>
      </c>
      <c r="I452" s="158" t="s">
        <v>1266</v>
      </c>
      <c r="J452" s="163" t="s">
        <v>1267</v>
      </c>
      <c r="K452" s="10" t="s">
        <v>375</v>
      </c>
      <c r="L452" s="10">
        <v>10</v>
      </c>
      <c r="M452" s="10">
        <f t="shared" si="30"/>
        <v>10</v>
      </c>
      <c r="N452" s="10">
        <v>10</v>
      </c>
      <c r="O452" s="12">
        <v>1</v>
      </c>
      <c r="P452" s="116">
        <v>4370</v>
      </c>
      <c r="Q452" s="10" t="s">
        <v>31</v>
      </c>
      <c r="R452" s="4" t="s">
        <v>1393</v>
      </c>
      <c r="S452" s="4" t="s">
        <v>1393</v>
      </c>
      <c r="T452" s="4" t="s">
        <v>1382</v>
      </c>
      <c r="U452" s="4" t="str">
        <f t="shared" si="29"/>
        <v>NOT AN ADD-ON</v>
      </c>
      <c r="V452" s="4" t="str">
        <f t="shared" si="31"/>
        <v>APM ASSET HEALTH INSIGHTSAPM ASSET HEALTH INSIGHTSRESOURCE VALUENOT AN ADD-ON</v>
      </c>
    </row>
    <row r="453" spans="1:22" ht="15" thickBot="1">
      <c r="A453" s="10" t="s">
        <v>21</v>
      </c>
      <c r="B453" s="10" t="s">
        <v>1256</v>
      </c>
      <c r="C453" s="10" t="s">
        <v>1257</v>
      </c>
      <c r="D453" s="10" t="s">
        <v>1134</v>
      </c>
      <c r="E453" s="10" t="s">
        <v>1135</v>
      </c>
      <c r="F453" s="10" t="s">
        <v>1258</v>
      </c>
      <c r="G453" s="116">
        <v>874</v>
      </c>
      <c r="H453" s="163" t="s">
        <v>1259</v>
      </c>
      <c r="I453" s="166" t="s">
        <v>1260</v>
      </c>
      <c r="J453" s="163" t="s">
        <v>1261</v>
      </c>
      <c r="K453" s="10" t="s">
        <v>375</v>
      </c>
      <c r="L453" s="10">
        <v>10</v>
      </c>
      <c r="M453" s="10">
        <f t="shared" si="30"/>
        <v>10</v>
      </c>
      <c r="N453" s="10">
        <v>10</v>
      </c>
      <c r="O453" s="12">
        <v>1</v>
      </c>
      <c r="P453" s="116">
        <v>4370</v>
      </c>
      <c r="Q453" s="10" t="s">
        <v>31</v>
      </c>
      <c r="R453" s="4" t="s">
        <v>1393</v>
      </c>
      <c r="S453" s="4" t="s">
        <v>1393</v>
      </c>
      <c r="T453" s="4" t="s">
        <v>1382</v>
      </c>
      <c r="U453" s="4" t="str">
        <f t="shared" si="29"/>
        <v>NOT AN ADD-ON</v>
      </c>
      <c r="V453" s="4" t="str">
        <f t="shared" si="31"/>
        <v>APM ASSET HEALTH INSIGHTSAPM ASSET HEALTH INSIGHTSRESOURCE VALUENOT AN ADD-ON</v>
      </c>
    </row>
    <row r="454" spans="1:22" ht="15" thickBot="1">
      <c r="A454" s="10" t="s">
        <v>21</v>
      </c>
      <c r="B454" s="10" t="s">
        <v>22</v>
      </c>
      <c r="C454" s="10" t="s">
        <v>301</v>
      </c>
      <c r="D454" s="10" t="s">
        <v>141</v>
      </c>
      <c r="E454" s="10" t="s">
        <v>142</v>
      </c>
      <c r="F454" s="10" t="s">
        <v>339</v>
      </c>
      <c r="G454" s="11">
        <v>2740</v>
      </c>
      <c r="H454" s="163" t="s">
        <v>372</v>
      </c>
      <c r="I454" s="158" t="s">
        <v>373</v>
      </c>
      <c r="J454" s="163" t="s">
        <v>374</v>
      </c>
      <c r="K454" s="10" t="s">
        <v>375</v>
      </c>
      <c r="L454" s="10">
        <v>0</v>
      </c>
      <c r="M454" s="10">
        <f t="shared" si="30"/>
        <v>0</v>
      </c>
      <c r="N454" s="10">
        <v>10</v>
      </c>
      <c r="O454" s="12">
        <v>1</v>
      </c>
      <c r="P454" s="11">
        <v>13700</v>
      </c>
      <c r="Q454" s="10" t="s">
        <v>31</v>
      </c>
      <c r="R454" s="4" t="s">
        <v>1286</v>
      </c>
      <c r="S454" s="4" t="s">
        <v>507</v>
      </c>
      <c r="T454" s="4" t="s">
        <v>1382</v>
      </c>
      <c r="U454" s="4" t="str">
        <f t="shared" si="29"/>
        <v>NOT AN ADD-ON</v>
      </c>
      <c r="V454" s="4" t="str">
        <f t="shared" si="31"/>
        <v>SCHEDULER PLUSADD-ONRESOURCE VALUENOT AN ADD-ON</v>
      </c>
    </row>
    <row r="455" spans="1:22" ht="15" thickBot="1">
      <c r="A455" s="10" t="s">
        <v>21</v>
      </c>
      <c r="B455" s="10" t="s">
        <v>22</v>
      </c>
      <c r="C455" s="10" t="s">
        <v>301</v>
      </c>
      <c r="D455" s="10" t="s">
        <v>141</v>
      </c>
      <c r="E455" s="10" t="s">
        <v>142</v>
      </c>
      <c r="F455" s="10" t="s">
        <v>339</v>
      </c>
      <c r="G455" s="11">
        <v>2740</v>
      </c>
      <c r="H455" s="163" t="s">
        <v>379</v>
      </c>
      <c r="I455" s="158" t="s">
        <v>380</v>
      </c>
      <c r="J455" s="163" t="s">
        <v>381</v>
      </c>
      <c r="K455" s="10" t="s">
        <v>375</v>
      </c>
      <c r="L455" s="10">
        <v>0</v>
      </c>
      <c r="M455" s="10">
        <f t="shared" si="30"/>
        <v>0</v>
      </c>
      <c r="N455" s="10">
        <v>10</v>
      </c>
      <c r="O455" s="12">
        <v>1</v>
      </c>
      <c r="P455" s="11">
        <v>13700</v>
      </c>
      <c r="Q455" s="10" t="s">
        <v>31</v>
      </c>
      <c r="R455" s="4" t="s">
        <v>1286</v>
      </c>
      <c r="S455" s="4" t="s">
        <v>507</v>
      </c>
      <c r="T455" s="4" t="s">
        <v>1382</v>
      </c>
      <c r="U455" s="4" t="str">
        <f t="shared" si="29"/>
        <v>NOT AN ADD-ON</v>
      </c>
      <c r="V455" s="4" t="str">
        <f t="shared" si="31"/>
        <v>SCHEDULER PLUSADD-ONRESOURCE VALUENOT AN ADD-ON</v>
      </c>
    </row>
    <row r="456" spans="1:22" ht="15" thickBot="1">
      <c r="A456" s="10" t="s">
        <v>21</v>
      </c>
      <c r="B456" s="10" t="s">
        <v>22</v>
      </c>
      <c r="C456" s="10" t="s">
        <v>140</v>
      </c>
      <c r="D456" s="10" t="s">
        <v>141</v>
      </c>
      <c r="E456" s="10" t="s">
        <v>142</v>
      </c>
      <c r="F456" s="10" t="s">
        <v>143</v>
      </c>
      <c r="G456" s="11">
        <v>3890</v>
      </c>
      <c r="H456" s="163" t="s">
        <v>152</v>
      </c>
      <c r="I456" s="158" t="s">
        <v>153</v>
      </c>
      <c r="J456" s="163" t="s">
        <v>154</v>
      </c>
      <c r="K456" s="10" t="s">
        <v>40</v>
      </c>
      <c r="L456" s="10">
        <v>10</v>
      </c>
      <c r="M456" s="10">
        <f t="shared" si="30"/>
        <v>10</v>
      </c>
      <c r="N456" s="10">
        <v>10</v>
      </c>
      <c r="O456" s="12">
        <v>1</v>
      </c>
      <c r="P456" s="11">
        <v>19400</v>
      </c>
      <c r="Q456" s="10" t="s">
        <v>31</v>
      </c>
      <c r="R456" s="4" t="s">
        <v>1278</v>
      </c>
      <c r="S456" s="4" t="s">
        <v>1278</v>
      </c>
      <c r="T456" s="4" t="s">
        <v>19</v>
      </c>
      <c r="U456" s="4" t="str">
        <f t="shared" si="29"/>
        <v>NOT AN ADD-ON</v>
      </c>
      <c r="V456" s="4" t="str">
        <f t="shared" si="31"/>
        <v>ASSET MANAGEMENT (CORE)ASSET MANAGEMENT (CORE)AUTHORIZEDNOT AN ADD-ON</v>
      </c>
    </row>
    <row r="457" spans="1:22" ht="15" thickBot="1">
      <c r="A457" s="10" t="s">
        <v>21</v>
      </c>
      <c r="B457" s="10" t="s">
        <v>22</v>
      </c>
      <c r="C457" s="10" t="s">
        <v>140</v>
      </c>
      <c r="D457" s="10" t="s">
        <v>141</v>
      </c>
      <c r="E457" s="10" t="s">
        <v>142</v>
      </c>
      <c r="F457" s="10" t="s">
        <v>143</v>
      </c>
      <c r="G457" s="11">
        <v>3890</v>
      </c>
      <c r="H457" s="163" t="s">
        <v>165</v>
      </c>
      <c r="I457" s="158" t="s">
        <v>166</v>
      </c>
      <c r="J457" s="163" t="s">
        <v>160</v>
      </c>
      <c r="K457" s="10" t="s">
        <v>40</v>
      </c>
      <c r="L457" s="10">
        <v>10</v>
      </c>
      <c r="M457" s="10">
        <f t="shared" si="30"/>
        <v>10</v>
      </c>
      <c r="N457" s="10">
        <v>10</v>
      </c>
      <c r="O457" s="12">
        <v>1</v>
      </c>
      <c r="P457" s="11">
        <v>19400</v>
      </c>
      <c r="Q457" s="10" t="s">
        <v>31</v>
      </c>
      <c r="R457" s="4" t="s">
        <v>1278</v>
      </c>
      <c r="S457" s="4" t="s">
        <v>1278</v>
      </c>
      <c r="T457" s="4" t="s">
        <v>19</v>
      </c>
      <c r="U457" s="4" t="str">
        <f t="shared" si="29"/>
        <v>NOT AN ADD-ON</v>
      </c>
      <c r="V457" s="4" t="str">
        <f t="shared" si="31"/>
        <v>ASSET MANAGEMENT (CORE)ASSET MANAGEMENT (CORE)AUTHORIZEDNOT AN ADD-ON</v>
      </c>
    </row>
    <row r="458" spans="1:22" ht="15" thickBot="1">
      <c r="A458" s="10" t="s">
        <v>21</v>
      </c>
      <c r="B458" s="10" t="s">
        <v>22</v>
      </c>
      <c r="C458" s="10" t="s">
        <v>301</v>
      </c>
      <c r="D458" s="10" t="s">
        <v>141</v>
      </c>
      <c r="E458" s="10" t="s">
        <v>142</v>
      </c>
      <c r="F458" s="10" t="s">
        <v>143</v>
      </c>
      <c r="G458" s="11">
        <v>1220</v>
      </c>
      <c r="H458" s="163" t="s">
        <v>312</v>
      </c>
      <c r="I458" s="158" t="s">
        <v>313</v>
      </c>
      <c r="J458" s="163" t="s">
        <v>314</v>
      </c>
      <c r="K458" s="10" t="s">
        <v>40</v>
      </c>
      <c r="L458" s="10">
        <v>0</v>
      </c>
      <c r="M458" s="10">
        <f t="shared" si="30"/>
        <v>0</v>
      </c>
      <c r="N458" s="10">
        <v>10</v>
      </c>
      <c r="O458" s="12">
        <v>1</v>
      </c>
      <c r="P458" s="11">
        <v>6130</v>
      </c>
      <c r="Q458" s="10" t="s">
        <v>31</v>
      </c>
      <c r="R458" s="4" t="s">
        <v>1285</v>
      </c>
      <c r="S458" s="4" t="s">
        <v>507</v>
      </c>
      <c r="T458" s="4" t="s">
        <v>19</v>
      </c>
      <c r="U458" s="4" t="str">
        <f t="shared" si="29"/>
        <v>NOT AN ADD-ON</v>
      </c>
      <c r="V458" s="4" t="str">
        <f t="shared" si="31"/>
        <v>SCHEDULERADD-ONAUTHORIZEDNOT AN ADD-ON</v>
      </c>
    </row>
    <row r="459" spans="1:22" ht="15" thickBot="1">
      <c r="A459" s="10" t="s">
        <v>21</v>
      </c>
      <c r="B459" s="10" t="s">
        <v>22</v>
      </c>
      <c r="C459" s="10" t="s">
        <v>301</v>
      </c>
      <c r="D459" s="10" t="s">
        <v>141</v>
      </c>
      <c r="E459" s="10" t="s">
        <v>142</v>
      </c>
      <c r="F459" s="10" t="s">
        <v>143</v>
      </c>
      <c r="G459" s="11">
        <v>1220</v>
      </c>
      <c r="H459" s="163" t="s">
        <v>320</v>
      </c>
      <c r="I459" s="158" t="s">
        <v>321</v>
      </c>
      <c r="J459" s="163" t="s">
        <v>322</v>
      </c>
      <c r="K459" s="10" t="s">
        <v>40</v>
      </c>
      <c r="L459" s="10">
        <v>0</v>
      </c>
      <c r="M459" s="10">
        <f t="shared" si="30"/>
        <v>0</v>
      </c>
      <c r="N459" s="10">
        <v>10</v>
      </c>
      <c r="O459" s="12">
        <v>1</v>
      </c>
      <c r="P459" s="11">
        <v>6130</v>
      </c>
      <c r="Q459" s="10" t="s">
        <v>31</v>
      </c>
      <c r="R459" s="4" t="s">
        <v>1285</v>
      </c>
      <c r="S459" s="4" t="s">
        <v>507</v>
      </c>
      <c r="T459" s="4" t="s">
        <v>19</v>
      </c>
      <c r="U459" s="4" t="str">
        <f t="shared" si="29"/>
        <v>NOT AN ADD-ON</v>
      </c>
      <c r="V459" s="4" t="str">
        <f t="shared" si="31"/>
        <v>SCHEDULERADD-ONAUTHORIZEDNOT AN ADD-ON</v>
      </c>
    </row>
    <row r="460" spans="1:22" ht="15" thickBot="1">
      <c r="A460" s="10" t="s">
        <v>21</v>
      </c>
      <c r="B460" s="10" t="s">
        <v>22</v>
      </c>
      <c r="C460" s="10" t="s">
        <v>986</v>
      </c>
      <c r="D460" s="10" t="s">
        <v>141</v>
      </c>
      <c r="E460" s="10" t="s">
        <v>142</v>
      </c>
      <c r="F460" s="10" t="s">
        <v>143</v>
      </c>
      <c r="G460" s="11">
        <v>1630</v>
      </c>
      <c r="H460" s="163" t="s">
        <v>987</v>
      </c>
      <c r="I460" s="158" t="s">
        <v>988</v>
      </c>
      <c r="J460" s="163" t="s">
        <v>989</v>
      </c>
      <c r="K460" s="10" t="s">
        <v>40</v>
      </c>
      <c r="L460" s="10">
        <v>15</v>
      </c>
      <c r="M460" s="10">
        <f t="shared" si="30"/>
        <v>15</v>
      </c>
      <c r="N460" s="10">
        <v>15</v>
      </c>
      <c r="O460" s="12">
        <v>1</v>
      </c>
      <c r="P460" s="11">
        <v>8160</v>
      </c>
      <c r="Q460" s="10" t="s">
        <v>31</v>
      </c>
      <c r="R460" s="4" t="s">
        <v>1289</v>
      </c>
      <c r="S460" s="4" t="s">
        <v>507</v>
      </c>
      <c r="T460" s="4" t="s">
        <v>19</v>
      </c>
      <c r="U460" s="4" t="str">
        <f t="shared" si="29"/>
        <v>NOT AN ADD-ON</v>
      </c>
      <c r="V460" s="4" t="str">
        <f t="shared" si="31"/>
        <v>SAFETY AND ENVIRONMENT MANAGERADD-ONAUTHORIZEDNOT AN ADD-ON</v>
      </c>
    </row>
    <row r="461" spans="1:22" ht="15" thickBot="1">
      <c r="A461" s="10" t="s">
        <v>21</v>
      </c>
      <c r="B461" s="10" t="s">
        <v>22</v>
      </c>
      <c r="C461" s="10" t="s">
        <v>986</v>
      </c>
      <c r="D461" s="10" t="s">
        <v>141</v>
      </c>
      <c r="E461" s="10" t="s">
        <v>142</v>
      </c>
      <c r="F461" s="10" t="s">
        <v>143</v>
      </c>
      <c r="G461" s="11">
        <v>1630</v>
      </c>
      <c r="H461" s="163" t="s">
        <v>1008</v>
      </c>
      <c r="I461" s="158" t="s">
        <v>1009</v>
      </c>
      <c r="J461" s="163" t="s">
        <v>1007</v>
      </c>
      <c r="K461" s="10" t="s">
        <v>40</v>
      </c>
      <c r="L461" s="10">
        <v>15</v>
      </c>
      <c r="M461" s="10">
        <f t="shared" si="30"/>
        <v>15</v>
      </c>
      <c r="N461" s="10">
        <v>15</v>
      </c>
      <c r="O461" s="12">
        <v>1</v>
      </c>
      <c r="P461" s="11">
        <v>8160</v>
      </c>
      <c r="Q461" s="10" t="s">
        <v>31</v>
      </c>
      <c r="R461" s="4" t="s">
        <v>1293</v>
      </c>
      <c r="S461" s="4" t="s">
        <v>1383</v>
      </c>
      <c r="T461" s="4" t="s">
        <v>19</v>
      </c>
      <c r="U461" s="4" t="str">
        <f t="shared" si="29"/>
        <v>NOT AN ADD-ON</v>
      </c>
      <c r="V461" s="4" t="str">
        <f t="shared" si="31"/>
        <v>HEALTH SAFETY AND ENVIRONMENT MANAGERHSEAUTHORIZEDNOT AN ADD-ON</v>
      </c>
    </row>
    <row r="462" spans="1:22" ht="15" thickBot="1">
      <c r="A462" s="10" t="s">
        <v>21</v>
      </c>
      <c r="B462" s="10" t="s">
        <v>22</v>
      </c>
      <c r="C462" s="10" t="s">
        <v>686</v>
      </c>
      <c r="D462" s="10" t="s">
        <v>687</v>
      </c>
      <c r="E462" s="10" t="s">
        <v>688</v>
      </c>
      <c r="F462" s="10" t="s">
        <v>689</v>
      </c>
      <c r="G462" s="11">
        <v>4680</v>
      </c>
      <c r="H462" s="163" t="s">
        <v>724</v>
      </c>
      <c r="I462" s="158" t="s">
        <v>725</v>
      </c>
      <c r="J462" s="163" t="s">
        <v>726</v>
      </c>
      <c r="K462" s="10" t="s">
        <v>40</v>
      </c>
      <c r="L462" s="10">
        <v>15</v>
      </c>
      <c r="M462" s="10">
        <f t="shared" si="30"/>
        <v>15</v>
      </c>
      <c r="N462" s="10">
        <v>15</v>
      </c>
      <c r="O462" s="12">
        <v>1</v>
      </c>
      <c r="P462" s="11">
        <v>23400</v>
      </c>
      <c r="Q462" s="10" t="s">
        <v>31</v>
      </c>
      <c r="R462" s="4" t="s">
        <v>1282</v>
      </c>
      <c r="S462" s="4" t="s">
        <v>1279</v>
      </c>
      <c r="T462" s="4" t="s">
        <v>19</v>
      </c>
      <c r="U462" s="4" t="str">
        <f t="shared" si="29"/>
        <v>NOT AN ADD-ON</v>
      </c>
      <c r="V462" s="4" t="str">
        <f t="shared" si="31"/>
        <v>OIL AND GASINDUSTRY SOLUTIONAUTHORIZEDNOT AN ADD-ON</v>
      </c>
    </row>
    <row r="463" spans="1:22" ht="15" thickBot="1">
      <c r="A463" s="10" t="s">
        <v>21</v>
      </c>
      <c r="B463" s="10" t="s">
        <v>22</v>
      </c>
      <c r="C463" s="10" t="s">
        <v>686</v>
      </c>
      <c r="D463" s="10" t="s">
        <v>687</v>
      </c>
      <c r="E463" s="10" t="s">
        <v>688</v>
      </c>
      <c r="F463" s="10" t="s">
        <v>689</v>
      </c>
      <c r="G463" s="11">
        <v>4680</v>
      </c>
      <c r="H463" s="163" t="s">
        <v>735</v>
      </c>
      <c r="I463" s="158" t="s">
        <v>736</v>
      </c>
      <c r="J463" s="163" t="s">
        <v>732</v>
      </c>
      <c r="K463" s="10" t="s">
        <v>40</v>
      </c>
      <c r="L463" s="10">
        <v>15</v>
      </c>
      <c r="M463" s="10">
        <f t="shared" si="30"/>
        <v>15</v>
      </c>
      <c r="N463" s="10">
        <v>15</v>
      </c>
      <c r="O463" s="12">
        <v>1</v>
      </c>
      <c r="P463" s="11">
        <v>23400</v>
      </c>
      <c r="Q463" s="10" t="s">
        <v>31</v>
      </c>
      <c r="R463" s="4" t="s">
        <v>1282</v>
      </c>
      <c r="S463" s="4" t="s">
        <v>1279</v>
      </c>
      <c r="T463" s="4" t="s">
        <v>19</v>
      </c>
      <c r="U463" s="4" t="str">
        <f t="shared" si="29"/>
        <v>NOT AN ADD-ON</v>
      </c>
      <c r="V463" s="4" t="str">
        <f t="shared" si="31"/>
        <v>OIL AND GASINDUSTRY SOLUTIONAUTHORIZEDNOT AN ADD-ON</v>
      </c>
    </row>
    <row r="464" spans="1:22" ht="15" thickBot="1">
      <c r="A464" s="10" t="s">
        <v>21</v>
      </c>
      <c r="B464" s="10" t="s">
        <v>22</v>
      </c>
      <c r="C464" s="10" t="s">
        <v>686</v>
      </c>
      <c r="D464" s="10" t="s">
        <v>687</v>
      </c>
      <c r="E464" s="10" t="s">
        <v>688</v>
      </c>
      <c r="F464" s="10" t="s">
        <v>689</v>
      </c>
      <c r="G464" s="11">
        <v>1320</v>
      </c>
      <c r="H464" s="163" t="s">
        <v>696</v>
      </c>
      <c r="I464" s="158" t="s">
        <v>697</v>
      </c>
      <c r="J464" s="163" t="s">
        <v>698</v>
      </c>
      <c r="K464" s="10" t="s">
        <v>40</v>
      </c>
      <c r="L464" s="10">
        <v>5</v>
      </c>
      <c r="M464" s="10">
        <f t="shared" si="30"/>
        <v>5</v>
      </c>
      <c r="N464" s="10">
        <v>15</v>
      </c>
      <c r="O464" s="12">
        <v>1</v>
      </c>
      <c r="P464" s="11">
        <v>6570</v>
      </c>
      <c r="Q464" s="10" t="s">
        <v>31</v>
      </c>
      <c r="R464" s="4" t="s">
        <v>1282</v>
      </c>
      <c r="S464" s="4" t="s">
        <v>1279</v>
      </c>
      <c r="T464" s="4" t="s">
        <v>19</v>
      </c>
      <c r="U464" s="4" t="s">
        <v>507</v>
      </c>
      <c r="V464" s="4" t="str">
        <f t="shared" si="31"/>
        <v>OIL AND GASINDUSTRY SOLUTIONAUTHORIZEDADD-ON</v>
      </c>
    </row>
    <row r="465" spans="1:22" ht="15" thickBot="1">
      <c r="A465" s="10" t="s">
        <v>21</v>
      </c>
      <c r="B465" s="10" t="s">
        <v>22</v>
      </c>
      <c r="C465" s="10" t="s">
        <v>686</v>
      </c>
      <c r="D465" s="10" t="s">
        <v>687</v>
      </c>
      <c r="E465" s="10" t="s">
        <v>688</v>
      </c>
      <c r="F465" s="10" t="s">
        <v>689</v>
      </c>
      <c r="G465" s="11">
        <v>1320</v>
      </c>
      <c r="H465" s="163" t="s">
        <v>705</v>
      </c>
      <c r="I465" s="158" t="s">
        <v>706</v>
      </c>
      <c r="J465" s="163" t="s">
        <v>704</v>
      </c>
      <c r="K465" s="10" t="s">
        <v>40</v>
      </c>
      <c r="L465" s="10">
        <v>5</v>
      </c>
      <c r="M465" s="10">
        <f t="shared" si="30"/>
        <v>5</v>
      </c>
      <c r="N465" s="10">
        <v>15</v>
      </c>
      <c r="O465" s="12">
        <v>1</v>
      </c>
      <c r="P465" s="11">
        <v>6570</v>
      </c>
      <c r="Q465" s="10" t="s">
        <v>31</v>
      </c>
      <c r="R465" s="4" t="s">
        <v>1282</v>
      </c>
      <c r="S465" s="4" t="s">
        <v>1279</v>
      </c>
      <c r="T465" s="4" t="s">
        <v>19</v>
      </c>
      <c r="U465" s="4" t="str">
        <f>IF(ISNUMBER(SEARCH("ADD-ON",$I465)),"ADD-ON","NOT AN ADD-ON")</f>
        <v>ADD-ON</v>
      </c>
      <c r="V465" s="4" t="str">
        <f t="shared" si="31"/>
        <v>OIL AND GASINDUSTRY SOLUTIONAUTHORIZEDADD-ON</v>
      </c>
    </row>
    <row r="466" spans="1:22" ht="15" thickBot="1">
      <c r="A466" s="10" t="s">
        <v>21</v>
      </c>
      <c r="B466" s="10" t="s">
        <v>22</v>
      </c>
      <c r="C466" s="10" t="s">
        <v>870</v>
      </c>
      <c r="D466" s="10" t="s">
        <v>871</v>
      </c>
      <c r="E466" s="10" t="s">
        <v>872</v>
      </c>
      <c r="F466" s="10" t="s">
        <v>873</v>
      </c>
      <c r="G466" s="11">
        <v>4680</v>
      </c>
      <c r="H466" s="163" t="s">
        <v>908</v>
      </c>
      <c r="I466" s="158" t="s">
        <v>909</v>
      </c>
      <c r="J466" s="163" t="s">
        <v>910</v>
      </c>
      <c r="K466" s="10" t="s">
        <v>40</v>
      </c>
      <c r="L466" s="10">
        <v>15</v>
      </c>
      <c r="M466" s="10">
        <f t="shared" si="30"/>
        <v>15</v>
      </c>
      <c r="N466" s="10">
        <v>15</v>
      </c>
      <c r="O466" s="12">
        <v>1</v>
      </c>
      <c r="P466" s="11">
        <v>23400</v>
      </c>
      <c r="Q466" s="10" t="s">
        <v>31</v>
      </c>
      <c r="R466" s="4" t="s">
        <v>1284</v>
      </c>
      <c r="S466" s="4" t="s">
        <v>1279</v>
      </c>
      <c r="T466" s="4" t="s">
        <v>19</v>
      </c>
      <c r="U466" s="4" t="str">
        <f>IF(ISNUMBER(SEARCH("ADD-ON",$I466)),"ADD-ON","NOT AN ADD-ON")</f>
        <v>NOT AN ADD-ON</v>
      </c>
      <c r="V466" s="4" t="str">
        <f t="shared" si="31"/>
        <v>UTILITIESINDUSTRY SOLUTIONAUTHORIZEDNOT AN ADD-ON</v>
      </c>
    </row>
    <row r="467" spans="1:22" ht="15" thickBot="1">
      <c r="A467" s="10" t="s">
        <v>21</v>
      </c>
      <c r="B467" s="10" t="s">
        <v>22</v>
      </c>
      <c r="C467" s="10" t="s">
        <v>870</v>
      </c>
      <c r="D467" s="10" t="s">
        <v>871</v>
      </c>
      <c r="E467" s="10" t="s">
        <v>872</v>
      </c>
      <c r="F467" s="10" t="s">
        <v>873</v>
      </c>
      <c r="G467" s="11">
        <v>4680</v>
      </c>
      <c r="H467" s="163" t="s">
        <v>914</v>
      </c>
      <c r="I467" s="158" t="s">
        <v>915</v>
      </c>
      <c r="J467" s="163" t="s">
        <v>916</v>
      </c>
      <c r="K467" s="10" t="s">
        <v>40</v>
      </c>
      <c r="L467" s="10">
        <v>15</v>
      </c>
      <c r="M467" s="10">
        <f t="shared" si="30"/>
        <v>15</v>
      </c>
      <c r="N467" s="10">
        <v>15</v>
      </c>
      <c r="O467" s="12">
        <v>1</v>
      </c>
      <c r="P467" s="11">
        <v>23400</v>
      </c>
      <c r="Q467" s="10" t="s">
        <v>31</v>
      </c>
      <c r="R467" s="4" t="s">
        <v>1284</v>
      </c>
      <c r="S467" s="4" t="s">
        <v>1279</v>
      </c>
      <c r="T467" s="4" t="s">
        <v>19</v>
      </c>
      <c r="U467" s="4" t="str">
        <f>IF(ISNUMBER(SEARCH("ADD-ON",$I467)),"ADD-ON","NOT AN ADD-ON")</f>
        <v>NOT AN ADD-ON</v>
      </c>
      <c r="V467" s="4" t="str">
        <f t="shared" si="31"/>
        <v>UTILITIESINDUSTRY SOLUTIONAUTHORIZEDNOT AN ADD-ON</v>
      </c>
    </row>
    <row r="468" spans="1:22" ht="15" thickBot="1">
      <c r="A468" s="10" t="s">
        <v>21</v>
      </c>
      <c r="B468" s="10" t="s">
        <v>22</v>
      </c>
      <c r="C468" s="10" t="s">
        <v>870</v>
      </c>
      <c r="D468" s="10" t="s">
        <v>871</v>
      </c>
      <c r="E468" s="10" t="s">
        <v>872</v>
      </c>
      <c r="F468" s="10" t="s">
        <v>873</v>
      </c>
      <c r="G468" s="11">
        <v>1320</v>
      </c>
      <c r="H468" s="163" t="s">
        <v>880</v>
      </c>
      <c r="I468" s="158" t="s">
        <v>881</v>
      </c>
      <c r="J468" s="163" t="s">
        <v>882</v>
      </c>
      <c r="K468" s="10" t="s">
        <v>40</v>
      </c>
      <c r="L468" s="10">
        <v>5</v>
      </c>
      <c r="M468" s="10">
        <f t="shared" si="30"/>
        <v>5</v>
      </c>
      <c r="N468" s="10">
        <v>15</v>
      </c>
      <c r="O468" s="12">
        <v>1</v>
      </c>
      <c r="P468" s="11">
        <v>6570</v>
      </c>
      <c r="Q468" s="10" t="s">
        <v>31</v>
      </c>
      <c r="R468" s="4" t="s">
        <v>1284</v>
      </c>
      <c r="S468" s="4" t="s">
        <v>1279</v>
      </c>
      <c r="T468" s="4" t="s">
        <v>19</v>
      </c>
      <c r="U468" s="4" t="s">
        <v>507</v>
      </c>
      <c r="V468" s="4" t="str">
        <f t="shared" si="31"/>
        <v>UTILITIESINDUSTRY SOLUTIONAUTHORIZEDADD-ON</v>
      </c>
    </row>
    <row r="469" spans="1:22" ht="15" thickBot="1">
      <c r="A469" s="10" t="s">
        <v>21</v>
      </c>
      <c r="B469" s="10" t="s">
        <v>22</v>
      </c>
      <c r="C469" s="10" t="s">
        <v>870</v>
      </c>
      <c r="D469" s="10" t="s">
        <v>871</v>
      </c>
      <c r="E469" s="10" t="s">
        <v>872</v>
      </c>
      <c r="F469" s="10" t="s">
        <v>873</v>
      </c>
      <c r="G469" s="11">
        <v>1320</v>
      </c>
      <c r="H469" s="163" t="s">
        <v>891</v>
      </c>
      <c r="I469" s="158" t="s">
        <v>892</v>
      </c>
      <c r="J469" s="163" t="s">
        <v>888</v>
      </c>
      <c r="K469" s="10" t="s">
        <v>40</v>
      </c>
      <c r="L469" s="10">
        <v>5</v>
      </c>
      <c r="M469" s="10">
        <f t="shared" si="30"/>
        <v>5</v>
      </c>
      <c r="N469" s="10">
        <v>15</v>
      </c>
      <c r="O469" s="12">
        <v>1</v>
      </c>
      <c r="P469" s="11">
        <v>6570</v>
      </c>
      <c r="Q469" s="10" t="s">
        <v>31</v>
      </c>
      <c r="R469" s="4" t="s">
        <v>1284</v>
      </c>
      <c r="S469" s="4" t="s">
        <v>1279</v>
      </c>
      <c r="T469" s="4" t="s">
        <v>19</v>
      </c>
      <c r="U469" s="4" t="str">
        <f t="shared" ref="U469:U483" si="32">IF(ISNUMBER(SEARCH("ADD-ON",$I469)),"ADD-ON","NOT AN ADD-ON")</f>
        <v>ADD-ON</v>
      </c>
      <c r="V469" s="4" t="str">
        <f t="shared" si="31"/>
        <v>UTILITIESINDUSTRY SOLUTIONAUTHORIZEDADD-ON</v>
      </c>
    </row>
    <row r="470" spans="1:22" ht="15" thickBot="1">
      <c r="A470" s="10" t="s">
        <v>21</v>
      </c>
      <c r="B470" s="10" t="s">
        <v>22</v>
      </c>
      <c r="C470" s="10" t="s">
        <v>94</v>
      </c>
      <c r="D470" s="10" t="s">
        <v>95</v>
      </c>
      <c r="E470" s="10" t="s">
        <v>96</v>
      </c>
      <c r="F470" s="10" t="s">
        <v>97</v>
      </c>
      <c r="G470" s="11">
        <v>3500</v>
      </c>
      <c r="H470" s="163" t="s">
        <v>112</v>
      </c>
      <c r="I470" s="158" t="s">
        <v>113</v>
      </c>
      <c r="J470" s="163" t="s">
        <v>114</v>
      </c>
      <c r="K470" s="10" t="s">
        <v>40</v>
      </c>
      <c r="L470" s="10">
        <v>15</v>
      </c>
      <c r="M470" s="10">
        <f t="shared" ref="M470:M501" si="33">ROUND(IF(K470="Authorized User",L470/3,L470),2)</f>
        <v>15</v>
      </c>
      <c r="N470" s="10">
        <v>15</v>
      </c>
      <c r="O470" s="12">
        <v>1</v>
      </c>
      <c r="P470" s="11">
        <v>17500</v>
      </c>
      <c r="Q470" s="10" t="s">
        <v>31</v>
      </c>
      <c r="R470" s="4" t="s">
        <v>1294</v>
      </c>
      <c r="S470" s="4" t="s">
        <v>1379</v>
      </c>
      <c r="T470" s="4" t="s">
        <v>19</v>
      </c>
      <c r="U470" s="4" t="str">
        <f t="shared" si="32"/>
        <v>NOT AN ADD-ON</v>
      </c>
      <c r="V470" s="4" t="str">
        <f t="shared" si="31"/>
        <v>ASSET CONFIGURATION MANAGERACMAUTHORIZEDNOT AN ADD-ON</v>
      </c>
    </row>
    <row r="471" spans="1:22" ht="15" thickBot="1">
      <c r="A471" s="10" t="s">
        <v>21</v>
      </c>
      <c r="B471" s="10" t="s">
        <v>22</v>
      </c>
      <c r="C471" s="10" t="s">
        <v>94</v>
      </c>
      <c r="D471" s="10" t="s">
        <v>95</v>
      </c>
      <c r="E471" s="10" t="s">
        <v>96</v>
      </c>
      <c r="F471" s="10" t="s">
        <v>97</v>
      </c>
      <c r="G471" s="11">
        <v>3500</v>
      </c>
      <c r="H471" s="163" t="s">
        <v>121</v>
      </c>
      <c r="I471" s="158" t="s">
        <v>122</v>
      </c>
      <c r="J471" s="163" t="s">
        <v>120</v>
      </c>
      <c r="K471" s="10" t="s">
        <v>40</v>
      </c>
      <c r="L471" s="10">
        <v>15</v>
      </c>
      <c r="M471" s="10">
        <f t="shared" si="33"/>
        <v>15</v>
      </c>
      <c r="N471" s="10">
        <v>15</v>
      </c>
      <c r="O471" s="12">
        <v>1</v>
      </c>
      <c r="P471" s="11">
        <v>17500</v>
      </c>
      <c r="Q471" s="10" t="s">
        <v>31</v>
      </c>
      <c r="R471" s="4" t="s">
        <v>1294</v>
      </c>
      <c r="S471" s="4" t="s">
        <v>1379</v>
      </c>
      <c r="T471" s="4" t="s">
        <v>19</v>
      </c>
      <c r="U471" s="4" t="str">
        <f t="shared" si="32"/>
        <v>NOT AN ADD-ON</v>
      </c>
      <c r="V471" s="4" t="str">
        <f t="shared" si="31"/>
        <v>ASSET CONFIGURATION MANAGERACMAUTHORIZEDNOT AN ADD-ON</v>
      </c>
    </row>
    <row r="472" spans="1:22" ht="15" thickBot="1">
      <c r="A472" s="10" t="s">
        <v>21</v>
      </c>
      <c r="B472" s="10" t="s">
        <v>22</v>
      </c>
      <c r="C472" s="10" t="s">
        <v>23</v>
      </c>
      <c r="D472" s="10" t="s">
        <v>24</v>
      </c>
      <c r="E472" s="10" t="s">
        <v>25</v>
      </c>
      <c r="F472" s="10" t="s">
        <v>26</v>
      </c>
      <c r="G472" s="11">
        <v>1410</v>
      </c>
      <c r="H472" s="163" t="s">
        <v>62</v>
      </c>
      <c r="I472" s="158" t="s">
        <v>63</v>
      </c>
      <c r="J472" s="163" t="s">
        <v>64</v>
      </c>
      <c r="K472" s="10" t="s">
        <v>40</v>
      </c>
      <c r="L472" s="10">
        <v>5</v>
      </c>
      <c r="M472" s="10">
        <f t="shared" si="33"/>
        <v>5</v>
      </c>
      <c r="N472" s="10">
        <v>5</v>
      </c>
      <c r="O472" s="12">
        <v>1</v>
      </c>
      <c r="P472" s="11">
        <v>7030</v>
      </c>
      <c r="Q472" s="10" t="s">
        <v>31</v>
      </c>
      <c r="R472" s="4" t="s">
        <v>42</v>
      </c>
      <c r="S472" s="4" t="s">
        <v>42</v>
      </c>
      <c r="T472" s="4" t="s">
        <v>19</v>
      </c>
      <c r="U472" s="4" t="str">
        <f t="shared" si="32"/>
        <v>NOT AN ADD-ON</v>
      </c>
      <c r="V472" s="4" t="str">
        <f t="shared" si="31"/>
        <v>ANYWHEREANYWHEREAUTHORIZEDNOT AN ADD-ON</v>
      </c>
    </row>
    <row r="473" spans="1:22" ht="15" thickBot="1">
      <c r="A473" s="10" t="s">
        <v>21</v>
      </c>
      <c r="B473" s="10" t="s">
        <v>22</v>
      </c>
      <c r="C473" s="10" t="s">
        <v>23</v>
      </c>
      <c r="D473" s="10" t="s">
        <v>24</v>
      </c>
      <c r="E473" s="10" t="s">
        <v>25</v>
      </c>
      <c r="F473" s="10" t="s">
        <v>26</v>
      </c>
      <c r="G473" s="11">
        <v>1410</v>
      </c>
      <c r="H473" s="163" t="s">
        <v>70</v>
      </c>
      <c r="I473" s="158" t="s">
        <v>71</v>
      </c>
      <c r="J473" s="163" t="s">
        <v>72</v>
      </c>
      <c r="K473" s="10" t="s">
        <v>40</v>
      </c>
      <c r="L473" s="10">
        <v>5</v>
      </c>
      <c r="M473" s="10">
        <f t="shared" si="33"/>
        <v>5</v>
      </c>
      <c r="N473" s="10">
        <v>5</v>
      </c>
      <c r="O473" s="12">
        <v>1</v>
      </c>
      <c r="P473" s="11">
        <v>7030</v>
      </c>
      <c r="Q473" s="10" t="s">
        <v>31</v>
      </c>
      <c r="R473" s="4" t="s">
        <v>42</v>
      </c>
      <c r="S473" s="4" t="s">
        <v>42</v>
      </c>
      <c r="T473" s="4" t="s">
        <v>19</v>
      </c>
      <c r="U473" s="4" t="str">
        <f t="shared" si="32"/>
        <v>NOT AN ADD-ON</v>
      </c>
      <c r="V473" s="4" t="str">
        <f t="shared" si="31"/>
        <v>ANYWHEREANYWHEREAUTHORIZEDNOT AN ADD-ON</v>
      </c>
    </row>
    <row r="474" spans="1:22" ht="15" thickBot="1">
      <c r="A474" s="10" t="s">
        <v>21</v>
      </c>
      <c r="B474" s="10" t="s">
        <v>22</v>
      </c>
      <c r="C474" s="10" t="s">
        <v>23</v>
      </c>
      <c r="D474" s="10" t="s">
        <v>24</v>
      </c>
      <c r="E474" s="10" t="s">
        <v>25</v>
      </c>
      <c r="F474" s="10" t="s">
        <v>26</v>
      </c>
      <c r="G474" s="11">
        <v>852</v>
      </c>
      <c r="H474" s="163" t="s">
        <v>37</v>
      </c>
      <c r="I474" s="158" t="s">
        <v>38</v>
      </c>
      <c r="J474" s="163" t="s">
        <v>39</v>
      </c>
      <c r="K474" s="10" t="s">
        <v>40</v>
      </c>
      <c r="L474" s="10">
        <v>0</v>
      </c>
      <c r="M474" s="10">
        <f t="shared" si="33"/>
        <v>0</v>
      </c>
      <c r="N474" s="10">
        <v>5</v>
      </c>
      <c r="O474" s="12">
        <v>1</v>
      </c>
      <c r="P474" s="11">
        <v>4260</v>
      </c>
      <c r="Q474" s="10" t="s">
        <v>31</v>
      </c>
      <c r="R474" s="4" t="s">
        <v>42</v>
      </c>
      <c r="S474" s="4" t="s">
        <v>42</v>
      </c>
      <c r="T474" s="4" t="s">
        <v>19</v>
      </c>
      <c r="U474" s="4" t="str">
        <f t="shared" si="32"/>
        <v>ADD-ON</v>
      </c>
      <c r="V474" s="4" t="str">
        <f t="shared" si="31"/>
        <v>ANYWHEREANYWHEREAUTHORIZEDADD-ON</v>
      </c>
    </row>
    <row r="475" spans="1:22" ht="15" thickBot="1">
      <c r="A475" s="10" t="s">
        <v>21</v>
      </c>
      <c r="B475" s="10" t="s">
        <v>22</v>
      </c>
      <c r="C475" s="10" t="s">
        <v>23</v>
      </c>
      <c r="D475" s="10" t="s">
        <v>24</v>
      </c>
      <c r="E475" s="10" t="s">
        <v>25</v>
      </c>
      <c r="F475" s="10" t="s">
        <v>26</v>
      </c>
      <c r="G475" s="11">
        <v>852</v>
      </c>
      <c r="H475" s="163" t="s">
        <v>49</v>
      </c>
      <c r="I475" s="158" t="s">
        <v>50</v>
      </c>
      <c r="J475" s="163" t="s">
        <v>47</v>
      </c>
      <c r="K475" s="10" t="s">
        <v>40</v>
      </c>
      <c r="L475" s="10">
        <v>0</v>
      </c>
      <c r="M475" s="10">
        <f t="shared" si="33"/>
        <v>0</v>
      </c>
      <c r="N475" s="10">
        <v>5</v>
      </c>
      <c r="O475" s="12">
        <v>1</v>
      </c>
      <c r="P475" s="11">
        <v>4260</v>
      </c>
      <c r="Q475" s="10" t="s">
        <v>31</v>
      </c>
      <c r="R475" s="4" t="s">
        <v>42</v>
      </c>
      <c r="S475" s="4" t="s">
        <v>42</v>
      </c>
      <c r="T475" s="4" t="s">
        <v>19</v>
      </c>
      <c r="U475" s="4" t="str">
        <f t="shared" si="32"/>
        <v>ADD-ON</v>
      </c>
      <c r="V475" s="4" t="str">
        <f t="shared" si="31"/>
        <v>ANYWHEREANYWHEREAUTHORIZEDADD-ON</v>
      </c>
    </row>
    <row r="476" spans="1:22" ht="15" thickBot="1">
      <c r="A476" s="10" t="s">
        <v>21</v>
      </c>
      <c r="B476" s="10" t="s">
        <v>22</v>
      </c>
      <c r="C476" s="10" t="s">
        <v>230</v>
      </c>
      <c r="D476" s="10" t="s">
        <v>141</v>
      </c>
      <c r="E476" s="10" t="s">
        <v>142</v>
      </c>
      <c r="F476" s="10" t="s">
        <v>143</v>
      </c>
      <c r="G476" s="11">
        <v>2170</v>
      </c>
      <c r="H476" s="163" t="s">
        <v>231</v>
      </c>
      <c r="I476" s="158" t="s">
        <v>232</v>
      </c>
      <c r="J476" s="163" t="s">
        <v>233</v>
      </c>
      <c r="K476" s="10" t="s">
        <v>40</v>
      </c>
      <c r="L476" s="10">
        <v>5</v>
      </c>
      <c r="M476" s="10">
        <f t="shared" si="33"/>
        <v>5</v>
      </c>
      <c r="N476" s="10">
        <v>15</v>
      </c>
      <c r="O476" s="12">
        <v>1</v>
      </c>
      <c r="P476" s="11">
        <v>10900</v>
      </c>
      <c r="Q476" s="10" t="s">
        <v>31</v>
      </c>
      <c r="R476" s="4" t="s">
        <v>234</v>
      </c>
      <c r="S476" s="4" t="s">
        <v>235</v>
      </c>
      <c r="T476" s="4" t="s">
        <v>19</v>
      </c>
      <c r="U476" s="4" t="str">
        <f t="shared" si="32"/>
        <v>NOT AN ADD-ON</v>
      </c>
      <c r="V476" s="4" t="str">
        <f t="shared" si="31"/>
        <v>MANAGED SERVICE PROVIDERSMSPAUTHORIZEDNOT AN ADD-ON</v>
      </c>
    </row>
    <row r="477" spans="1:22" ht="15" thickBot="1">
      <c r="A477" s="10" t="s">
        <v>21</v>
      </c>
      <c r="B477" s="10" t="s">
        <v>22</v>
      </c>
      <c r="C477" s="10" t="s">
        <v>230</v>
      </c>
      <c r="D477" s="10" t="s">
        <v>141</v>
      </c>
      <c r="E477" s="10" t="s">
        <v>142</v>
      </c>
      <c r="F477" s="10" t="s">
        <v>143</v>
      </c>
      <c r="G477" s="11">
        <v>2170</v>
      </c>
      <c r="H477" s="163" t="s">
        <v>239</v>
      </c>
      <c r="I477" s="166" t="s">
        <v>240</v>
      </c>
      <c r="J477" s="163" t="s">
        <v>241</v>
      </c>
      <c r="K477" s="10" t="s">
        <v>40</v>
      </c>
      <c r="L477" s="10">
        <v>5</v>
      </c>
      <c r="M477" s="10">
        <f t="shared" si="33"/>
        <v>5</v>
      </c>
      <c r="N477" s="10">
        <v>15</v>
      </c>
      <c r="O477" s="12">
        <v>1</v>
      </c>
      <c r="P477" s="11">
        <v>10900</v>
      </c>
      <c r="Q477" s="10" t="s">
        <v>31</v>
      </c>
      <c r="R477" s="4" t="s">
        <v>234</v>
      </c>
      <c r="S477" s="4" t="s">
        <v>235</v>
      </c>
      <c r="T477" s="4" t="s">
        <v>19</v>
      </c>
      <c r="U477" s="4" t="str">
        <f t="shared" si="32"/>
        <v>NOT AN ADD-ON</v>
      </c>
      <c r="V477" s="4" t="str">
        <f t="shared" si="31"/>
        <v>MANAGED SERVICE PROVIDERSMSPAUTHORIZEDNOT AN ADD-ON</v>
      </c>
    </row>
    <row r="478" spans="1:22" ht="15" thickBot="1">
      <c r="A478" s="10" t="s">
        <v>21</v>
      </c>
      <c r="B478" s="10" t="s">
        <v>22</v>
      </c>
      <c r="C478" s="10" t="s">
        <v>204</v>
      </c>
      <c r="D478" s="10" t="s">
        <v>141</v>
      </c>
      <c r="E478" s="10" t="s">
        <v>142</v>
      </c>
      <c r="F478" s="10" t="s">
        <v>143</v>
      </c>
      <c r="G478" s="11">
        <v>653</v>
      </c>
      <c r="H478" s="163" t="s">
        <v>205</v>
      </c>
      <c r="I478" s="158" t="s">
        <v>206</v>
      </c>
      <c r="J478" s="163" t="s">
        <v>207</v>
      </c>
      <c r="K478" s="10" t="s">
        <v>40</v>
      </c>
      <c r="L478" s="10">
        <v>5</v>
      </c>
      <c r="M478" s="10">
        <f t="shared" si="33"/>
        <v>5</v>
      </c>
      <c r="N478" s="10">
        <v>15</v>
      </c>
      <c r="O478" s="12">
        <v>1</v>
      </c>
      <c r="P478" s="11">
        <v>3270</v>
      </c>
      <c r="Q478" s="10" t="s">
        <v>31</v>
      </c>
      <c r="R478" s="4" t="s">
        <v>208</v>
      </c>
      <c r="S478" s="4" t="s">
        <v>1278</v>
      </c>
      <c r="T478" s="4" t="s">
        <v>19</v>
      </c>
      <c r="U478" s="4" t="str">
        <f t="shared" si="32"/>
        <v>NOT AN ADD-ON</v>
      </c>
      <c r="V478" s="4" t="str">
        <f t="shared" si="31"/>
        <v>INTERNAL SERVICE PROVIDERSASSET MANAGEMENT (CORE)AUTHORIZEDNOT AN ADD-ON</v>
      </c>
    </row>
    <row r="479" spans="1:22" ht="15" thickBot="1">
      <c r="A479" s="10" t="s">
        <v>21</v>
      </c>
      <c r="B479" s="10" t="s">
        <v>22</v>
      </c>
      <c r="C479" s="10" t="s">
        <v>204</v>
      </c>
      <c r="D479" s="10" t="s">
        <v>141</v>
      </c>
      <c r="E479" s="10" t="s">
        <v>142</v>
      </c>
      <c r="F479" s="10" t="s">
        <v>143</v>
      </c>
      <c r="G479" s="11">
        <v>653</v>
      </c>
      <c r="H479" s="163" t="s">
        <v>212</v>
      </c>
      <c r="I479" s="166" t="s">
        <v>213</v>
      </c>
      <c r="J479" s="163" t="s">
        <v>214</v>
      </c>
      <c r="K479" s="10" t="s">
        <v>40</v>
      </c>
      <c r="L479" s="10">
        <v>5</v>
      </c>
      <c r="M479" s="10">
        <f t="shared" si="33"/>
        <v>5</v>
      </c>
      <c r="N479" s="10">
        <v>15</v>
      </c>
      <c r="O479" s="12">
        <v>1</v>
      </c>
      <c r="P479" s="11">
        <v>3270</v>
      </c>
      <c r="Q479" s="10" t="s">
        <v>31</v>
      </c>
      <c r="R479" s="4" t="s">
        <v>208</v>
      </c>
      <c r="S479" s="4" t="s">
        <v>1278</v>
      </c>
      <c r="T479" s="4" t="s">
        <v>19</v>
      </c>
      <c r="U479" s="4" t="str">
        <f t="shared" si="32"/>
        <v>NOT AN ADD-ON</v>
      </c>
      <c r="V479" s="4" t="str">
        <f t="shared" si="31"/>
        <v>INTERNAL SERVICE PROVIDERSASSET MANAGEMENT (CORE)AUTHORIZEDNOT AN ADD-ON</v>
      </c>
    </row>
    <row r="480" spans="1:22" ht="15" thickBot="1">
      <c r="A480" s="10" t="s">
        <v>21</v>
      </c>
      <c r="B480" s="10" t="s">
        <v>22</v>
      </c>
      <c r="C480" s="10" t="s">
        <v>1015</v>
      </c>
      <c r="D480" s="10" t="s">
        <v>141</v>
      </c>
      <c r="E480" s="10" t="s">
        <v>142</v>
      </c>
      <c r="F480" s="10" t="s">
        <v>143</v>
      </c>
      <c r="G480" s="11">
        <v>434</v>
      </c>
      <c r="H480" s="163" t="s">
        <v>1022</v>
      </c>
      <c r="I480" s="158" t="s">
        <v>1023</v>
      </c>
      <c r="J480" s="163" t="s">
        <v>1024</v>
      </c>
      <c r="K480" s="10" t="s">
        <v>40</v>
      </c>
      <c r="L480" s="10">
        <v>0</v>
      </c>
      <c r="M480" s="10">
        <f t="shared" si="33"/>
        <v>0</v>
      </c>
      <c r="N480" s="10">
        <v>5</v>
      </c>
      <c r="O480" s="12">
        <v>1</v>
      </c>
      <c r="P480" s="11">
        <v>2170</v>
      </c>
      <c r="Q480" s="10" t="s">
        <v>31</v>
      </c>
      <c r="R480" s="4" t="s">
        <v>1290</v>
      </c>
      <c r="S480" s="4" t="s">
        <v>507</v>
      </c>
      <c r="T480" s="4" t="s">
        <v>19</v>
      </c>
      <c r="U480" s="4" t="str">
        <f t="shared" si="32"/>
        <v>NOT AN ADD-ON</v>
      </c>
      <c r="V480" s="4" t="str">
        <f t="shared" si="31"/>
        <v>LINEARADD-ONAUTHORIZEDNOT AN ADD-ON</v>
      </c>
    </row>
    <row r="481" spans="1:22" ht="15" thickBot="1">
      <c r="A481" s="10" t="s">
        <v>21</v>
      </c>
      <c r="B481" s="10" t="s">
        <v>22</v>
      </c>
      <c r="C481" s="10" t="s">
        <v>1015</v>
      </c>
      <c r="D481" s="10" t="s">
        <v>141</v>
      </c>
      <c r="E481" s="10" t="s">
        <v>142</v>
      </c>
      <c r="F481" s="10" t="s">
        <v>143</v>
      </c>
      <c r="G481" s="11">
        <v>434</v>
      </c>
      <c r="H481" s="163" t="s">
        <v>1028</v>
      </c>
      <c r="I481" s="158" t="s">
        <v>1029</v>
      </c>
      <c r="J481" s="163" t="s">
        <v>1030</v>
      </c>
      <c r="K481" s="10" t="s">
        <v>40</v>
      </c>
      <c r="L481" s="10">
        <v>0</v>
      </c>
      <c r="M481" s="10">
        <f t="shared" si="33"/>
        <v>0</v>
      </c>
      <c r="N481" s="10">
        <v>5</v>
      </c>
      <c r="O481" s="12">
        <v>1</v>
      </c>
      <c r="P481" s="11">
        <v>2170</v>
      </c>
      <c r="Q481" s="10" t="s">
        <v>31</v>
      </c>
      <c r="R481" s="4" t="s">
        <v>1290</v>
      </c>
      <c r="S481" s="4" t="s">
        <v>507</v>
      </c>
      <c r="T481" s="4" t="s">
        <v>19</v>
      </c>
      <c r="U481" s="4" t="str">
        <f t="shared" si="32"/>
        <v>NOT AN ADD-ON</v>
      </c>
      <c r="V481" s="4" t="str">
        <f t="shared" si="31"/>
        <v>LINEARADD-ONAUTHORIZEDNOT AN ADD-ON</v>
      </c>
    </row>
    <row r="482" spans="1:22" ht="15" thickBot="1">
      <c r="A482" s="10" t="s">
        <v>21</v>
      </c>
      <c r="B482" s="10" t="s">
        <v>22</v>
      </c>
      <c r="C482" s="10" t="s">
        <v>778</v>
      </c>
      <c r="D482" s="10" t="s">
        <v>779</v>
      </c>
      <c r="E482" s="10" t="s">
        <v>780</v>
      </c>
      <c r="F482" s="10" t="s">
        <v>781</v>
      </c>
      <c r="G482" s="11">
        <v>4680</v>
      </c>
      <c r="H482" s="163" t="s">
        <v>816</v>
      </c>
      <c r="I482" s="158" t="s">
        <v>817</v>
      </c>
      <c r="J482" s="163" t="s">
        <v>818</v>
      </c>
      <c r="K482" s="10" t="s">
        <v>40</v>
      </c>
      <c r="L482" s="10">
        <v>15</v>
      </c>
      <c r="M482" s="10">
        <f t="shared" si="33"/>
        <v>15</v>
      </c>
      <c r="N482" s="10">
        <v>15</v>
      </c>
      <c r="O482" s="12">
        <v>1</v>
      </c>
      <c r="P482" s="11">
        <v>23400</v>
      </c>
      <c r="Q482" s="10" t="s">
        <v>31</v>
      </c>
      <c r="R482" s="4" t="s">
        <v>1283</v>
      </c>
      <c r="S482" s="4" t="s">
        <v>1279</v>
      </c>
      <c r="T482" s="4" t="s">
        <v>19</v>
      </c>
      <c r="U482" s="4" t="str">
        <f t="shared" si="32"/>
        <v>NOT AN ADD-ON</v>
      </c>
      <c r="V482" s="4" t="str">
        <f t="shared" si="31"/>
        <v>TRANSPORATIONINDUSTRY SOLUTIONAUTHORIZEDNOT AN ADD-ON</v>
      </c>
    </row>
    <row r="483" spans="1:22" ht="15" thickBot="1">
      <c r="A483" s="10" t="s">
        <v>21</v>
      </c>
      <c r="B483" s="10" t="s">
        <v>22</v>
      </c>
      <c r="C483" s="10" t="s">
        <v>778</v>
      </c>
      <c r="D483" s="10" t="s">
        <v>779</v>
      </c>
      <c r="E483" s="10" t="s">
        <v>780</v>
      </c>
      <c r="F483" s="10" t="s">
        <v>781</v>
      </c>
      <c r="G483" s="11">
        <v>4680</v>
      </c>
      <c r="H483" s="163" t="s">
        <v>822</v>
      </c>
      <c r="I483" s="158" t="s">
        <v>823</v>
      </c>
      <c r="J483" s="163" t="s">
        <v>824</v>
      </c>
      <c r="K483" s="10" t="s">
        <v>40</v>
      </c>
      <c r="L483" s="10">
        <v>15</v>
      </c>
      <c r="M483" s="10">
        <f t="shared" si="33"/>
        <v>15</v>
      </c>
      <c r="N483" s="10">
        <v>15</v>
      </c>
      <c r="O483" s="12">
        <v>1</v>
      </c>
      <c r="P483" s="11">
        <v>23400</v>
      </c>
      <c r="Q483" s="10" t="s">
        <v>31</v>
      </c>
      <c r="R483" s="4" t="s">
        <v>1283</v>
      </c>
      <c r="S483" s="4" t="s">
        <v>1279</v>
      </c>
      <c r="T483" s="4" t="s">
        <v>19</v>
      </c>
      <c r="U483" s="4" t="str">
        <f t="shared" si="32"/>
        <v>NOT AN ADD-ON</v>
      </c>
      <c r="V483" s="4" t="str">
        <f t="shared" si="31"/>
        <v>TRANSPORATIONINDUSTRY SOLUTIONAUTHORIZEDNOT AN ADD-ON</v>
      </c>
    </row>
    <row r="484" spans="1:22" ht="15" thickBot="1">
      <c r="A484" s="10" t="s">
        <v>21</v>
      </c>
      <c r="B484" s="10" t="s">
        <v>22</v>
      </c>
      <c r="C484" s="10" t="s">
        <v>778</v>
      </c>
      <c r="D484" s="10" t="s">
        <v>779</v>
      </c>
      <c r="E484" s="10" t="s">
        <v>780</v>
      </c>
      <c r="F484" s="10" t="s">
        <v>781</v>
      </c>
      <c r="G484" s="11">
        <v>1320</v>
      </c>
      <c r="H484" s="163" t="s">
        <v>788</v>
      </c>
      <c r="I484" s="158" t="s">
        <v>789</v>
      </c>
      <c r="J484" s="163" t="s">
        <v>790</v>
      </c>
      <c r="K484" s="10" t="s">
        <v>40</v>
      </c>
      <c r="L484" s="10">
        <v>5</v>
      </c>
      <c r="M484" s="10">
        <f t="shared" si="33"/>
        <v>5</v>
      </c>
      <c r="N484" s="10">
        <v>15</v>
      </c>
      <c r="O484" s="12">
        <v>1</v>
      </c>
      <c r="P484" s="11">
        <v>6570</v>
      </c>
      <c r="Q484" s="10" t="s">
        <v>31</v>
      </c>
      <c r="R484" s="4" t="s">
        <v>1283</v>
      </c>
      <c r="S484" s="4" t="s">
        <v>1279</v>
      </c>
      <c r="T484" s="4" t="s">
        <v>19</v>
      </c>
      <c r="U484" s="4" t="s">
        <v>507</v>
      </c>
      <c r="V484" s="4" t="str">
        <f t="shared" si="31"/>
        <v>TRANSPORATIONINDUSTRY SOLUTIONAUTHORIZEDADD-ON</v>
      </c>
    </row>
    <row r="485" spans="1:22" ht="15" thickBot="1">
      <c r="A485" s="10" t="s">
        <v>21</v>
      </c>
      <c r="B485" s="10" t="s">
        <v>22</v>
      </c>
      <c r="C485" s="10" t="s">
        <v>778</v>
      </c>
      <c r="D485" s="10" t="s">
        <v>779</v>
      </c>
      <c r="E485" s="10" t="s">
        <v>780</v>
      </c>
      <c r="F485" s="10" t="s">
        <v>781</v>
      </c>
      <c r="G485" s="11">
        <v>1320</v>
      </c>
      <c r="H485" s="163" t="s">
        <v>794</v>
      </c>
      <c r="I485" s="158" t="s">
        <v>795</v>
      </c>
      <c r="J485" s="163" t="s">
        <v>796</v>
      </c>
      <c r="K485" s="10" t="s">
        <v>40</v>
      </c>
      <c r="L485" s="10">
        <v>5</v>
      </c>
      <c r="M485" s="10">
        <f t="shared" si="33"/>
        <v>5</v>
      </c>
      <c r="N485" s="10">
        <v>15</v>
      </c>
      <c r="O485" s="12">
        <v>1</v>
      </c>
      <c r="P485" s="11">
        <v>6570</v>
      </c>
      <c r="Q485" s="10" t="s">
        <v>31</v>
      </c>
      <c r="R485" s="4" t="s">
        <v>1283</v>
      </c>
      <c r="S485" s="4" t="s">
        <v>1279</v>
      </c>
      <c r="T485" s="4" t="s">
        <v>19</v>
      </c>
      <c r="U485" s="4" t="s">
        <v>507</v>
      </c>
      <c r="V485" s="4" t="str">
        <f t="shared" si="31"/>
        <v>TRANSPORATIONINDUSTRY SOLUTIONAUTHORIZEDADD-ON</v>
      </c>
    </row>
    <row r="486" spans="1:22" ht="29.25" customHeight="1" thickBot="1">
      <c r="A486" s="10" t="s">
        <v>21</v>
      </c>
      <c r="B486" s="10" t="s">
        <v>22</v>
      </c>
      <c r="C486" s="10" t="s">
        <v>500</v>
      </c>
      <c r="D486" s="10" t="s">
        <v>501</v>
      </c>
      <c r="E486" s="10" t="s">
        <v>502</v>
      </c>
      <c r="F486" s="10" t="s">
        <v>503</v>
      </c>
      <c r="G486" s="11">
        <v>4260</v>
      </c>
      <c r="H486" s="163" t="s">
        <v>539</v>
      </c>
      <c r="I486" s="158" t="s">
        <v>540</v>
      </c>
      <c r="J486" s="163" t="s">
        <v>541</v>
      </c>
      <c r="K486" s="10" t="s">
        <v>40</v>
      </c>
      <c r="L486" s="10">
        <v>10</v>
      </c>
      <c r="M486" s="10">
        <f t="shared" si="33"/>
        <v>10</v>
      </c>
      <c r="N486" s="15">
        <v>5</v>
      </c>
      <c r="O486" s="16">
        <v>1</v>
      </c>
      <c r="P486" s="11">
        <v>21300</v>
      </c>
      <c r="Q486" s="10" t="s">
        <v>31</v>
      </c>
      <c r="R486" s="4" t="s">
        <v>1292</v>
      </c>
      <c r="S486" s="4" t="s">
        <v>1292</v>
      </c>
      <c r="T486" s="4" t="s">
        <v>19</v>
      </c>
      <c r="U486" s="4" t="str">
        <f>IF(ISNUMBER(SEARCH("ADD-ON",$I486)),"ADD-ON","NOT AN ADD-ON")</f>
        <v>NOT AN ADD-ON</v>
      </c>
      <c r="V486" s="4" t="str">
        <f t="shared" si="31"/>
        <v>LIFE SCIENCESLIFE SCIENCESAUTHORIZEDNOT AN ADD-ON</v>
      </c>
    </row>
    <row r="487" spans="1:22" ht="15" thickBot="1">
      <c r="A487" s="10" t="s">
        <v>21</v>
      </c>
      <c r="B487" s="10" t="s">
        <v>22</v>
      </c>
      <c r="C487" s="10" t="s">
        <v>500</v>
      </c>
      <c r="D487" s="10" t="s">
        <v>501</v>
      </c>
      <c r="E487" s="10" t="s">
        <v>502</v>
      </c>
      <c r="F487" s="10" t="s">
        <v>503</v>
      </c>
      <c r="G487" s="11">
        <v>4260</v>
      </c>
      <c r="H487" s="163" t="s">
        <v>545</v>
      </c>
      <c r="I487" s="158" t="s">
        <v>546</v>
      </c>
      <c r="J487" s="163" t="s">
        <v>547</v>
      </c>
      <c r="K487" s="10" t="s">
        <v>40</v>
      </c>
      <c r="L487" s="10">
        <v>10</v>
      </c>
      <c r="M487" s="10">
        <f t="shared" si="33"/>
        <v>10</v>
      </c>
      <c r="N487" s="10">
        <v>5</v>
      </c>
      <c r="O487" s="12">
        <v>1</v>
      </c>
      <c r="P487" s="11">
        <v>21300</v>
      </c>
      <c r="Q487" s="10" t="s">
        <v>31</v>
      </c>
      <c r="R487" s="4" t="s">
        <v>1292</v>
      </c>
      <c r="S487" s="4" t="s">
        <v>1292</v>
      </c>
      <c r="T487" s="4" t="s">
        <v>19</v>
      </c>
      <c r="U487" s="4" t="str">
        <f>IF(ISNUMBER(SEARCH("ADD-ON",$I487)),"ADD-ON","NOT AN ADD-ON")</f>
        <v>NOT AN ADD-ON</v>
      </c>
      <c r="V487" s="4" t="str">
        <f t="shared" si="31"/>
        <v>LIFE SCIENCESLIFE SCIENCESAUTHORIZEDNOT AN ADD-ON</v>
      </c>
    </row>
    <row r="488" spans="1:22" ht="15" thickBot="1">
      <c r="A488" s="10" t="s">
        <v>21</v>
      </c>
      <c r="B488" s="10" t="s">
        <v>22</v>
      </c>
      <c r="C488" s="10" t="s">
        <v>500</v>
      </c>
      <c r="D488" s="10" t="s">
        <v>501</v>
      </c>
      <c r="E488" s="10" t="s">
        <v>502</v>
      </c>
      <c r="F488" s="10" t="s">
        <v>503</v>
      </c>
      <c r="G488" s="11">
        <v>434</v>
      </c>
      <c r="H488" s="163" t="s">
        <v>511</v>
      </c>
      <c r="I488" s="158" t="s">
        <v>512</v>
      </c>
      <c r="J488" s="163" t="s">
        <v>513</v>
      </c>
      <c r="K488" s="10" t="s">
        <v>40</v>
      </c>
      <c r="L488" s="10">
        <v>0</v>
      </c>
      <c r="M488" s="10">
        <f t="shared" si="33"/>
        <v>0</v>
      </c>
      <c r="N488" s="10">
        <v>5</v>
      </c>
      <c r="O488" s="12">
        <v>1</v>
      </c>
      <c r="P488" s="11">
        <v>2170</v>
      </c>
      <c r="Q488" s="10" t="s">
        <v>31</v>
      </c>
      <c r="R488" s="4" t="s">
        <v>1292</v>
      </c>
      <c r="S488" s="4" t="s">
        <v>1292</v>
      </c>
      <c r="T488" s="4" t="s">
        <v>19</v>
      </c>
      <c r="U488" s="4" t="s">
        <v>507</v>
      </c>
      <c r="V488" s="4" t="str">
        <f t="shared" si="31"/>
        <v>LIFE SCIENCESLIFE SCIENCESAUTHORIZEDADD-ON</v>
      </c>
    </row>
    <row r="489" spans="1:22" ht="15" thickBot="1">
      <c r="A489" s="10" t="s">
        <v>21</v>
      </c>
      <c r="B489" s="10" t="s">
        <v>22</v>
      </c>
      <c r="C489" s="10" t="s">
        <v>500</v>
      </c>
      <c r="D489" s="10" t="s">
        <v>501</v>
      </c>
      <c r="E489" s="10" t="s">
        <v>502</v>
      </c>
      <c r="F489" s="10" t="s">
        <v>503</v>
      </c>
      <c r="G489" s="11">
        <v>434</v>
      </c>
      <c r="H489" s="163" t="s">
        <v>517</v>
      </c>
      <c r="I489" s="158" t="s">
        <v>518</v>
      </c>
      <c r="J489" s="163" t="s">
        <v>519</v>
      </c>
      <c r="K489" s="10" t="s">
        <v>40</v>
      </c>
      <c r="L489" s="10">
        <v>0</v>
      </c>
      <c r="M489" s="10">
        <f t="shared" si="33"/>
        <v>0</v>
      </c>
      <c r="N489" s="10">
        <v>5</v>
      </c>
      <c r="O489" s="12">
        <v>1</v>
      </c>
      <c r="P489" s="11">
        <v>2170</v>
      </c>
      <c r="Q489" s="10" t="s">
        <v>31</v>
      </c>
      <c r="R489" s="4" t="s">
        <v>1292</v>
      </c>
      <c r="S489" s="4" t="s">
        <v>1292</v>
      </c>
      <c r="T489" s="4" t="s">
        <v>19</v>
      </c>
      <c r="U489" s="4" t="s">
        <v>507</v>
      </c>
      <c r="V489" s="4" t="str">
        <f t="shared" si="31"/>
        <v>LIFE SCIENCESLIFE SCIENCESAUTHORIZEDADD-ON</v>
      </c>
    </row>
    <row r="490" spans="1:22" ht="15" thickBot="1">
      <c r="A490" s="10" t="s">
        <v>21</v>
      </c>
      <c r="B490" s="10" t="s">
        <v>22</v>
      </c>
      <c r="C490" s="10" t="s">
        <v>385</v>
      </c>
      <c r="D490" s="10" t="s">
        <v>386</v>
      </c>
      <c r="E490" s="10" t="s">
        <v>387</v>
      </c>
      <c r="F490" s="10" t="s">
        <v>388</v>
      </c>
      <c r="G490" s="11">
        <v>356</v>
      </c>
      <c r="H490" s="163" t="s">
        <v>395</v>
      </c>
      <c r="I490" s="158" t="s">
        <v>396</v>
      </c>
      <c r="J490" s="163" t="s">
        <v>397</v>
      </c>
      <c r="K490" s="10" t="s">
        <v>40</v>
      </c>
      <c r="L490" s="10">
        <v>0</v>
      </c>
      <c r="M490" s="10">
        <f t="shared" si="33"/>
        <v>0</v>
      </c>
      <c r="N490" s="10">
        <v>5</v>
      </c>
      <c r="O490" s="12">
        <v>1</v>
      </c>
      <c r="P490" s="11">
        <v>1780</v>
      </c>
      <c r="Q490" s="10" t="s">
        <v>31</v>
      </c>
      <c r="R490" s="4" t="s">
        <v>1288</v>
      </c>
      <c r="S490" s="4" t="s">
        <v>507</v>
      </c>
      <c r="T490" s="4" t="s">
        <v>19</v>
      </c>
      <c r="U490" s="4" t="str">
        <f t="shared" ref="U490:U495" si="34">IF(ISNUMBER(SEARCH("ADD-ON",$I490)),"ADD-ON","NOT AN ADD-ON")</f>
        <v>NOT AN ADD-ON</v>
      </c>
      <c r="V490" s="4" t="str">
        <f t="shared" si="31"/>
        <v>CALIBRATIONADD-ONAUTHORIZEDNOT AN ADD-ON</v>
      </c>
    </row>
    <row r="491" spans="1:22" ht="15" thickBot="1">
      <c r="A491" s="10" t="s">
        <v>21</v>
      </c>
      <c r="B491" s="10" t="s">
        <v>22</v>
      </c>
      <c r="C491" s="10" t="s">
        <v>385</v>
      </c>
      <c r="D491" s="10" t="s">
        <v>386</v>
      </c>
      <c r="E491" s="10" t="s">
        <v>387</v>
      </c>
      <c r="F491" s="10" t="s">
        <v>388</v>
      </c>
      <c r="G491" s="11">
        <v>356</v>
      </c>
      <c r="H491" s="163" t="s">
        <v>401</v>
      </c>
      <c r="I491" s="158" t="s">
        <v>402</v>
      </c>
      <c r="J491" s="163" t="s">
        <v>403</v>
      </c>
      <c r="K491" s="10" t="s">
        <v>40</v>
      </c>
      <c r="L491" s="10">
        <v>0</v>
      </c>
      <c r="M491" s="10">
        <f t="shared" si="33"/>
        <v>0</v>
      </c>
      <c r="N491" s="10">
        <v>5</v>
      </c>
      <c r="O491" s="12">
        <v>1</v>
      </c>
      <c r="P491" s="11">
        <v>1780</v>
      </c>
      <c r="Q491" s="10" t="s">
        <v>31</v>
      </c>
      <c r="R491" s="4" t="s">
        <v>1288</v>
      </c>
      <c r="S491" s="4" t="s">
        <v>507</v>
      </c>
      <c r="T491" s="4" t="s">
        <v>19</v>
      </c>
      <c r="U491" s="4" t="str">
        <f t="shared" si="34"/>
        <v>NOT AN ADD-ON</v>
      </c>
      <c r="V491" s="4" t="str">
        <f t="shared" si="31"/>
        <v>CALIBRATIONADD-ONAUTHORIZEDNOT AN ADD-ON</v>
      </c>
    </row>
    <row r="492" spans="1:22" ht="15" thickBot="1">
      <c r="A492" s="10" t="s">
        <v>21</v>
      </c>
      <c r="B492" s="10" t="s">
        <v>22</v>
      </c>
      <c r="C492" s="10" t="s">
        <v>1044</v>
      </c>
      <c r="D492" s="10" t="s">
        <v>1045</v>
      </c>
      <c r="E492" s="10" t="s">
        <v>1046</v>
      </c>
      <c r="F492" s="10" t="s">
        <v>1047</v>
      </c>
      <c r="G492" s="11">
        <v>132</v>
      </c>
      <c r="H492" s="163" t="s">
        <v>1054</v>
      </c>
      <c r="I492" s="158" t="s">
        <v>1055</v>
      </c>
      <c r="J492" s="163" t="s">
        <v>1056</v>
      </c>
      <c r="K492" s="10" t="s">
        <v>40</v>
      </c>
      <c r="L492" s="10">
        <v>0</v>
      </c>
      <c r="M492" s="10">
        <f t="shared" si="33"/>
        <v>0</v>
      </c>
      <c r="N492" s="10">
        <v>5</v>
      </c>
      <c r="O492" s="12">
        <v>1</v>
      </c>
      <c r="P492" s="11">
        <v>657</v>
      </c>
      <c r="Q492" s="10" t="s">
        <v>31</v>
      </c>
      <c r="R492" s="4" t="s">
        <v>1291</v>
      </c>
      <c r="S492" s="4" t="s">
        <v>507</v>
      </c>
      <c r="T492" s="4" t="s">
        <v>19</v>
      </c>
      <c r="U492" s="4" t="str">
        <f t="shared" si="34"/>
        <v>NOT AN ADD-ON</v>
      </c>
      <c r="V492" s="4" t="str">
        <f t="shared" si="31"/>
        <v>SPATIALADD-ONAUTHORIZEDNOT AN ADD-ON</v>
      </c>
    </row>
    <row r="493" spans="1:22" ht="15" thickBot="1">
      <c r="A493" s="10" t="s">
        <v>21</v>
      </c>
      <c r="B493" s="10" t="s">
        <v>22</v>
      </c>
      <c r="C493" s="10" t="s">
        <v>1044</v>
      </c>
      <c r="D493" s="10" t="s">
        <v>1045</v>
      </c>
      <c r="E493" s="10" t="s">
        <v>1046</v>
      </c>
      <c r="F493" s="10" t="s">
        <v>1047</v>
      </c>
      <c r="G493" s="11">
        <v>132</v>
      </c>
      <c r="H493" s="163" t="s">
        <v>1060</v>
      </c>
      <c r="I493" s="158" t="s">
        <v>1061</v>
      </c>
      <c r="J493" s="163" t="s">
        <v>1062</v>
      </c>
      <c r="K493" s="10" t="s">
        <v>40</v>
      </c>
      <c r="L493" s="10">
        <v>0</v>
      </c>
      <c r="M493" s="10">
        <f t="shared" si="33"/>
        <v>0</v>
      </c>
      <c r="N493" s="10">
        <v>5</v>
      </c>
      <c r="O493" s="12">
        <v>1</v>
      </c>
      <c r="P493" s="11">
        <v>657</v>
      </c>
      <c r="Q493" s="10" t="s">
        <v>31</v>
      </c>
      <c r="R493" s="4" t="s">
        <v>1291</v>
      </c>
      <c r="S493" s="4" t="s">
        <v>507</v>
      </c>
      <c r="T493" s="4" t="s">
        <v>19</v>
      </c>
      <c r="U493" s="4" t="str">
        <f t="shared" si="34"/>
        <v>NOT AN ADD-ON</v>
      </c>
      <c r="V493" s="4" t="str">
        <f t="shared" si="31"/>
        <v>SPATIALADD-ONAUTHORIZEDNOT AN ADD-ON</v>
      </c>
    </row>
    <row r="494" spans="1:22" ht="15" thickBot="1">
      <c r="A494" s="10" t="s">
        <v>21</v>
      </c>
      <c r="B494" s="10" t="s">
        <v>22</v>
      </c>
      <c r="C494" s="10" t="s">
        <v>593</v>
      </c>
      <c r="D494" s="10" t="s">
        <v>594</v>
      </c>
      <c r="E494" s="10" t="s">
        <v>595</v>
      </c>
      <c r="F494" s="10" t="s">
        <v>596</v>
      </c>
      <c r="G494" s="11">
        <v>4680</v>
      </c>
      <c r="H494" s="163" t="s">
        <v>646</v>
      </c>
      <c r="I494" s="158" t="s">
        <v>647</v>
      </c>
      <c r="J494" s="163" t="s">
        <v>639</v>
      </c>
      <c r="K494" s="10" t="s">
        <v>40</v>
      </c>
      <c r="L494" s="10">
        <v>15</v>
      </c>
      <c r="M494" s="10">
        <f t="shared" si="33"/>
        <v>15</v>
      </c>
      <c r="N494" s="10">
        <v>15</v>
      </c>
      <c r="O494" s="12">
        <v>1</v>
      </c>
      <c r="P494" s="11">
        <v>23400</v>
      </c>
      <c r="Q494" s="10" t="s">
        <v>31</v>
      </c>
      <c r="R494" s="4" t="s">
        <v>1281</v>
      </c>
      <c r="S494" s="4" t="s">
        <v>1279</v>
      </c>
      <c r="T494" s="4" t="s">
        <v>19</v>
      </c>
      <c r="U494" s="4" t="str">
        <f t="shared" si="34"/>
        <v>NOT AN ADD-ON</v>
      </c>
      <c r="V494" s="4" t="str">
        <f t="shared" si="31"/>
        <v>NUCLEAR POWERINDUSTRY SOLUTIONAUTHORIZEDNOT AN ADD-ON</v>
      </c>
    </row>
    <row r="495" spans="1:22" ht="15" thickBot="1">
      <c r="A495" s="10" t="s">
        <v>21</v>
      </c>
      <c r="B495" s="10" t="s">
        <v>22</v>
      </c>
      <c r="C495" s="10" t="s">
        <v>593</v>
      </c>
      <c r="D495" s="10" t="s">
        <v>594</v>
      </c>
      <c r="E495" s="10" t="s">
        <v>595</v>
      </c>
      <c r="F495" s="10" t="s">
        <v>596</v>
      </c>
      <c r="G495" s="11">
        <v>4680</v>
      </c>
      <c r="H495" s="163" t="s">
        <v>631</v>
      </c>
      <c r="I495" s="158" t="s">
        <v>632</v>
      </c>
      <c r="J495" s="163" t="s">
        <v>633</v>
      </c>
      <c r="K495" s="10" t="s">
        <v>40</v>
      </c>
      <c r="L495" s="10">
        <v>15</v>
      </c>
      <c r="M495" s="10">
        <f t="shared" si="33"/>
        <v>15</v>
      </c>
      <c r="N495" s="10">
        <v>15</v>
      </c>
      <c r="O495" s="12">
        <v>1</v>
      </c>
      <c r="P495" s="11">
        <v>23400</v>
      </c>
      <c r="Q495" s="10" t="s">
        <v>31</v>
      </c>
      <c r="R495" s="4" t="s">
        <v>1281</v>
      </c>
      <c r="S495" s="4" t="s">
        <v>1279</v>
      </c>
      <c r="T495" s="4" t="s">
        <v>19</v>
      </c>
      <c r="U495" s="4" t="str">
        <f t="shared" si="34"/>
        <v>NOT AN ADD-ON</v>
      </c>
      <c r="V495" s="4" t="str">
        <f t="shared" si="31"/>
        <v>NUCLEAR POWERINDUSTRY SOLUTIONAUTHORIZEDNOT AN ADD-ON</v>
      </c>
    </row>
    <row r="496" spans="1:22" ht="15" thickBot="1">
      <c r="A496" s="10" t="s">
        <v>21</v>
      </c>
      <c r="B496" s="10" t="s">
        <v>22</v>
      </c>
      <c r="C496" s="10" t="s">
        <v>593</v>
      </c>
      <c r="D496" s="10" t="s">
        <v>594</v>
      </c>
      <c r="E496" s="10" t="s">
        <v>595</v>
      </c>
      <c r="F496" s="10" t="s">
        <v>596</v>
      </c>
      <c r="G496" s="11">
        <v>1320</v>
      </c>
      <c r="H496" s="163" t="s">
        <v>614</v>
      </c>
      <c r="I496" s="158" t="s">
        <v>615</v>
      </c>
      <c r="J496" s="163" t="s">
        <v>611</v>
      </c>
      <c r="K496" s="10" t="s">
        <v>40</v>
      </c>
      <c r="L496" s="10">
        <v>5</v>
      </c>
      <c r="M496" s="10">
        <f t="shared" si="33"/>
        <v>5</v>
      </c>
      <c r="N496" s="10">
        <v>15</v>
      </c>
      <c r="O496" s="12">
        <v>1</v>
      </c>
      <c r="P496" s="11">
        <v>6570</v>
      </c>
      <c r="Q496" s="10" t="s">
        <v>31</v>
      </c>
      <c r="R496" s="4" t="s">
        <v>1281</v>
      </c>
      <c r="S496" s="4" t="s">
        <v>1279</v>
      </c>
      <c r="T496" s="4" t="s">
        <v>19</v>
      </c>
      <c r="U496" s="4" t="s">
        <v>507</v>
      </c>
      <c r="V496" s="4" t="str">
        <f t="shared" si="31"/>
        <v>NUCLEAR POWERINDUSTRY SOLUTIONAUTHORIZEDADD-ON</v>
      </c>
    </row>
    <row r="497" spans="1:22" ht="15" thickBot="1">
      <c r="A497" s="10" t="s">
        <v>21</v>
      </c>
      <c r="B497" s="10" t="s">
        <v>22</v>
      </c>
      <c r="C497" s="10" t="s">
        <v>593</v>
      </c>
      <c r="D497" s="10" t="s">
        <v>594</v>
      </c>
      <c r="E497" s="10" t="s">
        <v>595</v>
      </c>
      <c r="F497" s="10" t="s">
        <v>596</v>
      </c>
      <c r="G497" s="11">
        <v>1320</v>
      </c>
      <c r="H497" s="163" t="s">
        <v>603</v>
      </c>
      <c r="I497" s="158" t="s">
        <v>604</v>
      </c>
      <c r="J497" s="163" t="s">
        <v>605</v>
      </c>
      <c r="K497" s="10" t="s">
        <v>40</v>
      </c>
      <c r="L497" s="10">
        <v>5</v>
      </c>
      <c r="M497" s="10">
        <f t="shared" si="33"/>
        <v>5</v>
      </c>
      <c r="N497" s="10">
        <v>15</v>
      </c>
      <c r="O497" s="12">
        <v>1</v>
      </c>
      <c r="P497" s="11">
        <v>6570</v>
      </c>
      <c r="Q497" s="10" t="s">
        <v>31</v>
      </c>
      <c r="R497" s="4" t="s">
        <v>1281</v>
      </c>
      <c r="S497" s="4" t="s">
        <v>1279</v>
      </c>
      <c r="T497" s="4" t="s">
        <v>19</v>
      </c>
      <c r="U497" s="4" t="s">
        <v>507</v>
      </c>
      <c r="V497" s="4" t="str">
        <f t="shared" si="31"/>
        <v>NUCLEAR POWERINDUSTRY SOLUTIONAUTHORIZEDADD-ON</v>
      </c>
    </row>
    <row r="498" spans="1:22" ht="15" thickBot="1">
      <c r="A498" s="10" t="s">
        <v>21</v>
      </c>
      <c r="B498" s="10" t="s">
        <v>22</v>
      </c>
      <c r="C498" s="10" t="s">
        <v>338</v>
      </c>
      <c r="D498" s="10" t="s">
        <v>141</v>
      </c>
      <c r="E498" s="10" t="s">
        <v>142</v>
      </c>
      <c r="F498" s="10" t="s">
        <v>339</v>
      </c>
      <c r="G498" s="11">
        <v>804</v>
      </c>
      <c r="H498" s="163" t="s">
        <v>340</v>
      </c>
      <c r="I498" s="158" t="s">
        <v>341</v>
      </c>
      <c r="J498" s="163" t="s">
        <v>342</v>
      </c>
      <c r="K498" s="10" t="s">
        <v>30</v>
      </c>
      <c r="L498" s="10">
        <v>0</v>
      </c>
      <c r="M498" s="10">
        <f t="shared" si="33"/>
        <v>0</v>
      </c>
      <c r="N498" s="10">
        <v>10</v>
      </c>
      <c r="O498" s="12">
        <v>3.3333333333333335</v>
      </c>
      <c r="P498" s="11">
        <v>4020</v>
      </c>
      <c r="Q498" s="10" t="s">
        <v>31</v>
      </c>
      <c r="R498" s="4" t="s">
        <v>1286</v>
      </c>
      <c r="S498" s="4" t="s">
        <v>507</v>
      </c>
      <c r="T498" s="4" t="s">
        <v>19</v>
      </c>
      <c r="U498" s="4" t="str">
        <f t="shared" ref="U498:U505" si="35">IF(ISNUMBER(SEARCH("ADD-ON",$I498)),"ADD-ON","NOT AN ADD-ON")</f>
        <v>NOT AN ADD-ON</v>
      </c>
      <c r="V498" s="4" t="str">
        <f t="shared" si="31"/>
        <v>SCHEDULER PLUSADD-ONAUTHORIZEDNOT AN ADD-ON</v>
      </c>
    </row>
    <row r="499" spans="1:22" ht="29.25" customHeight="1" thickBot="1">
      <c r="A499" s="10" t="s">
        <v>21</v>
      </c>
      <c r="B499" s="10" t="s">
        <v>22</v>
      </c>
      <c r="C499" s="10" t="s">
        <v>338</v>
      </c>
      <c r="D499" s="10" t="s">
        <v>141</v>
      </c>
      <c r="E499" s="10" t="s">
        <v>142</v>
      </c>
      <c r="F499" s="10" t="s">
        <v>339</v>
      </c>
      <c r="G499" s="11">
        <v>2420</v>
      </c>
      <c r="H499" s="163" t="s">
        <v>356</v>
      </c>
      <c r="I499" s="158" t="s">
        <v>357</v>
      </c>
      <c r="J499" s="163" t="s">
        <v>358</v>
      </c>
      <c r="K499" s="10" t="s">
        <v>40</v>
      </c>
      <c r="L499" s="10">
        <v>0</v>
      </c>
      <c r="M499" s="10">
        <f t="shared" si="33"/>
        <v>0</v>
      </c>
      <c r="N499" s="10">
        <v>10</v>
      </c>
      <c r="O499" s="12">
        <v>1</v>
      </c>
      <c r="P499" s="11">
        <v>11900</v>
      </c>
      <c r="Q499" s="10" t="s">
        <v>31</v>
      </c>
      <c r="R499" s="4" t="s">
        <v>1286</v>
      </c>
      <c r="S499" s="4" t="s">
        <v>507</v>
      </c>
      <c r="T499" s="4" t="s">
        <v>19</v>
      </c>
      <c r="U499" s="4" t="str">
        <f t="shared" si="35"/>
        <v>NOT AN ADD-ON</v>
      </c>
      <c r="V499" s="4" t="str">
        <f t="shared" si="31"/>
        <v>SCHEDULER PLUSADD-ONAUTHORIZEDNOT AN ADD-ON</v>
      </c>
    </row>
    <row r="500" spans="1:22" ht="29.25" customHeight="1" thickBot="1">
      <c r="A500" s="10" t="s">
        <v>21</v>
      </c>
      <c r="B500" s="10" t="s">
        <v>22</v>
      </c>
      <c r="C500" s="10" t="s">
        <v>338</v>
      </c>
      <c r="D500" s="10" t="s">
        <v>141</v>
      </c>
      <c r="E500" s="10" t="s">
        <v>142</v>
      </c>
      <c r="F500" s="10" t="s">
        <v>339</v>
      </c>
      <c r="G500" s="11">
        <v>804</v>
      </c>
      <c r="H500" s="163" t="s">
        <v>346</v>
      </c>
      <c r="I500" s="158" t="s">
        <v>347</v>
      </c>
      <c r="J500" s="163" t="s">
        <v>348</v>
      </c>
      <c r="K500" s="10" t="s">
        <v>30</v>
      </c>
      <c r="L500" s="10">
        <v>0</v>
      </c>
      <c r="M500" s="10">
        <f t="shared" si="33"/>
        <v>0</v>
      </c>
      <c r="N500" s="10">
        <v>10</v>
      </c>
      <c r="O500" s="12">
        <v>3.3333333333333335</v>
      </c>
      <c r="P500" s="11">
        <v>4020</v>
      </c>
      <c r="Q500" s="10" t="s">
        <v>31</v>
      </c>
      <c r="R500" s="4" t="s">
        <v>1286</v>
      </c>
      <c r="S500" s="4" t="s">
        <v>507</v>
      </c>
      <c r="T500" s="4" t="s">
        <v>19</v>
      </c>
      <c r="U500" s="4" t="str">
        <f t="shared" si="35"/>
        <v>NOT AN ADD-ON</v>
      </c>
      <c r="V500" s="4" t="str">
        <f t="shared" si="31"/>
        <v>SCHEDULER PLUSADD-ONAUTHORIZEDNOT AN ADD-ON</v>
      </c>
    </row>
    <row r="501" spans="1:22" ht="29.25" customHeight="1" thickBot="1">
      <c r="A501" s="10" t="s">
        <v>21</v>
      </c>
      <c r="B501" s="10" t="s">
        <v>22</v>
      </c>
      <c r="C501" s="10" t="s">
        <v>338</v>
      </c>
      <c r="D501" s="10" t="s">
        <v>141</v>
      </c>
      <c r="E501" s="10" t="s">
        <v>142</v>
      </c>
      <c r="F501" s="10" t="s">
        <v>339</v>
      </c>
      <c r="G501" s="11">
        <v>2420</v>
      </c>
      <c r="H501" s="163" t="s">
        <v>362</v>
      </c>
      <c r="I501" s="158" t="s">
        <v>363</v>
      </c>
      <c r="J501" s="163" t="s">
        <v>364</v>
      </c>
      <c r="K501" s="10" t="s">
        <v>40</v>
      </c>
      <c r="L501" s="10">
        <v>0</v>
      </c>
      <c r="M501" s="10">
        <f t="shared" si="33"/>
        <v>0</v>
      </c>
      <c r="N501" s="10">
        <v>10</v>
      </c>
      <c r="O501" s="12">
        <v>1</v>
      </c>
      <c r="P501" s="11">
        <v>11900</v>
      </c>
      <c r="Q501" s="10" t="s">
        <v>31</v>
      </c>
      <c r="R501" s="4" t="s">
        <v>1286</v>
      </c>
      <c r="S501" s="4" t="s">
        <v>507</v>
      </c>
      <c r="T501" s="4" t="s">
        <v>19</v>
      </c>
      <c r="U501" s="4" t="str">
        <f t="shared" si="35"/>
        <v>NOT AN ADD-ON</v>
      </c>
      <c r="V501" s="4" t="str">
        <f t="shared" si="31"/>
        <v>SCHEDULER PLUSADD-ONAUTHORIZEDNOT AN ADD-ON</v>
      </c>
    </row>
    <row r="502" spans="1:22" ht="29.25" customHeight="1" thickBot="1">
      <c r="A502" s="10" t="s">
        <v>21</v>
      </c>
      <c r="B502" s="10" t="s">
        <v>22</v>
      </c>
      <c r="C502" s="10" t="s">
        <v>338</v>
      </c>
      <c r="D502" s="10" t="s">
        <v>141</v>
      </c>
      <c r="E502" s="10" t="s">
        <v>142</v>
      </c>
      <c r="F502" s="10" t="s">
        <v>339</v>
      </c>
      <c r="G502" s="11">
        <v>165</v>
      </c>
      <c r="H502" s="163" t="s">
        <v>962</v>
      </c>
      <c r="I502" s="158" t="s">
        <v>963</v>
      </c>
      <c r="J502" s="163" t="s">
        <v>964</v>
      </c>
      <c r="K502" s="10" t="s">
        <v>30</v>
      </c>
      <c r="L502" s="10">
        <v>0</v>
      </c>
      <c r="M502" s="10">
        <f t="shared" ref="M502:M505" si="36">ROUND(IF(K502="Authorized User",L502/3,L502),2)</f>
        <v>0</v>
      </c>
      <c r="N502" s="10">
        <v>10</v>
      </c>
      <c r="O502" s="12">
        <v>3.3333333333333335</v>
      </c>
      <c r="P502" s="11">
        <v>820</v>
      </c>
      <c r="Q502" s="10" t="s">
        <v>31</v>
      </c>
      <c r="R502" s="4" t="s">
        <v>1287</v>
      </c>
      <c r="S502" s="4" t="s">
        <v>507</v>
      </c>
      <c r="T502" s="4" t="s">
        <v>19</v>
      </c>
      <c r="U502" s="4" t="str">
        <f t="shared" si="35"/>
        <v>NOT AN ADD-ON</v>
      </c>
      <c r="V502" s="4" t="str">
        <f t="shared" si="31"/>
        <v>GRAPHICAL APPOINTMENT BOOKADD-ONAUTHORIZEDNOT AN ADD-ON</v>
      </c>
    </row>
    <row r="503" spans="1:22" ht="29.25" customHeight="1" thickBot="1">
      <c r="A503" s="10" t="s">
        <v>21</v>
      </c>
      <c r="B503" s="10" t="s">
        <v>22</v>
      </c>
      <c r="C503" s="10" t="s">
        <v>338</v>
      </c>
      <c r="D503" s="10" t="s">
        <v>141</v>
      </c>
      <c r="E503" s="10" t="s">
        <v>142</v>
      </c>
      <c r="F503" s="10" t="s">
        <v>339</v>
      </c>
      <c r="G503" s="11">
        <v>492</v>
      </c>
      <c r="H503" s="163" t="s">
        <v>974</v>
      </c>
      <c r="I503" s="158" t="s">
        <v>975</v>
      </c>
      <c r="J503" s="163" t="s">
        <v>976</v>
      </c>
      <c r="K503" s="10" t="s">
        <v>40</v>
      </c>
      <c r="L503" s="10">
        <v>0</v>
      </c>
      <c r="M503" s="10">
        <f t="shared" si="36"/>
        <v>0</v>
      </c>
      <c r="N503" s="10">
        <v>10</v>
      </c>
      <c r="O503" s="12">
        <v>1</v>
      </c>
      <c r="P503" s="11">
        <v>2460</v>
      </c>
      <c r="Q503" s="10" t="s">
        <v>31</v>
      </c>
      <c r="R503" s="4" t="s">
        <v>1287</v>
      </c>
      <c r="S503" s="4" t="s">
        <v>507</v>
      </c>
      <c r="T503" s="4" t="s">
        <v>19</v>
      </c>
      <c r="U503" s="4" t="str">
        <f t="shared" si="35"/>
        <v>NOT AN ADD-ON</v>
      </c>
      <c r="V503" s="4" t="str">
        <f t="shared" si="31"/>
        <v>GRAPHICAL APPOINTMENT BOOKADD-ONAUTHORIZEDNOT AN ADD-ON</v>
      </c>
    </row>
    <row r="504" spans="1:22" ht="29.25" customHeight="1" thickBot="1">
      <c r="A504" s="10" t="s">
        <v>21</v>
      </c>
      <c r="B504" s="10" t="s">
        <v>22</v>
      </c>
      <c r="C504" s="10" t="s">
        <v>338</v>
      </c>
      <c r="D504" s="10" t="s">
        <v>141</v>
      </c>
      <c r="E504" s="10" t="s">
        <v>142</v>
      </c>
      <c r="F504" s="10" t="s">
        <v>339</v>
      </c>
      <c r="G504" s="11">
        <v>165</v>
      </c>
      <c r="H504" s="163" t="s">
        <v>968</v>
      </c>
      <c r="I504" s="166" t="s">
        <v>969</v>
      </c>
      <c r="J504" s="163" t="s">
        <v>970</v>
      </c>
      <c r="K504" s="10" t="s">
        <v>30</v>
      </c>
      <c r="L504" s="10">
        <v>0</v>
      </c>
      <c r="M504" s="10">
        <f t="shared" si="36"/>
        <v>0</v>
      </c>
      <c r="N504" s="10">
        <v>10</v>
      </c>
      <c r="O504" s="12">
        <v>3.3333333333333335</v>
      </c>
      <c r="P504" s="11">
        <v>820</v>
      </c>
      <c r="Q504" s="10" t="s">
        <v>31</v>
      </c>
      <c r="R504" s="4" t="s">
        <v>1287</v>
      </c>
      <c r="S504" s="4" t="s">
        <v>507</v>
      </c>
      <c r="T504" s="4" t="s">
        <v>19</v>
      </c>
      <c r="U504" s="4" t="str">
        <f t="shared" si="35"/>
        <v>NOT AN ADD-ON</v>
      </c>
      <c r="V504" s="4" t="str">
        <f t="shared" si="31"/>
        <v>GRAPHICAL APPOINTMENT BOOKADD-ONAUTHORIZEDNOT AN ADD-ON</v>
      </c>
    </row>
    <row r="505" spans="1:22" ht="15" thickBot="1">
      <c r="A505" s="10" t="s">
        <v>21</v>
      </c>
      <c r="B505" s="10" t="s">
        <v>22</v>
      </c>
      <c r="C505" s="10" t="s">
        <v>338</v>
      </c>
      <c r="D505" s="10" t="s">
        <v>141</v>
      </c>
      <c r="E505" s="10" t="s">
        <v>142</v>
      </c>
      <c r="F505" s="10" t="s">
        <v>339</v>
      </c>
      <c r="G505" s="11">
        <v>492</v>
      </c>
      <c r="H505" s="163" t="s">
        <v>980</v>
      </c>
      <c r="I505" s="166" t="s">
        <v>981</v>
      </c>
      <c r="J505" s="163" t="s">
        <v>982</v>
      </c>
      <c r="K505" s="10" t="s">
        <v>40</v>
      </c>
      <c r="L505" s="10">
        <v>0</v>
      </c>
      <c r="M505" s="10">
        <f t="shared" si="36"/>
        <v>0</v>
      </c>
      <c r="N505" s="15">
        <v>10</v>
      </c>
      <c r="O505" s="16">
        <v>1</v>
      </c>
      <c r="P505" s="11">
        <v>2460</v>
      </c>
      <c r="Q505" s="10" t="s">
        <v>31</v>
      </c>
      <c r="R505" s="4" t="s">
        <v>1287</v>
      </c>
      <c r="S505" s="4" t="s">
        <v>507</v>
      </c>
      <c r="T505" s="4" t="s">
        <v>19</v>
      </c>
      <c r="U505" s="4" t="str">
        <f t="shared" si="35"/>
        <v>NOT AN ADD-ON</v>
      </c>
      <c r="V505" s="4" t="str">
        <f t="shared" si="31"/>
        <v>GRAPHICAL APPOINTMENT BOOKADD-ONAUTHORIZEDNOT AN ADD-ON</v>
      </c>
    </row>
    <row r="506" spans="1:22" ht="15" thickBot="1">
      <c r="A506" s="10"/>
      <c r="B506" s="10"/>
      <c r="C506" s="10"/>
      <c r="D506" s="10"/>
      <c r="E506" s="10"/>
      <c r="F506" s="10"/>
      <c r="G506" s="116"/>
      <c r="H506" s="163"/>
      <c r="I506" s="158"/>
      <c r="J506" s="163"/>
      <c r="K506" s="10"/>
      <c r="L506" s="10"/>
      <c r="M506" s="10"/>
      <c r="N506" s="10"/>
      <c r="O506" s="12"/>
      <c r="P506" s="116"/>
      <c r="Q506" s="10"/>
    </row>
    <row r="507" spans="1:22" ht="15" thickBot="1">
      <c r="A507" s="10"/>
      <c r="B507" s="10"/>
      <c r="C507" s="10"/>
      <c r="D507" s="10"/>
      <c r="E507" s="10"/>
      <c r="F507" s="10"/>
      <c r="G507" s="116"/>
      <c r="H507" s="163"/>
      <c r="I507" s="158"/>
      <c r="J507" s="163"/>
      <c r="K507" s="10"/>
      <c r="L507" s="10"/>
      <c r="M507" s="10"/>
      <c r="N507" s="10"/>
      <c r="O507" s="12"/>
      <c r="P507" s="116"/>
      <c r="Q507" s="10"/>
    </row>
    <row r="508" spans="1:22" ht="15" thickBot="1">
      <c r="A508" s="10"/>
      <c r="B508" s="10"/>
      <c r="C508" s="10"/>
      <c r="D508" s="10"/>
      <c r="E508" s="10"/>
      <c r="F508" s="10"/>
      <c r="G508" s="116"/>
      <c r="H508" s="163"/>
      <c r="I508" s="158"/>
      <c r="J508" s="163"/>
      <c r="K508" s="10"/>
      <c r="L508" s="10"/>
      <c r="M508" s="10"/>
      <c r="N508" s="10"/>
      <c r="O508" s="12"/>
      <c r="P508" s="116"/>
      <c r="Q508" s="10"/>
    </row>
    <row r="509" spans="1:22" ht="15" thickBot="1">
      <c r="A509" s="10"/>
      <c r="B509" s="10"/>
      <c r="C509" s="10"/>
      <c r="D509" s="10"/>
      <c r="E509" s="10"/>
      <c r="F509" s="10"/>
      <c r="G509" s="116"/>
      <c r="H509" s="163"/>
      <c r="I509" s="158"/>
      <c r="J509" s="163"/>
      <c r="K509" s="10"/>
      <c r="L509" s="10"/>
      <c r="M509" s="10"/>
      <c r="N509" s="10"/>
      <c r="O509" s="12"/>
      <c r="P509" s="116"/>
      <c r="Q509" s="10"/>
    </row>
    <row r="510" spans="1:22" ht="15" thickBot="1">
      <c r="A510" s="10"/>
      <c r="B510" s="10"/>
      <c r="C510" s="10"/>
      <c r="D510" s="10"/>
      <c r="E510" s="10"/>
      <c r="F510" s="10"/>
      <c r="G510" s="116"/>
      <c r="H510" s="163"/>
      <c r="I510" s="158"/>
      <c r="J510" s="163"/>
      <c r="K510" s="10"/>
      <c r="L510" s="10"/>
      <c r="M510" s="10"/>
      <c r="N510" s="10"/>
      <c r="O510" s="12"/>
      <c r="P510" s="116"/>
      <c r="Q510" s="10"/>
    </row>
    <row r="511" spans="1:22" ht="15" thickBot="1">
      <c r="A511" s="10"/>
      <c r="B511" s="10"/>
      <c r="C511" s="10"/>
      <c r="D511" s="10"/>
      <c r="E511" s="10"/>
      <c r="F511" s="10"/>
      <c r="G511" s="116"/>
      <c r="H511" s="163"/>
      <c r="I511" s="158"/>
      <c r="J511" s="163"/>
      <c r="K511" s="10"/>
      <c r="L511" s="10"/>
      <c r="M511" s="10"/>
      <c r="N511" s="10"/>
      <c r="O511" s="17"/>
      <c r="P511" s="116"/>
      <c r="Q511" s="10"/>
    </row>
    <row r="512" spans="1:22" ht="15" thickBot="1">
      <c r="A512" s="10"/>
      <c r="B512" s="10"/>
      <c r="C512" s="10"/>
      <c r="D512" s="10"/>
      <c r="E512" s="10"/>
      <c r="F512" s="10"/>
      <c r="G512" s="116"/>
      <c r="H512" s="163"/>
      <c r="I512" s="158"/>
      <c r="J512" s="163"/>
      <c r="K512" s="10"/>
      <c r="L512" s="10"/>
      <c r="M512" s="10"/>
      <c r="N512" s="10"/>
      <c r="O512" s="17"/>
      <c r="P512" s="116"/>
      <c r="Q512" s="10"/>
    </row>
    <row r="513" spans="1:17" ht="15" thickBot="1">
      <c r="A513" s="10"/>
      <c r="B513" s="10"/>
      <c r="C513" s="10"/>
      <c r="D513" s="10"/>
      <c r="E513" s="10"/>
      <c r="F513" s="10"/>
      <c r="G513" s="116"/>
      <c r="H513" s="163"/>
      <c r="I513" s="158"/>
      <c r="J513" s="163"/>
      <c r="K513" s="10"/>
      <c r="L513" s="10"/>
      <c r="M513" s="10"/>
      <c r="N513" s="10"/>
      <c r="O513" s="17"/>
      <c r="P513" s="116"/>
      <c r="Q513" s="10"/>
    </row>
    <row r="514" spans="1:17" ht="15" thickBot="1">
      <c r="A514" s="10"/>
      <c r="B514" s="10"/>
      <c r="C514" s="10"/>
      <c r="D514" s="10"/>
      <c r="E514" s="10"/>
      <c r="F514" s="10"/>
      <c r="G514" s="116"/>
      <c r="H514" s="163"/>
      <c r="I514" s="158"/>
      <c r="J514" s="163"/>
      <c r="K514" s="10"/>
      <c r="L514" s="10"/>
      <c r="M514" s="10"/>
      <c r="N514" s="10"/>
      <c r="O514" s="17"/>
      <c r="P514" s="116"/>
      <c r="Q514" s="10"/>
    </row>
    <row r="515" spans="1:17" ht="15" thickBot="1">
      <c r="A515" s="10"/>
      <c r="B515" s="10"/>
      <c r="C515" s="10"/>
      <c r="D515" s="10"/>
      <c r="E515" s="10"/>
      <c r="F515" s="10"/>
      <c r="G515" s="116"/>
      <c r="H515" s="163"/>
      <c r="I515" s="158"/>
      <c r="J515" s="163"/>
      <c r="K515" s="10"/>
      <c r="L515" s="10"/>
      <c r="M515" s="10"/>
      <c r="N515" s="10"/>
      <c r="O515" s="17"/>
      <c r="P515" s="116"/>
      <c r="Q515" s="10"/>
    </row>
    <row r="516" spans="1:17" ht="15" thickBot="1">
      <c r="A516" s="10"/>
      <c r="B516" s="10"/>
      <c r="C516" s="10"/>
      <c r="D516" s="10"/>
      <c r="E516" s="10"/>
      <c r="F516" s="10"/>
      <c r="G516" s="116"/>
      <c r="H516" s="163"/>
      <c r="I516" s="158"/>
      <c r="J516" s="163"/>
      <c r="K516" s="10"/>
      <c r="L516" s="10"/>
      <c r="M516" s="10"/>
      <c r="N516" s="10"/>
      <c r="O516" s="12"/>
      <c r="P516" s="116"/>
      <c r="Q516" s="10"/>
    </row>
    <row r="517" spans="1:17" ht="15" thickBot="1">
      <c r="A517" s="10"/>
      <c r="B517" s="10"/>
      <c r="C517" s="10"/>
      <c r="D517" s="10"/>
      <c r="E517" s="10"/>
      <c r="F517" s="10"/>
      <c r="G517" s="116"/>
      <c r="H517" s="163"/>
      <c r="I517" s="158"/>
      <c r="J517" s="163"/>
      <c r="K517" s="10"/>
      <c r="L517" s="10"/>
      <c r="M517" s="10"/>
      <c r="N517" s="10"/>
      <c r="O517" s="12"/>
      <c r="P517" s="116"/>
      <c r="Q517" s="10"/>
    </row>
    <row r="518" spans="1:17" ht="15" thickBot="1">
      <c r="A518" s="10"/>
      <c r="B518" s="10"/>
      <c r="C518" s="10"/>
      <c r="D518" s="10"/>
      <c r="E518" s="10"/>
      <c r="F518" s="10"/>
      <c r="G518" s="116"/>
      <c r="H518" s="163"/>
      <c r="I518" s="158"/>
      <c r="J518" s="163"/>
      <c r="K518" s="10"/>
      <c r="L518" s="10"/>
      <c r="M518" s="10"/>
      <c r="N518" s="10"/>
      <c r="O518" s="12"/>
      <c r="P518" s="116"/>
      <c r="Q518" s="10"/>
    </row>
    <row r="519" spans="1:17" ht="15" thickBot="1">
      <c r="A519" s="10"/>
      <c r="B519" s="10"/>
      <c r="C519" s="10"/>
      <c r="D519" s="10"/>
      <c r="E519" s="10"/>
      <c r="F519" s="10"/>
      <c r="G519" s="116"/>
      <c r="H519" s="163"/>
      <c r="I519" s="158"/>
      <c r="J519" s="163"/>
      <c r="K519" s="10"/>
      <c r="L519" s="10"/>
      <c r="M519" s="10"/>
      <c r="N519" s="10"/>
      <c r="O519" s="12"/>
      <c r="P519" s="116"/>
      <c r="Q519" s="10"/>
    </row>
    <row r="520" spans="1:17" ht="15" thickBot="1">
      <c r="A520" s="10"/>
      <c r="B520" s="10"/>
      <c r="C520" s="10"/>
      <c r="D520" s="10"/>
      <c r="E520" s="10"/>
      <c r="F520" s="10"/>
      <c r="G520" s="116"/>
      <c r="H520" s="163"/>
      <c r="I520" s="158"/>
      <c r="J520" s="163"/>
      <c r="K520" s="10"/>
      <c r="L520" s="10"/>
      <c r="M520" s="10"/>
      <c r="N520" s="10"/>
      <c r="O520" s="12"/>
      <c r="P520" s="116"/>
      <c r="Q520" s="10"/>
    </row>
    <row r="521" spans="1:17" ht="15" thickBot="1">
      <c r="A521" s="10"/>
      <c r="B521" s="10"/>
      <c r="C521" s="10"/>
      <c r="D521" s="10"/>
      <c r="E521" s="10"/>
      <c r="F521" s="10"/>
      <c r="G521" s="116"/>
      <c r="H521" s="163"/>
      <c r="I521" s="158"/>
      <c r="J521" s="163"/>
      <c r="K521" s="10"/>
      <c r="L521" s="10"/>
      <c r="M521" s="10"/>
      <c r="N521" s="10"/>
      <c r="O521" s="12"/>
      <c r="P521" s="116"/>
      <c r="Q521" s="10"/>
    </row>
    <row r="522" spans="1:17" ht="15" thickBot="1">
      <c r="A522" s="10"/>
      <c r="B522" s="10"/>
      <c r="C522" s="10"/>
      <c r="D522" s="10"/>
      <c r="E522" s="10"/>
      <c r="F522" s="10"/>
      <c r="G522" s="116"/>
      <c r="H522" s="163"/>
      <c r="I522" s="158"/>
      <c r="J522" s="163"/>
      <c r="K522" s="10"/>
      <c r="L522" s="10"/>
      <c r="M522" s="10"/>
      <c r="N522" s="10"/>
      <c r="O522" s="12"/>
      <c r="P522" s="116"/>
      <c r="Q522" s="10"/>
    </row>
    <row r="523" spans="1:17" ht="15" thickBot="1">
      <c r="A523" s="10"/>
      <c r="B523" s="10"/>
      <c r="C523" s="10"/>
      <c r="D523" s="10"/>
      <c r="E523" s="10"/>
      <c r="F523" s="10"/>
      <c r="G523" s="116"/>
      <c r="H523" s="163"/>
      <c r="I523" s="166"/>
      <c r="J523" s="163"/>
      <c r="K523" s="10"/>
      <c r="L523" s="10"/>
      <c r="M523" s="10"/>
      <c r="N523" s="10"/>
      <c r="O523" s="12"/>
      <c r="P523" s="116"/>
      <c r="Q523" s="10"/>
    </row>
    <row r="524" spans="1:17" ht="15" thickBot="1">
      <c r="A524" s="10"/>
      <c r="B524" s="10"/>
      <c r="C524" s="10"/>
      <c r="D524" s="10"/>
      <c r="E524" s="10"/>
      <c r="F524" s="10"/>
      <c r="G524" s="116"/>
      <c r="H524" s="163"/>
      <c r="I524" s="166"/>
      <c r="J524" s="163"/>
      <c r="K524" s="10"/>
      <c r="L524" s="10"/>
      <c r="M524" s="10"/>
      <c r="N524" s="10"/>
      <c r="O524" s="12"/>
      <c r="P524" s="116"/>
      <c r="Q524" s="10"/>
    </row>
    <row r="525" spans="1:17" ht="15" thickBot="1">
      <c r="A525" s="10"/>
      <c r="B525" s="10"/>
      <c r="C525" s="10"/>
      <c r="D525" s="10"/>
      <c r="E525" s="10"/>
      <c r="F525" s="10"/>
      <c r="G525" s="116"/>
      <c r="H525" s="163"/>
      <c r="I525" s="158"/>
      <c r="J525" s="163"/>
      <c r="K525" s="10"/>
      <c r="L525" s="10"/>
      <c r="M525" s="10"/>
      <c r="N525" s="10"/>
      <c r="O525" s="12"/>
      <c r="P525" s="116"/>
      <c r="Q525" s="10"/>
    </row>
    <row r="526" spans="1:17" ht="15" thickBot="1">
      <c r="A526" s="10"/>
      <c r="B526" s="10"/>
      <c r="C526" s="10"/>
      <c r="D526" s="10"/>
      <c r="E526" s="10"/>
      <c r="F526" s="10"/>
      <c r="G526" s="116"/>
      <c r="H526" s="163"/>
      <c r="I526" s="158"/>
      <c r="J526" s="163"/>
      <c r="K526" s="10"/>
      <c r="L526" s="10"/>
      <c r="M526" s="10"/>
      <c r="N526" s="10"/>
      <c r="O526" s="12"/>
      <c r="P526" s="116"/>
      <c r="Q526" s="10"/>
    </row>
    <row r="527" spans="1:17" ht="15" thickBot="1">
      <c r="A527" s="10"/>
      <c r="B527" s="10"/>
      <c r="C527" s="10"/>
      <c r="D527" s="10"/>
      <c r="E527" s="10"/>
      <c r="F527" s="10"/>
      <c r="G527" s="116"/>
      <c r="H527" s="163"/>
      <c r="I527" s="158"/>
      <c r="J527" s="163"/>
      <c r="K527" s="10"/>
      <c r="L527" s="10"/>
      <c r="M527" s="10"/>
      <c r="N527" s="10"/>
      <c r="O527" s="12"/>
      <c r="P527" s="116"/>
      <c r="Q527" s="10"/>
    </row>
    <row r="528" spans="1:17" ht="15" thickBot="1">
      <c r="A528" s="10"/>
      <c r="B528" s="10"/>
      <c r="C528" s="10"/>
      <c r="D528" s="10"/>
      <c r="E528" s="10"/>
      <c r="F528" s="10"/>
      <c r="G528" s="116"/>
      <c r="H528" s="163"/>
      <c r="I528" s="166"/>
      <c r="J528" s="163"/>
      <c r="K528" s="10"/>
      <c r="L528" s="10"/>
      <c r="M528" s="10"/>
      <c r="N528" s="10"/>
      <c r="O528" s="12"/>
      <c r="P528" s="116"/>
      <c r="Q528" s="10"/>
    </row>
    <row r="529" spans="1:17" ht="15" thickBot="1">
      <c r="A529" s="10"/>
      <c r="B529" s="10"/>
      <c r="C529" s="10"/>
      <c r="D529" s="10"/>
      <c r="E529" s="10"/>
      <c r="F529" s="10"/>
      <c r="G529" s="116"/>
      <c r="H529" s="163"/>
      <c r="I529" s="166"/>
      <c r="J529" s="163"/>
      <c r="K529" s="10"/>
      <c r="L529" s="10"/>
      <c r="M529" s="10"/>
      <c r="N529" s="10"/>
      <c r="O529" s="12"/>
      <c r="P529" s="116"/>
      <c r="Q529" s="10"/>
    </row>
    <row r="530" spans="1:17" ht="15" thickBot="1">
      <c r="A530" s="10"/>
      <c r="B530" s="10"/>
      <c r="C530" s="10"/>
      <c r="D530" s="10"/>
      <c r="E530" s="10"/>
      <c r="F530" s="10"/>
      <c r="G530" s="116"/>
      <c r="H530" s="163"/>
      <c r="I530" s="158"/>
      <c r="J530" s="163"/>
      <c r="K530" s="10"/>
      <c r="L530" s="10"/>
      <c r="M530" s="10"/>
      <c r="N530" s="10"/>
      <c r="O530" s="12"/>
      <c r="P530" s="116"/>
      <c r="Q530" s="10"/>
    </row>
    <row r="531" spans="1:17" ht="15" thickBot="1">
      <c r="A531" s="10"/>
      <c r="B531" s="10"/>
      <c r="C531" s="10"/>
      <c r="D531" s="10"/>
      <c r="E531" s="10"/>
      <c r="F531" s="10"/>
      <c r="G531" s="116"/>
      <c r="H531" s="163"/>
      <c r="I531" s="166"/>
      <c r="J531" s="163"/>
      <c r="K531" s="10"/>
      <c r="L531" s="10"/>
      <c r="M531" s="10"/>
      <c r="N531" s="10"/>
      <c r="O531" s="12"/>
      <c r="P531" s="116"/>
      <c r="Q531" s="10"/>
    </row>
    <row r="532" spans="1:17" ht="15" thickBot="1">
      <c r="A532" s="10"/>
      <c r="B532" s="10"/>
      <c r="C532" s="10"/>
      <c r="D532" s="10"/>
      <c r="E532" s="10"/>
      <c r="F532" s="10"/>
      <c r="G532" s="116"/>
      <c r="H532" s="163"/>
      <c r="I532" s="166"/>
      <c r="J532" s="163"/>
      <c r="K532" s="10"/>
      <c r="L532" s="10"/>
      <c r="M532" s="10"/>
      <c r="N532" s="10"/>
      <c r="O532" s="12"/>
      <c r="P532" s="116"/>
      <c r="Q532" s="10"/>
    </row>
    <row r="533" spans="1:17" ht="29.25" customHeight="1" thickBot="1">
      <c r="A533" s="10"/>
      <c r="B533" s="10"/>
      <c r="C533" s="10"/>
      <c r="D533" s="10"/>
      <c r="E533" s="10"/>
      <c r="F533" s="10"/>
      <c r="G533" s="116"/>
      <c r="H533" s="163"/>
      <c r="I533" s="158"/>
      <c r="J533" s="163"/>
      <c r="K533" s="10"/>
      <c r="L533" s="10"/>
      <c r="M533" s="10"/>
      <c r="N533" s="10"/>
      <c r="O533" s="12"/>
      <c r="P533" s="116"/>
      <c r="Q533" s="10"/>
    </row>
    <row r="534" spans="1:17" ht="15" thickBot="1">
      <c r="A534" s="10"/>
      <c r="B534" s="10"/>
      <c r="C534" s="10"/>
      <c r="D534" s="10"/>
      <c r="E534" s="10"/>
      <c r="F534" s="10"/>
      <c r="G534" s="116"/>
      <c r="H534" s="163"/>
      <c r="I534" s="158"/>
      <c r="J534" s="163"/>
      <c r="K534" s="10"/>
      <c r="L534" s="10"/>
      <c r="M534" s="10"/>
      <c r="N534" s="10"/>
      <c r="O534" s="12"/>
      <c r="P534" s="116"/>
      <c r="Q534" s="10"/>
    </row>
    <row r="535" spans="1:17" ht="15" thickBot="1">
      <c r="A535" s="10"/>
      <c r="B535" s="10"/>
      <c r="C535" s="10"/>
      <c r="D535" s="10"/>
      <c r="E535" s="10"/>
      <c r="F535" s="10"/>
      <c r="G535" s="116"/>
      <c r="H535" s="163"/>
      <c r="I535" s="158"/>
      <c r="J535" s="163"/>
      <c r="K535" s="10"/>
      <c r="L535" s="10"/>
      <c r="M535" s="10"/>
      <c r="N535" s="10"/>
      <c r="O535" s="12"/>
      <c r="P535" s="116"/>
      <c r="Q535" s="10"/>
    </row>
    <row r="536" spans="1:17" ht="15" thickBot="1">
      <c r="A536" s="10"/>
      <c r="B536" s="10"/>
      <c r="C536" s="10"/>
      <c r="D536" s="10"/>
      <c r="E536" s="10"/>
      <c r="F536" s="10"/>
      <c r="G536" s="116"/>
      <c r="H536" s="163"/>
      <c r="I536" s="166"/>
      <c r="J536" s="163"/>
      <c r="K536" s="10"/>
      <c r="L536" s="10"/>
      <c r="M536" s="10"/>
      <c r="N536" s="10"/>
      <c r="O536" s="12"/>
      <c r="P536" s="116"/>
      <c r="Q536" s="10"/>
    </row>
    <row r="537" spans="1:17" ht="29.25" customHeight="1" thickBot="1">
      <c r="A537" s="10"/>
      <c r="B537" s="10"/>
      <c r="C537" s="10"/>
      <c r="D537" s="10"/>
      <c r="E537" s="10"/>
      <c r="F537" s="10"/>
      <c r="G537" s="116"/>
      <c r="H537" s="163"/>
      <c r="I537" s="166"/>
      <c r="J537" s="163"/>
      <c r="K537" s="10"/>
      <c r="L537" s="10"/>
      <c r="M537" s="10"/>
      <c r="N537" s="10"/>
      <c r="O537" s="12"/>
      <c r="P537" s="116"/>
      <c r="Q537" s="10"/>
    </row>
    <row r="538" spans="1:17" ht="15" thickBot="1">
      <c r="A538" s="10"/>
      <c r="B538" s="10"/>
      <c r="C538" s="10"/>
      <c r="D538" s="10"/>
      <c r="E538" s="10"/>
      <c r="F538" s="10"/>
      <c r="G538" s="116"/>
      <c r="H538" s="163"/>
      <c r="I538" s="158"/>
      <c r="J538" s="163"/>
      <c r="K538" s="10"/>
      <c r="L538" s="10"/>
      <c r="M538" s="10"/>
      <c r="N538" s="10"/>
      <c r="O538" s="12"/>
      <c r="P538" s="116"/>
      <c r="Q538" s="10"/>
    </row>
    <row r="539" spans="1:17" ht="15" thickBot="1">
      <c r="A539" s="10"/>
      <c r="B539" s="10"/>
      <c r="C539" s="10"/>
      <c r="D539" s="10"/>
      <c r="E539" s="10"/>
      <c r="F539" s="10"/>
      <c r="G539" s="116"/>
      <c r="H539" s="163"/>
      <c r="I539" s="158"/>
      <c r="J539" s="163"/>
      <c r="K539" s="10"/>
      <c r="L539" s="10"/>
      <c r="M539" s="10"/>
      <c r="N539" s="10"/>
      <c r="O539" s="12"/>
      <c r="P539" s="116"/>
      <c r="Q539" s="10"/>
    </row>
    <row r="540" spans="1:17" ht="15" thickBot="1">
      <c r="A540" s="10"/>
      <c r="B540" s="10"/>
      <c r="C540" s="10"/>
      <c r="D540" s="10"/>
      <c r="E540" s="10"/>
      <c r="F540" s="10"/>
      <c r="G540" s="116"/>
      <c r="H540" s="163"/>
      <c r="I540" s="166"/>
      <c r="J540" s="163"/>
      <c r="K540" s="10"/>
      <c r="L540" s="10"/>
      <c r="M540" s="10"/>
      <c r="N540" s="10"/>
      <c r="O540" s="12"/>
      <c r="P540" s="116"/>
      <c r="Q540" s="10"/>
    </row>
    <row r="541" spans="1:17" ht="15" thickBot="1">
      <c r="A541" s="10"/>
      <c r="B541" s="10"/>
      <c r="C541" s="10"/>
      <c r="D541" s="10"/>
      <c r="E541" s="10"/>
      <c r="F541" s="10"/>
      <c r="G541" s="116"/>
      <c r="H541" s="163"/>
      <c r="I541" s="166"/>
      <c r="J541" s="163"/>
      <c r="K541" s="10"/>
      <c r="L541" s="10"/>
      <c r="M541" s="10"/>
      <c r="N541" s="10"/>
      <c r="O541" s="12"/>
      <c r="P541" s="116"/>
      <c r="Q541" s="10"/>
    </row>
    <row r="542" spans="1:17" ht="15" thickBot="1">
      <c r="A542" s="10"/>
      <c r="B542" s="10"/>
      <c r="C542" s="10"/>
      <c r="D542" s="10"/>
      <c r="E542" s="10"/>
      <c r="F542" s="10"/>
      <c r="G542" s="116"/>
      <c r="H542" s="163"/>
      <c r="I542" s="166"/>
      <c r="J542" s="163"/>
      <c r="K542" s="10"/>
      <c r="L542" s="10"/>
      <c r="M542" s="10"/>
      <c r="N542" s="10"/>
      <c r="O542" s="12"/>
      <c r="P542" s="116"/>
      <c r="Q542" s="10"/>
    </row>
    <row r="543" spans="1:17" ht="15" thickBot="1">
      <c r="A543" s="10"/>
      <c r="B543" s="10"/>
      <c r="C543" s="10"/>
      <c r="D543" s="10"/>
      <c r="E543" s="10"/>
      <c r="F543" s="10"/>
      <c r="G543" s="116"/>
      <c r="H543" s="163"/>
      <c r="I543" s="166"/>
      <c r="J543" s="163"/>
      <c r="K543" s="10"/>
      <c r="L543" s="10"/>
      <c r="M543" s="10"/>
      <c r="N543" s="10"/>
      <c r="O543" s="12"/>
      <c r="P543" s="116"/>
      <c r="Q543" s="10"/>
    </row>
    <row r="544" spans="1:17" ht="15" thickBot="1">
      <c r="A544" s="10"/>
      <c r="B544" s="10"/>
      <c r="C544" s="10"/>
      <c r="D544" s="10"/>
      <c r="E544" s="10"/>
      <c r="F544" s="10"/>
      <c r="G544" s="116"/>
      <c r="H544" s="163"/>
      <c r="I544" s="166"/>
      <c r="J544" s="163"/>
      <c r="K544" s="10"/>
      <c r="L544" s="10"/>
      <c r="M544" s="10"/>
      <c r="N544" s="10"/>
      <c r="O544" s="12"/>
      <c r="P544" s="116"/>
      <c r="Q544" s="10"/>
    </row>
    <row r="545" spans="1:17" ht="15" thickBot="1">
      <c r="A545" s="10"/>
      <c r="B545" s="10"/>
      <c r="C545" s="10"/>
      <c r="D545" s="10"/>
      <c r="E545" s="10"/>
      <c r="F545" s="10"/>
      <c r="G545" s="116"/>
      <c r="H545" s="163"/>
      <c r="I545" s="166"/>
      <c r="J545" s="163"/>
      <c r="K545" s="10"/>
      <c r="L545" s="10"/>
      <c r="M545" s="10"/>
      <c r="N545" s="10"/>
      <c r="O545" s="12"/>
      <c r="P545" s="116"/>
      <c r="Q545" s="10"/>
    </row>
    <row r="546" spans="1:17" ht="15" thickBot="1">
      <c r="A546" s="10"/>
      <c r="B546" s="10"/>
      <c r="C546" s="10"/>
      <c r="D546" s="10"/>
      <c r="E546" s="10"/>
      <c r="F546" s="10"/>
      <c r="G546" s="116"/>
      <c r="H546" s="163"/>
      <c r="I546" s="166"/>
      <c r="J546" s="163"/>
      <c r="K546" s="10"/>
      <c r="L546" s="10"/>
      <c r="M546" s="10"/>
      <c r="N546" s="10"/>
      <c r="O546" s="12"/>
      <c r="P546" s="116"/>
      <c r="Q546" s="10"/>
    </row>
    <row r="547" spans="1:17" ht="15" thickBot="1">
      <c r="A547" s="10"/>
      <c r="B547" s="10"/>
      <c r="C547" s="10"/>
      <c r="D547" s="10"/>
      <c r="E547" s="10"/>
      <c r="F547" s="10"/>
      <c r="G547" s="116"/>
      <c r="H547" s="163"/>
      <c r="I547" s="166"/>
      <c r="J547" s="163"/>
      <c r="K547" s="10"/>
      <c r="L547" s="10"/>
      <c r="M547" s="10"/>
      <c r="N547" s="10"/>
      <c r="O547" s="12"/>
      <c r="P547" s="116"/>
      <c r="Q547" s="10"/>
    </row>
    <row r="548" spans="1:17" ht="15" thickBot="1">
      <c r="A548" s="10"/>
      <c r="B548" s="10"/>
      <c r="C548" s="10"/>
      <c r="D548" s="10"/>
      <c r="E548" s="10"/>
      <c r="F548" s="10"/>
      <c r="G548" s="116"/>
      <c r="H548" s="163"/>
      <c r="I548" s="166"/>
      <c r="J548" s="163"/>
      <c r="K548" s="10"/>
      <c r="L548" s="10"/>
      <c r="M548" s="10"/>
      <c r="N548" s="10"/>
      <c r="O548" s="12"/>
      <c r="P548" s="116"/>
      <c r="Q548" s="10"/>
    </row>
    <row r="549" spans="1:17" ht="29.25" customHeight="1" thickBot="1">
      <c r="A549" s="10"/>
      <c r="B549" s="10"/>
      <c r="C549" s="10"/>
      <c r="D549" s="10"/>
      <c r="E549" s="10"/>
      <c r="F549" s="10"/>
      <c r="G549" s="116"/>
      <c r="H549" s="163"/>
      <c r="I549" s="158"/>
      <c r="J549" s="163"/>
      <c r="K549" s="10"/>
      <c r="L549" s="10"/>
      <c r="M549" s="10"/>
      <c r="N549" s="10"/>
      <c r="O549" s="12"/>
      <c r="P549" s="116"/>
      <c r="Q549" s="10"/>
    </row>
    <row r="550" spans="1:17" ht="29.25" customHeight="1" thickBot="1">
      <c r="A550" s="10"/>
      <c r="B550" s="10"/>
      <c r="C550" s="10"/>
      <c r="D550" s="10"/>
      <c r="E550" s="10"/>
      <c r="F550" s="10"/>
      <c r="G550" s="116"/>
      <c r="H550" s="163"/>
      <c r="I550" s="158"/>
      <c r="J550" s="163"/>
      <c r="K550" s="10"/>
      <c r="L550" s="10"/>
      <c r="M550" s="10"/>
      <c r="N550" s="10"/>
      <c r="O550" s="12"/>
      <c r="P550" s="116"/>
      <c r="Q550" s="10"/>
    </row>
    <row r="551" spans="1:17" ht="15" thickBot="1">
      <c r="A551" s="10"/>
      <c r="B551" s="10"/>
      <c r="C551" s="10"/>
      <c r="D551" s="10"/>
      <c r="E551" s="10"/>
      <c r="F551" s="10"/>
      <c r="G551" s="116"/>
      <c r="H551" s="163"/>
      <c r="I551" s="158"/>
      <c r="J551" s="163"/>
      <c r="K551" s="10"/>
      <c r="L551" s="10"/>
      <c r="M551" s="10"/>
      <c r="N551" s="10"/>
      <c r="O551" s="12"/>
      <c r="P551" s="116"/>
      <c r="Q551" s="10"/>
    </row>
    <row r="552" spans="1:17" ht="15" thickBot="1">
      <c r="A552" s="10"/>
      <c r="B552" s="10"/>
      <c r="C552" s="10"/>
      <c r="D552" s="10"/>
      <c r="E552" s="10"/>
      <c r="F552" s="10"/>
      <c r="G552" s="116"/>
      <c r="H552" s="163"/>
      <c r="I552" s="166"/>
      <c r="J552" s="163"/>
      <c r="K552" s="10"/>
      <c r="L552" s="10"/>
      <c r="M552" s="10"/>
      <c r="N552" s="10"/>
      <c r="O552" s="12"/>
      <c r="P552" s="116"/>
      <c r="Q552" s="10"/>
    </row>
    <row r="553" spans="1:17" ht="15" thickBot="1">
      <c r="A553" s="10"/>
      <c r="B553" s="10"/>
      <c r="C553" s="10"/>
      <c r="D553" s="10"/>
      <c r="E553" s="10"/>
      <c r="F553" s="10"/>
      <c r="G553" s="116"/>
      <c r="H553" s="163"/>
      <c r="I553" s="158"/>
      <c r="J553" s="163"/>
      <c r="K553" s="10"/>
      <c r="L553" s="10"/>
      <c r="M553" s="10"/>
      <c r="N553" s="10"/>
      <c r="O553" s="12"/>
      <c r="P553" s="116"/>
      <c r="Q553" s="10"/>
    </row>
    <row r="554" spans="1:17" ht="29.25" customHeight="1" thickBot="1">
      <c r="A554" s="10"/>
      <c r="B554" s="10"/>
      <c r="C554" s="10"/>
      <c r="D554" s="10"/>
      <c r="E554" s="10"/>
      <c r="F554" s="10"/>
      <c r="G554" s="116"/>
      <c r="H554" s="163"/>
      <c r="I554" s="158"/>
      <c r="J554" s="163"/>
      <c r="K554" s="10"/>
      <c r="L554" s="10"/>
      <c r="M554" s="10"/>
      <c r="N554" s="10"/>
      <c r="O554" s="12"/>
      <c r="P554" s="116"/>
      <c r="Q554" s="10"/>
    </row>
    <row r="555" spans="1:17" ht="15" thickBot="1">
      <c r="A555" s="10"/>
      <c r="B555" s="10"/>
      <c r="C555" s="10"/>
      <c r="D555" s="10"/>
      <c r="E555" s="10"/>
      <c r="F555" s="10"/>
      <c r="G555" s="116"/>
      <c r="H555" s="163"/>
      <c r="I555" s="166"/>
      <c r="J555" s="163"/>
      <c r="K555" s="10"/>
      <c r="L555" s="10"/>
      <c r="M555" s="10"/>
      <c r="N555" s="10"/>
      <c r="O555" s="12"/>
      <c r="P555" s="116"/>
      <c r="Q555" s="10"/>
    </row>
    <row r="556" spans="1:17" ht="15" thickBot="1">
      <c r="A556" s="10"/>
      <c r="B556" s="10"/>
      <c r="C556" s="10"/>
      <c r="D556" s="10"/>
      <c r="E556" s="10"/>
      <c r="F556" s="10"/>
      <c r="G556" s="116"/>
      <c r="H556" s="163"/>
      <c r="I556" s="158"/>
      <c r="J556" s="163"/>
      <c r="K556" s="10"/>
      <c r="L556" s="10"/>
      <c r="M556" s="10"/>
      <c r="N556" s="10"/>
      <c r="O556" s="12"/>
      <c r="P556" s="116"/>
      <c r="Q556" s="10"/>
    </row>
    <row r="557" spans="1:17" ht="15" thickBot="1">
      <c r="A557" s="10"/>
      <c r="B557" s="10"/>
      <c r="C557" s="10"/>
      <c r="D557" s="10"/>
      <c r="E557" s="10"/>
      <c r="F557" s="10"/>
      <c r="G557" s="116"/>
      <c r="H557" s="163"/>
      <c r="I557" s="166"/>
      <c r="J557" s="163"/>
      <c r="K557" s="10"/>
      <c r="L557" s="10"/>
      <c r="M557" s="10"/>
      <c r="N557" s="10"/>
      <c r="O557" s="12"/>
      <c r="P557" s="116"/>
      <c r="Q557" s="10"/>
    </row>
    <row r="558" spans="1:17" ht="15" thickBot="1">
      <c r="A558" s="10"/>
      <c r="B558" s="10"/>
      <c r="C558" s="10"/>
      <c r="D558" s="10"/>
      <c r="E558" s="10"/>
      <c r="F558" s="10"/>
      <c r="G558" s="116"/>
      <c r="H558" s="163"/>
      <c r="I558" s="166"/>
      <c r="J558" s="163"/>
      <c r="K558" s="10"/>
      <c r="L558" s="10"/>
      <c r="M558" s="10"/>
      <c r="N558" s="10"/>
      <c r="O558" s="12"/>
      <c r="P558" s="116"/>
      <c r="Q558" s="10"/>
    </row>
    <row r="559" spans="1:17" ht="15" thickBot="1">
      <c r="A559" s="10"/>
      <c r="B559" s="10"/>
      <c r="C559" s="10"/>
      <c r="D559" s="10"/>
      <c r="E559" s="10"/>
      <c r="F559" s="10"/>
      <c r="G559" s="116"/>
      <c r="H559" s="163"/>
      <c r="I559" s="166"/>
      <c r="J559" s="163"/>
      <c r="K559" s="10"/>
      <c r="L559" s="10"/>
      <c r="M559" s="10"/>
      <c r="N559" s="10"/>
      <c r="O559" s="12"/>
      <c r="P559" s="116"/>
      <c r="Q559" s="10"/>
    </row>
    <row r="560" spans="1:17" ht="15" thickBot="1">
      <c r="A560" s="10"/>
      <c r="B560" s="10"/>
      <c r="C560" s="10"/>
      <c r="D560" s="10"/>
      <c r="E560" s="10"/>
      <c r="F560" s="10"/>
      <c r="G560" s="116"/>
      <c r="H560" s="163"/>
      <c r="I560" s="166"/>
      <c r="J560" s="163"/>
      <c r="K560" s="10"/>
      <c r="L560" s="10"/>
      <c r="M560" s="10"/>
      <c r="N560" s="10"/>
      <c r="O560" s="12"/>
      <c r="P560" s="116"/>
      <c r="Q560" s="10"/>
    </row>
    <row r="561" spans="1:17" ht="15" thickBot="1">
      <c r="A561" s="10"/>
      <c r="B561" s="10"/>
      <c r="C561" s="10"/>
      <c r="D561" s="10"/>
      <c r="E561" s="10"/>
      <c r="F561" s="10"/>
      <c r="G561" s="116"/>
      <c r="H561" s="163"/>
      <c r="I561" s="158"/>
      <c r="J561" s="163"/>
      <c r="K561" s="10"/>
      <c r="L561" s="10"/>
      <c r="M561" s="10"/>
      <c r="N561" s="10"/>
      <c r="O561" s="12"/>
      <c r="P561" s="116"/>
      <c r="Q561" s="10"/>
    </row>
    <row r="562" spans="1:17" ht="15" thickBot="1">
      <c r="A562" s="10"/>
      <c r="B562" s="10"/>
      <c r="C562" s="10"/>
      <c r="D562" s="10"/>
      <c r="E562" s="10"/>
      <c r="F562" s="10"/>
      <c r="G562" s="116"/>
      <c r="H562" s="163"/>
      <c r="I562" s="158"/>
      <c r="J562" s="163"/>
      <c r="K562" s="10"/>
      <c r="L562" s="10"/>
      <c r="M562" s="10"/>
      <c r="N562" s="10"/>
      <c r="O562" s="12"/>
      <c r="P562" s="116"/>
      <c r="Q562" s="10"/>
    </row>
    <row r="563" spans="1:17" ht="15" thickBot="1">
      <c r="A563" s="10"/>
      <c r="B563" s="10"/>
      <c r="C563" s="10"/>
      <c r="D563" s="10"/>
      <c r="E563" s="10"/>
      <c r="F563" s="10"/>
      <c r="G563" s="116"/>
      <c r="H563" s="163"/>
      <c r="I563" s="158"/>
      <c r="J563" s="163"/>
      <c r="K563" s="10"/>
      <c r="L563" s="10"/>
      <c r="M563" s="10"/>
      <c r="N563" s="10"/>
      <c r="O563" s="12"/>
      <c r="P563" s="116"/>
      <c r="Q563" s="10"/>
    </row>
    <row r="564" spans="1:17" ht="15" thickBot="1">
      <c r="A564" s="10"/>
      <c r="B564" s="10"/>
      <c r="C564" s="10"/>
      <c r="D564" s="10"/>
      <c r="E564" s="10"/>
      <c r="F564" s="10"/>
      <c r="G564" s="116"/>
      <c r="H564" s="163"/>
      <c r="I564" s="158"/>
      <c r="J564" s="163"/>
      <c r="K564" s="10"/>
      <c r="L564" s="10"/>
      <c r="M564" s="10"/>
      <c r="N564" s="10"/>
      <c r="O564" s="12"/>
      <c r="P564" s="116"/>
      <c r="Q564" s="10"/>
    </row>
    <row r="565" spans="1:17" ht="15" thickBot="1">
      <c r="A565" s="10"/>
      <c r="B565" s="10"/>
      <c r="C565" s="10"/>
      <c r="D565" s="10"/>
      <c r="E565" s="10"/>
      <c r="F565" s="10"/>
      <c r="G565" s="116"/>
      <c r="H565" s="163"/>
      <c r="I565" s="158"/>
      <c r="J565" s="163"/>
      <c r="K565" s="10"/>
      <c r="L565" s="10"/>
      <c r="M565" s="10"/>
      <c r="N565" s="10"/>
      <c r="O565" s="12"/>
      <c r="P565" s="116"/>
      <c r="Q565" s="10"/>
    </row>
    <row r="566" spans="1:17" ht="29.25" customHeight="1" thickBot="1">
      <c r="A566" s="10"/>
      <c r="B566" s="10"/>
      <c r="C566" s="10"/>
      <c r="D566" s="10"/>
      <c r="E566" s="10"/>
      <c r="F566" s="10"/>
      <c r="G566" s="116"/>
      <c r="H566" s="163"/>
      <c r="I566" s="166"/>
      <c r="J566" s="163"/>
      <c r="K566" s="10"/>
      <c r="L566" s="10"/>
      <c r="M566" s="10"/>
      <c r="N566" s="10"/>
      <c r="O566" s="12"/>
      <c r="P566" s="116"/>
      <c r="Q566" s="10"/>
    </row>
    <row r="567" spans="1:17" ht="29.25" customHeight="1" thickBot="1">
      <c r="A567" s="10"/>
      <c r="B567" s="10"/>
      <c r="C567" s="10"/>
      <c r="D567" s="10"/>
      <c r="E567" s="10"/>
      <c r="F567" s="10"/>
      <c r="G567" s="116"/>
      <c r="H567" s="163"/>
      <c r="I567" s="166"/>
      <c r="J567" s="163"/>
      <c r="K567" s="10"/>
      <c r="L567" s="10"/>
      <c r="M567" s="10"/>
      <c r="N567" s="10"/>
      <c r="O567" s="12"/>
      <c r="P567" s="116"/>
      <c r="Q567" s="10"/>
    </row>
    <row r="568" spans="1:17" ht="15" thickBot="1">
      <c r="A568" s="10"/>
      <c r="B568" s="10"/>
      <c r="C568" s="10"/>
      <c r="D568" s="10"/>
      <c r="E568" s="10"/>
      <c r="F568" s="10"/>
      <c r="G568" s="116"/>
      <c r="H568" s="163"/>
      <c r="I568" s="158"/>
      <c r="J568" s="163"/>
      <c r="K568" s="10"/>
      <c r="L568" s="10"/>
      <c r="M568" s="10"/>
      <c r="N568" s="10"/>
      <c r="O568" s="12"/>
      <c r="P568" s="116"/>
      <c r="Q568" s="10"/>
    </row>
    <row r="569" spans="1:17" ht="15" thickBot="1">
      <c r="A569" s="10"/>
      <c r="B569" s="10"/>
      <c r="C569" s="10"/>
      <c r="D569" s="10"/>
      <c r="E569" s="10"/>
      <c r="F569" s="10"/>
      <c r="G569" s="116"/>
      <c r="H569" s="163"/>
      <c r="I569" s="158"/>
      <c r="J569" s="163"/>
      <c r="K569" s="10"/>
      <c r="L569" s="10"/>
      <c r="M569" s="10"/>
      <c r="N569" s="10"/>
      <c r="O569" s="12"/>
      <c r="P569" s="116"/>
      <c r="Q569" s="10"/>
    </row>
    <row r="570" spans="1:17" ht="15" thickBot="1">
      <c r="A570" s="10"/>
      <c r="B570" s="10"/>
      <c r="C570" s="10"/>
      <c r="D570" s="10"/>
      <c r="E570" s="10"/>
      <c r="F570" s="10"/>
      <c r="G570" s="116"/>
      <c r="H570" s="163"/>
      <c r="I570" s="158"/>
      <c r="J570" s="163"/>
      <c r="K570" s="10"/>
      <c r="L570" s="10"/>
      <c r="M570" s="10"/>
      <c r="N570" s="10"/>
      <c r="O570" s="12"/>
      <c r="P570" s="116"/>
      <c r="Q570" s="10"/>
    </row>
    <row r="571" spans="1:17" ht="15" thickBot="1">
      <c r="A571" s="10"/>
      <c r="B571" s="10"/>
      <c r="C571" s="10"/>
      <c r="D571" s="10"/>
      <c r="E571" s="10"/>
      <c r="F571" s="10"/>
      <c r="G571" s="116"/>
      <c r="H571" s="163"/>
      <c r="I571" s="166"/>
      <c r="J571" s="163"/>
      <c r="K571" s="10"/>
      <c r="L571" s="10"/>
      <c r="M571" s="10"/>
      <c r="N571" s="10"/>
      <c r="O571" s="12"/>
      <c r="P571" s="116"/>
      <c r="Q571" s="10"/>
    </row>
    <row r="572" spans="1:17" ht="15" thickBot="1">
      <c r="A572" s="10"/>
      <c r="B572" s="10"/>
      <c r="C572" s="10"/>
      <c r="D572" s="10"/>
      <c r="E572" s="10"/>
      <c r="F572" s="10"/>
      <c r="G572" s="116"/>
      <c r="H572" s="163"/>
      <c r="I572" s="158"/>
      <c r="J572" s="163"/>
      <c r="K572" s="10"/>
      <c r="L572" s="10"/>
      <c r="M572" s="10"/>
      <c r="N572" s="10"/>
      <c r="O572" s="12"/>
      <c r="P572" s="116"/>
      <c r="Q572" s="10"/>
    </row>
    <row r="573" spans="1:17" ht="15" thickBot="1">
      <c r="A573" s="10"/>
      <c r="B573" s="10"/>
      <c r="C573" s="10"/>
      <c r="D573" s="10"/>
      <c r="E573" s="10"/>
      <c r="F573" s="10"/>
      <c r="G573" s="116"/>
      <c r="H573" s="163"/>
      <c r="I573" s="158"/>
      <c r="J573" s="163"/>
      <c r="K573" s="10"/>
      <c r="L573" s="10"/>
      <c r="M573" s="10"/>
      <c r="N573" s="10"/>
      <c r="O573" s="12"/>
      <c r="P573" s="116"/>
      <c r="Q573" s="10"/>
    </row>
    <row r="574" spans="1:17" ht="15" thickBot="1">
      <c r="A574" s="10"/>
      <c r="B574" s="10"/>
      <c r="C574" s="10"/>
      <c r="D574" s="10"/>
      <c r="E574" s="10"/>
      <c r="F574" s="10"/>
      <c r="G574" s="116"/>
      <c r="H574" s="163"/>
      <c r="I574" s="158"/>
      <c r="J574" s="163"/>
      <c r="K574" s="10"/>
      <c r="L574" s="10"/>
      <c r="M574" s="10"/>
      <c r="N574" s="10"/>
      <c r="O574" s="12"/>
      <c r="P574" s="116"/>
      <c r="Q574" s="10"/>
    </row>
    <row r="575" spans="1:17" ht="15" thickBot="1">
      <c r="A575" s="10"/>
      <c r="B575" s="10"/>
      <c r="C575" s="10"/>
      <c r="D575" s="10"/>
      <c r="E575" s="10"/>
      <c r="F575" s="10"/>
      <c r="G575" s="116"/>
      <c r="H575" s="163"/>
      <c r="I575" s="166"/>
      <c r="J575" s="163"/>
      <c r="K575" s="10"/>
      <c r="L575" s="10"/>
      <c r="M575" s="10"/>
      <c r="N575" s="10"/>
      <c r="O575" s="12"/>
      <c r="P575" s="116"/>
      <c r="Q575" s="10"/>
    </row>
    <row r="576" spans="1:17" ht="15" thickBot="1">
      <c r="A576" s="10"/>
      <c r="B576" s="10"/>
      <c r="C576" s="10"/>
      <c r="D576" s="10"/>
      <c r="E576" s="10"/>
      <c r="F576" s="10"/>
      <c r="G576" s="116"/>
      <c r="H576" s="163"/>
      <c r="I576" s="158"/>
      <c r="J576" s="163"/>
      <c r="K576" s="10"/>
      <c r="L576" s="10"/>
      <c r="M576" s="10"/>
      <c r="N576" s="10"/>
      <c r="O576" s="12"/>
      <c r="P576" s="116"/>
      <c r="Q576" s="10"/>
    </row>
    <row r="577" spans="1:17" ht="15" thickBot="1">
      <c r="A577" s="10"/>
      <c r="B577" s="10"/>
      <c r="C577" s="10"/>
      <c r="D577" s="10"/>
      <c r="E577" s="10"/>
      <c r="F577" s="10"/>
      <c r="G577" s="116"/>
      <c r="H577" s="163"/>
      <c r="I577" s="158"/>
      <c r="J577" s="163"/>
      <c r="K577" s="10"/>
      <c r="L577" s="10"/>
      <c r="M577" s="10"/>
      <c r="N577" s="10"/>
      <c r="O577" s="12"/>
      <c r="P577" s="116"/>
      <c r="Q577" s="10"/>
    </row>
    <row r="578" spans="1:17" ht="15" thickBot="1">
      <c r="A578" s="10"/>
      <c r="B578" s="10"/>
      <c r="C578" s="10"/>
      <c r="D578" s="10"/>
      <c r="E578" s="10"/>
      <c r="F578" s="10"/>
      <c r="G578" s="116"/>
      <c r="H578" s="163"/>
      <c r="I578" s="158"/>
      <c r="J578" s="163"/>
      <c r="K578" s="10"/>
      <c r="L578" s="10"/>
      <c r="M578" s="10"/>
      <c r="N578" s="10"/>
      <c r="O578" s="12"/>
      <c r="P578" s="116"/>
      <c r="Q578" s="10"/>
    </row>
    <row r="579" spans="1:17" ht="29.25" customHeight="1" thickBot="1">
      <c r="A579" s="10"/>
      <c r="B579" s="10"/>
      <c r="C579" s="10"/>
      <c r="D579" s="10"/>
      <c r="E579" s="10"/>
      <c r="F579" s="10"/>
      <c r="G579" s="116"/>
      <c r="H579" s="163"/>
      <c r="I579" s="166"/>
      <c r="J579" s="163"/>
      <c r="K579" s="10"/>
      <c r="L579" s="10"/>
      <c r="M579" s="10"/>
      <c r="N579" s="10"/>
      <c r="O579" s="12"/>
      <c r="P579" s="116"/>
      <c r="Q579" s="10"/>
    </row>
    <row r="580" spans="1:17" ht="29.25" customHeight="1" thickBot="1">
      <c r="A580" s="10"/>
      <c r="B580" s="10"/>
      <c r="C580" s="10"/>
      <c r="D580" s="10"/>
      <c r="E580" s="10"/>
      <c r="F580" s="10"/>
      <c r="G580" s="116"/>
      <c r="H580" s="163"/>
      <c r="I580" s="158"/>
      <c r="J580" s="163"/>
      <c r="K580" s="10"/>
      <c r="L580" s="10"/>
      <c r="M580" s="10"/>
      <c r="N580" s="10"/>
      <c r="O580" s="12"/>
      <c r="P580" s="116"/>
      <c r="Q580" s="10"/>
    </row>
    <row r="581" spans="1:17" ht="29.25" customHeight="1" thickBot="1">
      <c r="A581" s="10"/>
      <c r="B581" s="10"/>
      <c r="C581" s="10"/>
      <c r="D581" s="10"/>
      <c r="E581" s="10"/>
      <c r="F581" s="10"/>
      <c r="G581" s="116"/>
      <c r="H581" s="163"/>
      <c r="I581" s="166"/>
      <c r="J581" s="163"/>
      <c r="K581" s="10"/>
      <c r="L581" s="10"/>
      <c r="M581" s="10"/>
      <c r="N581" s="10"/>
      <c r="O581" s="12"/>
      <c r="P581" s="116"/>
      <c r="Q581" s="10"/>
    </row>
    <row r="582" spans="1:17" ht="29.25" customHeight="1" thickBot="1">
      <c r="A582" s="10"/>
      <c r="B582" s="10"/>
      <c r="C582" s="10"/>
      <c r="D582" s="10"/>
      <c r="E582" s="10"/>
      <c r="F582" s="10"/>
      <c r="G582" s="116"/>
      <c r="H582" s="163"/>
      <c r="I582" s="158"/>
      <c r="J582" s="163"/>
      <c r="K582" s="10"/>
      <c r="L582" s="10"/>
      <c r="M582" s="10"/>
      <c r="N582" s="10"/>
      <c r="O582" s="12"/>
      <c r="P582" s="116"/>
      <c r="Q582" s="10"/>
    </row>
    <row r="583" spans="1:17" ht="29.25" customHeight="1" thickBot="1">
      <c r="A583" s="10"/>
      <c r="B583" s="10"/>
      <c r="C583" s="10"/>
      <c r="D583" s="10"/>
      <c r="E583" s="10"/>
      <c r="F583" s="10"/>
      <c r="G583" s="116"/>
      <c r="H583" s="163"/>
      <c r="I583" s="158"/>
      <c r="J583" s="163"/>
      <c r="K583" s="10"/>
      <c r="L583" s="10"/>
      <c r="M583" s="10"/>
      <c r="N583" s="10"/>
      <c r="O583" s="12"/>
      <c r="P583" s="116"/>
      <c r="Q583" s="10"/>
    </row>
    <row r="584" spans="1:17" ht="29.25" customHeight="1" thickBot="1">
      <c r="A584" s="10"/>
      <c r="B584" s="10"/>
      <c r="C584" s="10"/>
      <c r="D584" s="10"/>
      <c r="E584" s="10"/>
      <c r="F584" s="10"/>
      <c r="G584" s="116"/>
      <c r="H584" s="163"/>
      <c r="I584" s="158"/>
      <c r="J584" s="163"/>
      <c r="K584" s="10"/>
      <c r="L584" s="10"/>
      <c r="M584" s="10"/>
      <c r="N584" s="10"/>
      <c r="O584" s="12"/>
      <c r="P584" s="116"/>
      <c r="Q584" s="10"/>
    </row>
  </sheetData>
  <autoFilter ref="A2:W504" xr:uid="{0CED9A86-E3E0-49D0-AED1-69E52125D911}"/>
  <sortState xmlns:xlrd2="http://schemas.microsoft.com/office/spreadsheetml/2017/richdata2" ref="A3:V584">
    <sortCondition ref="H1:H584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FCD0-DB65-4C20-8150-1FC8B44B6451}">
  <sheetPr codeName="Sheet2"/>
  <dimension ref="A1:V590"/>
  <sheetViews>
    <sheetView topLeftCell="A500" zoomScale="96" zoomScaleNormal="96" workbookViewId="0">
      <selection activeCell="A506" sqref="A506:XFD521"/>
    </sheetView>
  </sheetViews>
  <sheetFormatPr baseColWidth="10" defaultColWidth="9" defaultRowHeight="12.75" customHeight="1" outlineLevelCol="1"/>
  <cols>
    <col min="1" max="1" width="27.83203125" style="4" customWidth="1"/>
    <col min="2" max="2" width="23.83203125" style="4" customWidth="1"/>
    <col min="3" max="3" width="21.1640625" style="4" customWidth="1"/>
    <col min="4" max="4" width="15" style="4" customWidth="1"/>
    <col min="5" max="5" width="51.83203125" style="4" customWidth="1"/>
    <col min="6" max="6" width="36.5" style="4" customWidth="1"/>
    <col min="7" max="7" width="12" style="22" customWidth="1"/>
    <col min="8" max="8" width="28.6640625" style="161" customWidth="1"/>
    <col min="9" max="9" width="129" style="169" customWidth="1"/>
    <col min="10" max="10" width="15.1640625" style="161" customWidth="1"/>
    <col min="11" max="13" width="29.5" style="4" customWidth="1"/>
    <col min="14" max="14" width="22.5" style="4" customWidth="1"/>
    <col min="15" max="15" width="19" style="23" customWidth="1"/>
    <col min="16" max="16" width="16.1640625" style="22" customWidth="1"/>
    <col min="17" max="17" width="13.83203125" style="4" customWidth="1"/>
    <col min="18" max="18" width="25" style="4" customWidth="1" outlineLevel="1"/>
    <col min="19" max="19" width="18" style="4" customWidth="1" outlineLevel="1"/>
    <col min="20" max="20" width="12.5" style="4" customWidth="1" outlineLevel="1"/>
    <col min="21" max="21" width="15.5" style="4" customWidth="1" outlineLevel="1"/>
    <col min="22" max="22" width="129.5" style="4" bestFit="1" customWidth="1" outlineLevel="1"/>
    <col min="23" max="16384" width="9" style="4"/>
  </cols>
  <sheetData>
    <row r="1" spans="1:22" ht="16" thickBot="1">
      <c r="A1" s="1"/>
      <c r="B1" s="1"/>
      <c r="C1" s="1"/>
      <c r="D1" s="1"/>
      <c r="E1" s="1"/>
      <c r="F1" s="1"/>
      <c r="G1" s="1"/>
      <c r="H1" s="156"/>
      <c r="I1" s="168"/>
      <c r="J1" s="156"/>
      <c r="K1" s="1"/>
      <c r="L1" s="1"/>
      <c r="M1" s="1"/>
      <c r="N1" s="1"/>
      <c r="O1" s="2"/>
      <c r="P1" s="3"/>
      <c r="Q1" s="1"/>
    </row>
    <row r="2" spans="1:22" s="9" customFormat="1" ht="32" thickTop="1" thickBo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162" t="s">
        <v>7</v>
      </c>
      <c r="I2" s="157" t="s">
        <v>8</v>
      </c>
      <c r="J2" s="162" t="s">
        <v>9</v>
      </c>
      <c r="K2" s="5" t="s">
        <v>10</v>
      </c>
      <c r="L2" s="7" t="s">
        <v>11</v>
      </c>
      <c r="M2" s="7" t="s">
        <v>12</v>
      </c>
      <c r="N2" s="5" t="s">
        <v>13</v>
      </c>
      <c r="O2" s="8" t="s">
        <v>14</v>
      </c>
      <c r="P2" s="6" t="s">
        <v>15</v>
      </c>
      <c r="Q2" s="5" t="s">
        <v>16</v>
      </c>
      <c r="R2" s="7" t="s">
        <v>17</v>
      </c>
      <c r="S2" s="7" t="s">
        <v>18</v>
      </c>
      <c r="T2" s="7" t="s">
        <v>19</v>
      </c>
      <c r="U2" s="7" t="s">
        <v>20</v>
      </c>
    </row>
    <row r="3" spans="1:22" ht="29.25" customHeight="1" thickBot="1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1">
        <v>280</v>
      </c>
      <c r="H3" s="163" t="s">
        <v>27</v>
      </c>
      <c r="I3" s="158" t="s">
        <v>28</v>
      </c>
      <c r="J3" s="163" t="s">
        <v>29</v>
      </c>
      <c r="K3" s="10" t="s">
        <v>30</v>
      </c>
      <c r="L3" s="10">
        <v>0</v>
      </c>
      <c r="M3" s="10">
        <f t="shared" ref="M3:M66" si="0">ROUND(IF(K3="Authorized User",L3/3,L3),2)</f>
        <v>0</v>
      </c>
      <c r="N3" s="10">
        <v>5</v>
      </c>
      <c r="O3" s="12">
        <f>N3/3</f>
        <v>1.6666666666666667</v>
      </c>
      <c r="P3" s="11">
        <v>1400</v>
      </c>
      <c r="Q3" s="10" t="s">
        <v>31</v>
      </c>
      <c r="R3" s="4" t="s">
        <v>42</v>
      </c>
      <c r="S3" s="4" t="s">
        <v>42</v>
      </c>
      <c r="T3" s="4" t="s">
        <v>19</v>
      </c>
      <c r="U3" s="4" t="str">
        <f t="shared" ref="U3:U66" si="1">IF(ISNUMBER(SEARCH("ADD-ON",$I3)),"ADD-ON","NOT AN ADD-ON")</f>
        <v>ADD-ON</v>
      </c>
      <c r="V3" s="4" t="str">
        <f t="shared" ref="V3:V66" si="2">CONCATENATE(R3,S3,T3,U3)</f>
        <v>ANYWHEREANYWHEREAUTHORIZEDADD-ON</v>
      </c>
    </row>
    <row r="4" spans="1:22" ht="29.25" customHeight="1" thickBot="1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1">
        <v>1400</v>
      </c>
      <c r="H4" s="163" t="s">
        <v>29</v>
      </c>
      <c r="I4" s="158" t="s">
        <v>32</v>
      </c>
      <c r="J4" s="163" t="s">
        <v>29</v>
      </c>
      <c r="K4" s="10" t="s">
        <v>30</v>
      </c>
      <c r="L4" s="10">
        <v>0</v>
      </c>
      <c r="M4" s="10">
        <f t="shared" si="0"/>
        <v>0</v>
      </c>
      <c r="N4" s="10">
        <v>5</v>
      </c>
      <c r="O4" s="12">
        <f>N4/3</f>
        <v>1.6666666666666667</v>
      </c>
      <c r="P4" s="11">
        <v>1400</v>
      </c>
      <c r="Q4" s="10" t="s">
        <v>33</v>
      </c>
      <c r="R4" s="4" t="s">
        <v>42</v>
      </c>
      <c r="S4" s="4" t="s">
        <v>42</v>
      </c>
      <c r="T4" s="4" t="s">
        <v>19</v>
      </c>
      <c r="U4" s="4" t="str">
        <f t="shared" si="1"/>
        <v>ADD-ON</v>
      </c>
      <c r="V4" s="4" t="str">
        <f t="shared" si="2"/>
        <v>ANYWHEREANYWHEREAUTHORIZEDADD-ON</v>
      </c>
    </row>
    <row r="5" spans="1:22" ht="29.25" customHeight="1" thickBot="1">
      <c r="A5" s="10" t="s">
        <v>21</v>
      </c>
      <c r="B5" s="10" t="s">
        <v>22</v>
      </c>
      <c r="C5" s="10" t="s">
        <v>23</v>
      </c>
      <c r="D5" s="10" t="s">
        <v>24</v>
      </c>
      <c r="E5" s="10" t="s">
        <v>25</v>
      </c>
      <c r="F5" s="10" t="s">
        <v>26</v>
      </c>
      <c r="G5" s="11">
        <v>839</v>
      </c>
      <c r="H5" s="163" t="s">
        <v>34</v>
      </c>
      <c r="I5" s="158" t="s">
        <v>35</v>
      </c>
      <c r="J5" s="163" t="s">
        <v>29</v>
      </c>
      <c r="K5" s="10" t="s">
        <v>30</v>
      </c>
      <c r="L5" s="10">
        <v>0</v>
      </c>
      <c r="M5" s="10">
        <f t="shared" si="0"/>
        <v>0</v>
      </c>
      <c r="N5" s="10">
        <v>5</v>
      </c>
      <c r="O5" s="12">
        <f>N5/3</f>
        <v>1.6666666666666667</v>
      </c>
      <c r="P5" s="11">
        <v>1400</v>
      </c>
      <c r="Q5" s="10" t="s">
        <v>36</v>
      </c>
      <c r="R5" s="4" t="s">
        <v>42</v>
      </c>
      <c r="S5" s="4" t="s">
        <v>42</v>
      </c>
      <c r="T5" s="4" t="s">
        <v>19</v>
      </c>
      <c r="U5" s="4" t="str">
        <f t="shared" si="1"/>
        <v>ADD-ON</v>
      </c>
      <c r="V5" s="4" t="str">
        <f t="shared" si="2"/>
        <v>ANYWHEREANYWHEREAUTHORIZEDADD-ON</v>
      </c>
    </row>
    <row r="6" spans="1:22" ht="29.25" customHeight="1" thickBot="1">
      <c r="A6" s="10" t="s">
        <v>21</v>
      </c>
      <c r="B6" s="10" t="s">
        <v>22</v>
      </c>
      <c r="C6" s="10" t="s">
        <v>23</v>
      </c>
      <c r="D6" s="10" t="s">
        <v>24</v>
      </c>
      <c r="E6" s="10" t="s">
        <v>25</v>
      </c>
      <c r="F6" s="10" t="s">
        <v>26</v>
      </c>
      <c r="G6" s="11">
        <v>852</v>
      </c>
      <c r="H6" s="163" t="s">
        <v>37</v>
      </c>
      <c r="I6" s="158" t="s">
        <v>38</v>
      </c>
      <c r="J6" s="163" t="s">
        <v>39</v>
      </c>
      <c r="K6" s="10" t="s">
        <v>40</v>
      </c>
      <c r="L6" s="10">
        <v>0</v>
      </c>
      <c r="M6" s="10">
        <f t="shared" si="0"/>
        <v>0</v>
      </c>
      <c r="N6" s="10">
        <v>5</v>
      </c>
      <c r="O6" s="12">
        <v>1</v>
      </c>
      <c r="P6" s="11">
        <v>4260</v>
      </c>
      <c r="Q6" s="10" t="s">
        <v>31</v>
      </c>
      <c r="R6" s="4" t="s">
        <v>42</v>
      </c>
      <c r="S6" s="4" t="s">
        <v>42</v>
      </c>
      <c r="T6" s="4" t="s">
        <v>19</v>
      </c>
      <c r="U6" s="4" t="str">
        <f t="shared" si="1"/>
        <v>ADD-ON</v>
      </c>
      <c r="V6" s="4" t="str">
        <f t="shared" si="2"/>
        <v>ANYWHEREANYWHEREAUTHORIZEDADD-ON</v>
      </c>
    </row>
    <row r="7" spans="1:22" ht="29.25" customHeight="1" thickBot="1">
      <c r="A7" s="10" t="s">
        <v>21</v>
      </c>
      <c r="B7" s="10" t="s">
        <v>22</v>
      </c>
      <c r="C7" s="10" t="s">
        <v>23</v>
      </c>
      <c r="D7" s="10" t="s">
        <v>24</v>
      </c>
      <c r="E7" s="10" t="s">
        <v>25</v>
      </c>
      <c r="F7" s="10" t="s">
        <v>26</v>
      </c>
      <c r="G7" s="11">
        <v>4260</v>
      </c>
      <c r="H7" s="163" t="s">
        <v>39</v>
      </c>
      <c r="I7" s="158" t="s">
        <v>41</v>
      </c>
      <c r="J7" s="163" t="s">
        <v>39</v>
      </c>
      <c r="K7" s="10" t="s">
        <v>40</v>
      </c>
      <c r="L7" s="10">
        <v>0</v>
      </c>
      <c r="M7" s="10">
        <f t="shared" si="0"/>
        <v>0</v>
      </c>
      <c r="N7" s="10">
        <v>5</v>
      </c>
      <c r="O7" s="12">
        <v>1</v>
      </c>
      <c r="P7" s="11">
        <v>4260</v>
      </c>
      <c r="Q7" s="10" t="s">
        <v>33</v>
      </c>
      <c r="R7" s="4" t="s">
        <v>42</v>
      </c>
      <c r="S7" s="4" t="s">
        <v>42</v>
      </c>
      <c r="T7" s="4" t="s">
        <v>19</v>
      </c>
      <c r="U7" s="4" t="str">
        <f t="shared" si="1"/>
        <v>ADD-ON</v>
      </c>
      <c r="V7" s="4" t="str">
        <f t="shared" si="2"/>
        <v>ANYWHEREANYWHEREAUTHORIZEDADD-ON</v>
      </c>
    </row>
    <row r="8" spans="1:22" ht="15" thickBot="1">
      <c r="A8" s="10" t="s">
        <v>21</v>
      </c>
      <c r="B8" s="10" t="s">
        <v>22</v>
      </c>
      <c r="C8" s="10" t="s">
        <v>23</v>
      </c>
      <c r="D8" s="10" t="s">
        <v>24</v>
      </c>
      <c r="E8" s="10" t="s">
        <v>25</v>
      </c>
      <c r="F8" s="10" t="s">
        <v>26</v>
      </c>
      <c r="G8" s="11">
        <v>2550</v>
      </c>
      <c r="H8" s="163" t="s">
        <v>43</v>
      </c>
      <c r="I8" s="158" t="s">
        <v>44</v>
      </c>
      <c r="J8" s="163" t="s">
        <v>39</v>
      </c>
      <c r="K8" s="10" t="s">
        <v>40</v>
      </c>
      <c r="L8" s="10">
        <v>0</v>
      </c>
      <c r="M8" s="10">
        <f t="shared" si="0"/>
        <v>0</v>
      </c>
      <c r="N8" s="10">
        <v>5</v>
      </c>
      <c r="O8" s="12">
        <v>1</v>
      </c>
      <c r="P8" s="11">
        <v>4260</v>
      </c>
      <c r="Q8" s="10" t="s">
        <v>36</v>
      </c>
      <c r="R8" s="4" t="s">
        <v>42</v>
      </c>
      <c r="S8" s="4" t="s">
        <v>42</v>
      </c>
      <c r="T8" s="4" t="s">
        <v>19</v>
      </c>
      <c r="U8" s="4" t="str">
        <f t="shared" si="1"/>
        <v>ADD-ON</v>
      </c>
      <c r="V8" s="4" t="str">
        <f t="shared" si="2"/>
        <v>ANYWHEREANYWHEREAUTHORIZEDADD-ON</v>
      </c>
    </row>
    <row r="9" spans="1:22" ht="27" thickBot="1">
      <c r="A9" s="10" t="s">
        <v>21</v>
      </c>
      <c r="B9" s="10" t="s">
        <v>22</v>
      </c>
      <c r="C9" s="10" t="s">
        <v>23</v>
      </c>
      <c r="D9" s="10" t="s">
        <v>24</v>
      </c>
      <c r="E9" s="10" t="s">
        <v>25</v>
      </c>
      <c r="F9" s="10" t="s">
        <v>26</v>
      </c>
      <c r="G9" s="11">
        <v>918</v>
      </c>
      <c r="H9" s="163" t="s">
        <v>45</v>
      </c>
      <c r="I9" s="166" t="s">
        <v>46</v>
      </c>
      <c r="J9" s="163" t="s">
        <v>47</v>
      </c>
      <c r="K9" s="10" t="s">
        <v>40</v>
      </c>
      <c r="L9" s="10">
        <v>0</v>
      </c>
      <c r="M9" s="10">
        <f t="shared" si="0"/>
        <v>0</v>
      </c>
      <c r="N9" s="10">
        <v>5</v>
      </c>
      <c r="O9" s="12">
        <v>1</v>
      </c>
      <c r="P9" s="11">
        <v>4260</v>
      </c>
      <c r="Q9" s="10" t="s">
        <v>48</v>
      </c>
      <c r="R9" s="4" t="s">
        <v>42</v>
      </c>
      <c r="S9" s="4" t="s">
        <v>42</v>
      </c>
      <c r="T9" s="4" t="s">
        <v>19</v>
      </c>
      <c r="U9" s="4" t="str">
        <f t="shared" si="1"/>
        <v>ADD-ON</v>
      </c>
      <c r="V9" s="4" t="str">
        <f t="shared" si="2"/>
        <v>ANYWHEREANYWHEREAUTHORIZEDADD-ON</v>
      </c>
    </row>
    <row r="10" spans="1:22" ht="15" thickBot="1">
      <c r="A10" s="10" t="s">
        <v>21</v>
      </c>
      <c r="B10" s="10" t="s">
        <v>22</v>
      </c>
      <c r="C10" s="10" t="s">
        <v>23</v>
      </c>
      <c r="D10" s="10" t="s">
        <v>24</v>
      </c>
      <c r="E10" s="10" t="s">
        <v>25</v>
      </c>
      <c r="F10" s="10" t="s">
        <v>26</v>
      </c>
      <c r="G10" s="11">
        <v>852</v>
      </c>
      <c r="H10" s="163" t="s">
        <v>49</v>
      </c>
      <c r="I10" s="158" t="s">
        <v>50</v>
      </c>
      <c r="J10" s="163" t="s">
        <v>47</v>
      </c>
      <c r="K10" s="10" t="s">
        <v>40</v>
      </c>
      <c r="L10" s="10">
        <v>0</v>
      </c>
      <c r="M10" s="10">
        <f t="shared" si="0"/>
        <v>0</v>
      </c>
      <c r="N10" s="10">
        <v>5</v>
      </c>
      <c r="O10" s="12">
        <v>1</v>
      </c>
      <c r="P10" s="11">
        <v>4260</v>
      </c>
      <c r="Q10" s="10" t="s">
        <v>31</v>
      </c>
      <c r="R10" s="4" t="s">
        <v>42</v>
      </c>
      <c r="S10" s="4" t="s">
        <v>42</v>
      </c>
      <c r="T10" s="4" t="s">
        <v>19</v>
      </c>
      <c r="U10" s="4" t="str">
        <f t="shared" si="1"/>
        <v>ADD-ON</v>
      </c>
      <c r="V10" s="4" t="str">
        <f t="shared" si="2"/>
        <v>ANYWHEREANYWHEREAUTHORIZEDADD-ON</v>
      </c>
    </row>
    <row r="11" spans="1:22" ht="29.25" customHeight="1" thickBot="1">
      <c r="A11" s="10" t="s">
        <v>21</v>
      </c>
      <c r="B11" s="10" t="s">
        <v>22</v>
      </c>
      <c r="C11" s="10" t="s">
        <v>23</v>
      </c>
      <c r="D11" s="10" t="s">
        <v>24</v>
      </c>
      <c r="E11" s="10" t="s">
        <v>25</v>
      </c>
      <c r="F11" s="10" t="s">
        <v>26</v>
      </c>
      <c r="G11" s="11">
        <v>4260</v>
      </c>
      <c r="H11" s="163" t="s">
        <v>47</v>
      </c>
      <c r="I11" s="158" t="s">
        <v>51</v>
      </c>
      <c r="J11" s="163" t="s">
        <v>47</v>
      </c>
      <c r="K11" s="10" t="s">
        <v>40</v>
      </c>
      <c r="L11" s="10">
        <v>0</v>
      </c>
      <c r="M11" s="10">
        <f t="shared" si="0"/>
        <v>0</v>
      </c>
      <c r="N11" s="10">
        <v>5</v>
      </c>
      <c r="O11" s="12">
        <v>1</v>
      </c>
      <c r="P11" s="11">
        <v>4260</v>
      </c>
      <c r="Q11" s="10" t="s">
        <v>33</v>
      </c>
      <c r="R11" s="4" t="s">
        <v>42</v>
      </c>
      <c r="S11" s="4" t="s">
        <v>42</v>
      </c>
      <c r="T11" s="4" t="s">
        <v>19</v>
      </c>
      <c r="U11" s="4" t="str">
        <f t="shared" si="1"/>
        <v>ADD-ON</v>
      </c>
      <c r="V11" s="4" t="str">
        <f t="shared" si="2"/>
        <v>ANYWHEREANYWHEREAUTHORIZEDADD-ON</v>
      </c>
    </row>
    <row r="12" spans="1:22" ht="15" thickBot="1">
      <c r="A12" s="10" t="s">
        <v>21</v>
      </c>
      <c r="B12" s="10" t="s">
        <v>22</v>
      </c>
      <c r="C12" s="10" t="s">
        <v>23</v>
      </c>
      <c r="D12" s="10" t="s">
        <v>24</v>
      </c>
      <c r="E12" s="10" t="s">
        <v>25</v>
      </c>
      <c r="F12" s="10" t="s">
        <v>26</v>
      </c>
      <c r="G12" s="11">
        <v>2550</v>
      </c>
      <c r="H12" s="163" t="s">
        <v>52</v>
      </c>
      <c r="I12" s="158" t="s">
        <v>53</v>
      </c>
      <c r="J12" s="163" t="s">
        <v>47</v>
      </c>
      <c r="K12" s="10" t="s">
        <v>40</v>
      </c>
      <c r="L12" s="10">
        <v>0</v>
      </c>
      <c r="M12" s="10">
        <f t="shared" si="0"/>
        <v>0</v>
      </c>
      <c r="N12" s="10">
        <v>5</v>
      </c>
      <c r="O12" s="12">
        <v>1</v>
      </c>
      <c r="P12" s="11">
        <v>4260</v>
      </c>
      <c r="Q12" s="10" t="s">
        <v>36</v>
      </c>
      <c r="R12" s="4" t="s">
        <v>42</v>
      </c>
      <c r="S12" s="4" t="s">
        <v>42</v>
      </c>
      <c r="T12" s="4" t="s">
        <v>19</v>
      </c>
      <c r="U12" s="4" t="str">
        <f t="shared" si="1"/>
        <v>ADD-ON</v>
      </c>
      <c r="V12" s="4" t="str">
        <f t="shared" si="2"/>
        <v>ANYWHEREANYWHEREAUTHORIZEDADD-ON</v>
      </c>
    </row>
    <row r="13" spans="1:22" ht="29.25" customHeight="1" thickBot="1">
      <c r="A13" s="10" t="s">
        <v>21</v>
      </c>
      <c r="B13" s="10" t="s">
        <v>22</v>
      </c>
      <c r="C13" s="10" t="s">
        <v>23</v>
      </c>
      <c r="D13" s="10" t="s">
        <v>24</v>
      </c>
      <c r="E13" s="10" t="s">
        <v>25</v>
      </c>
      <c r="F13" s="10" t="s">
        <v>26</v>
      </c>
      <c r="G13" s="11">
        <v>918</v>
      </c>
      <c r="H13" s="163" t="s">
        <v>54</v>
      </c>
      <c r="I13" s="166" t="s">
        <v>55</v>
      </c>
      <c r="J13" s="163" t="s">
        <v>39</v>
      </c>
      <c r="K13" s="10" t="s">
        <v>40</v>
      </c>
      <c r="L13" s="10">
        <v>0</v>
      </c>
      <c r="M13" s="10">
        <f t="shared" si="0"/>
        <v>0</v>
      </c>
      <c r="N13" s="10">
        <v>5</v>
      </c>
      <c r="O13" s="12">
        <v>1</v>
      </c>
      <c r="P13" s="11">
        <v>4260</v>
      </c>
      <c r="Q13" s="10" t="s">
        <v>48</v>
      </c>
      <c r="R13" s="4" t="s">
        <v>42</v>
      </c>
      <c r="S13" s="4" t="s">
        <v>42</v>
      </c>
      <c r="T13" s="4" t="s">
        <v>19</v>
      </c>
      <c r="U13" s="4" t="str">
        <f t="shared" si="1"/>
        <v>ADD-ON</v>
      </c>
      <c r="V13" s="4" t="str">
        <f t="shared" si="2"/>
        <v>ANYWHEREANYWHEREAUTHORIZEDADD-ON</v>
      </c>
    </row>
    <row r="14" spans="1:22" ht="15" thickBot="1">
      <c r="A14" s="10" t="s">
        <v>21</v>
      </c>
      <c r="B14" s="10" t="s">
        <v>22</v>
      </c>
      <c r="C14" s="10" t="s">
        <v>23</v>
      </c>
      <c r="D14" s="10" t="s">
        <v>24</v>
      </c>
      <c r="E14" s="10" t="s">
        <v>25</v>
      </c>
      <c r="F14" s="10" t="s">
        <v>26</v>
      </c>
      <c r="G14" s="11">
        <v>280</v>
      </c>
      <c r="H14" s="163" t="s">
        <v>56</v>
      </c>
      <c r="I14" s="158" t="s">
        <v>57</v>
      </c>
      <c r="J14" s="163" t="s">
        <v>58</v>
      </c>
      <c r="K14" s="10" t="s">
        <v>30</v>
      </c>
      <c r="L14" s="10">
        <v>0</v>
      </c>
      <c r="M14" s="10">
        <f t="shared" si="0"/>
        <v>0</v>
      </c>
      <c r="N14" s="10">
        <v>5</v>
      </c>
      <c r="O14" s="12">
        <f>N14/3</f>
        <v>1.6666666666666667</v>
      </c>
      <c r="P14" s="11">
        <v>1400</v>
      </c>
      <c r="Q14" s="10" t="s">
        <v>31</v>
      </c>
      <c r="R14" s="4" t="s">
        <v>42</v>
      </c>
      <c r="S14" s="4" t="s">
        <v>42</v>
      </c>
      <c r="T14" s="4" t="s">
        <v>19</v>
      </c>
      <c r="U14" s="4" t="str">
        <f t="shared" si="1"/>
        <v>ADD-ON</v>
      </c>
      <c r="V14" s="4" t="str">
        <f t="shared" si="2"/>
        <v>ANYWHEREANYWHEREAUTHORIZEDADD-ON</v>
      </c>
    </row>
    <row r="15" spans="1:22" ht="29.25" customHeight="1" thickBot="1">
      <c r="A15" s="10" t="s">
        <v>21</v>
      </c>
      <c r="B15" s="10" t="s">
        <v>22</v>
      </c>
      <c r="C15" s="10" t="s">
        <v>23</v>
      </c>
      <c r="D15" s="10" t="s">
        <v>24</v>
      </c>
      <c r="E15" s="10" t="s">
        <v>25</v>
      </c>
      <c r="F15" s="10" t="s">
        <v>26</v>
      </c>
      <c r="G15" s="11">
        <v>1400</v>
      </c>
      <c r="H15" s="163" t="s">
        <v>58</v>
      </c>
      <c r="I15" s="158" t="s">
        <v>59</v>
      </c>
      <c r="J15" s="163" t="s">
        <v>58</v>
      </c>
      <c r="K15" s="10" t="s">
        <v>30</v>
      </c>
      <c r="L15" s="10">
        <v>0</v>
      </c>
      <c r="M15" s="10">
        <f t="shared" si="0"/>
        <v>0</v>
      </c>
      <c r="N15" s="10">
        <v>5</v>
      </c>
      <c r="O15" s="12">
        <f>N15/3</f>
        <v>1.6666666666666667</v>
      </c>
      <c r="P15" s="11">
        <v>1400</v>
      </c>
      <c r="Q15" s="10" t="s">
        <v>33</v>
      </c>
      <c r="R15" s="4" t="s">
        <v>42</v>
      </c>
      <c r="S15" s="4" t="s">
        <v>42</v>
      </c>
      <c r="T15" s="4" t="s">
        <v>19</v>
      </c>
      <c r="U15" s="4" t="str">
        <f t="shared" si="1"/>
        <v>ADD-ON</v>
      </c>
      <c r="V15" s="4" t="str">
        <f t="shared" si="2"/>
        <v>ANYWHEREANYWHEREAUTHORIZEDADD-ON</v>
      </c>
    </row>
    <row r="16" spans="1:22" ht="15" thickBot="1">
      <c r="A16" s="10" t="s">
        <v>21</v>
      </c>
      <c r="B16" s="10" t="s">
        <v>22</v>
      </c>
      <c r="C16" s="10" t="s">
        <v>23</v>
      </c>
      <c r="D16" s="10" t="s">
        <v>24</v>
      </c>
      <c r="E16" s="10" t="s">
        <v>25</v>
      </c>
      <c r="F16" s="10" t="s">
        <v>26</v>
      </c>
      <c r="G16" s="11">
        <v>839</v>
      </c>
      <c r="H16" s="163" t="s">
        <v>60</v>
      </c>
      <c r="I16" s="158" t="s">
        <v>61</v>
      </c>
      <c r="J16" s="163" t="s">
        <v>58</v>
      </c>
      <c r="K16" s="10" t="s">
        <v>30</v>
      </c>
      <c r="L16" s="10">
        <v>0</v>
      </c>
      <c r="M16" s="10">
        <f t="shared" si="0"/>
        <v>0</v>
      </c>
      <c r="N16" s="10">
        <v>5</v>
      </c>
      <c r="O16" s="12">
        <f>N16/3</f>
        <v>1.6666666666666667</v>
      </c>
      <c r="P16" s="11">
        <v>1400</v>
      </c>
      <c r="Q16" s="10" t="s">
        <v>36</v>
      </c>
      <c r="R16" s="4" t="s">
        <v>42</v>
      </c>
      <c r="S16" s="4" t="s">
        <v>42</v>
      </c>
      <c r="T16" s="4" t="s">
        <v>19</v>
      </c>
      <c r="U16" s="4" t="str">
        <f t="shared" si="1"/>
        <v>ADD-ON</v>
      </c>
      <c r="V16" s="4" t="str">
        <f t="shared" si="2"/>
        <v>ANYWHEREANYWHEREAUTHORIZEDADD-ON</v>
      </c>
    </row>
    <row r="17" spans="1:22" ht="15" thickBot="1">
      <c r="A17" s="10" t="s">
        <v>21</v>
      </c>
      <c r="B17" s="10" t="s">
        <v>22</v>
      </c>
      <c r="C17" s="10" t="s">
        <v>23</v>
      </c>
      <c r="D17" s="10" t="s">
        <v>24</v>
      </c>
      <c r="E17" s="10" t="s">
        <v>25</v>
      </c>
      <c r="F17" s="10" t="s">
        <v>26</v>
      </c>
      <c r="G17" s="11">
        <v>1410</v>
      </c>
      <c r="H17" s="163" t="s">
        <v>62</v>
      </c>
      <c r="I17" s="158" t="s">
        <v>63</v>
      </c>
      <c r="J17" s="163" t="s">
        <v>64</v>
      </c>
      <c r="K17" s="10" t="s">
        <v>40</v>
      </c>
      <c r="L17" s="10">
        <v>5</v>
      </c>
      <c r="M17" s="10">
        <f t="shared" si="0"/>
        <v>5</v>
      </c>
      <c r="N17" s="10">
        <v>5</v>
      </c>
      <c r="O17" s="12">
        <v>1</v>
      </c>
      <c r="P17" s="11">
        <v>7030</v>
      </c>
      <c r="Q17" s="10" t="s">
        <v>31</v>
      </c>
      <c r="R17" s="4" t="s">
        <v>42</v>
      </c>
      <c r="S17" s="4" t="s">
        <v>42</v>
      </c>
      <c r="T17" s="4" t="s">
        <v>19</v>
      </c>
      <c r="U17" s="4" t="str">
        <f t="shared" si="1"/>
        <v>NOT AN ADD-ON</v>
      </c>
      <c r="V17" s="4" t="str">
        <f t="shared" si="2"/>
        <v>ANYWHEREANYWHEREAUTHORIZEDNOT AN ADD-ON</v>
      </c>
    </row>
    <row r="18" spans="1:22" ht="15" thickBot="1">
      <c r="A18" s="10" t="s">
        <v>21</v>
      </c>
      <c r="B18" s="10" t="s">
        <v>22</v>
      </c>
      <c r="C18" s="10" t="s">
        <v>23</v>
      </c>
      <c r="D18" s="10" t="s">
        <v>24</v>
      </c>
      <c r="E18" s="10" t="s">
        <v>25</v>
      </c>
      <c r="F18" s="10" t="s">
        <v>26</v>
      </c>
      <c r="G18" s="11">
        <v>7030</v>
      </c>
      <c r="H18" s="163" t="s">
        <v>64</v>
      </c>
      <c r="I18" s="158" t="s">
        <v>65</v>
      </c>
      <c r="J18" s="163" t="s">
        <v>64</v>
      </c>
      <c r="K18" s="10" t="s">
        <v>40</v>
      </c>
      <c r="L18" s="10">
        <v>5</v>
      </c>
      <c r="M18" s="10">
        <f t="shared" si="0"/>
        <v>5</v>
      </c>
      <c r="N18" s="10">
        <v>5</v>
      </c>
      <c r="O18" s="12">
        <v>1</v>
      </c>
      <c r="P18" s="11">
        <v>7030</v>
      </c>
      <c r="Q18" s="10" t="s">
        <v>33</v>
      </c>
      <c r="R18" s="4" t="s">
        <v>42</v>
      </c>
      <c r="S18" s="4" t="s">
        <v>42</v>
      </c>
      <c r="T18" s="4" t="s">
        <v>19</v>
      </c>
      <c r="U18" s="4" t="str">
        <f t="shared" si="1"/>
        <v>NOT AN ADD-ON</v>
      </c>
      <c r="V18" s="4" t="str">
        <f t="shared" si="2"/>
        <v>ANYWHEREANYWHEREAUTHORIZEDNOT AN ADD-ON</v>
      </c>
    </row>
    <row r="19" spans="1:22" ht="29.25" customHeight="1" thickBot="1">
      <c r="A19" s="10" t="s">
        <v>21</v>
      </c>
      <c r="B19" s="10" t="s">
        <v>22</v>
      </c>
      <c r="C19" s="10" t="s">
        <v>23</v>
      </c>
      <c r="D19" s="10" t="s">
        <v>24</v>
      </c>
      <c r="E19" s="10" t="s">
        <v>25</v>
      </c>
      <c r="F19" s="10" t="s">
        <v>26</v>
      </c>
      <c r="G19" s="11">
        <v>4220</v>
      </c>
      <c r="H19" s="163" t="s">
        <v>66</v>
      </c>
      <c r="I19" s="158" t="s">
        <v>67</v>
      </c>
      <c r="J19" s="163" t="s">
        <v>64</v>
      </c>
      <c r="K19" s="10" t="s">
        <v>40</v>
      </c>
      <c r="L19" s="10">
        <v>5</v>
      </c>
      <c r="M19" s="10">
        <f t="shared" si="0"/>
        <v>5</v>
      </c>
      <c r="N19" s="10">
        <v>5</v>
      </c>
      <c r="O19" s="12">
        <v>1</v>
      </c>
      <c r="P19" s="11">
        <v>7030</v>
      </c>
      <c r="Q19" s="10" t="s">
        <v>36</v>
      </c>
      <c r="R19" s="4" t="s">
        <v>42</v>
      </c>
      <c r="S19" s="4" t="s">
        <v>42</v>
      </c>
      <c r="T19" s="4" t="s">
        <v>19</v>
      </c>
      <c r="U19" s="4" t="str">
        <f t="shared" si="1"/>
        <v>NOT AN ADD-ON</v>
      </c>
      <c r="V19" s="4" t="str">
        <f t="shared" si="2"/>
        <v>ANYWHEREANYWHEREAUTHORIZEDNOT AN ADD-ON</v>
      </c>
    </row>
    <row r="20" spans="1:22" ht="15" thickBot="1">
      <c r="A20" s="10" t="s">
        <v>21</v>
      </c>
      <c r="B20" s="10" t="s">
        <v>22</v>
      </c>
      <c r="C20" s="10" t="s">
        <v>23</v>
      </c>
      <c r="D20" s="10" t="s">
        <v>24</v>
      </c>
      <c r="E20" s="10" t="s">
        <v>25</v>
      </c>
      <c r="F20" s="10" t="s">
        <v>26</v>
      </c>
      <c r="G20" s="11">
        <v>1500</v>
      </c>
      <c r="H20" s="163" t="s">
        <v>68</v>
      </c>
      <c r="I20" s="166" t="s">
        <v>69</v>
      </c>
      <c r="J20" s="163" t="s">
        <v>47</v>
      </c>
      <c r="K20" s="10" t="s">
        <v>40</v>
      </c>
      <c r="L20" s="10">
        <v>5</v>
      </c>
      <c r="M20" s="10">
        <f t="shared" si="0"/>
        <v>5</v>
      </c>
      <c r="N20" s="10">
        <v>5</v>
      </c>
      <c r="O20" s="12">
        <v>1</v>
      </c>
      <c r="P20" s="11">
        <v>4260</v>
      </c>
      <c r="Q20" s="10" t="s">
        <v>48</v>
      </c>
      <c r="R20" s="4" t="s">
        <v>42</v>
      </c>
      <c r="S20" s="4" t="s">
        <v>42</v>
      </c>
      <c r="T20" s="4" t="s">
        <v>19</v>
      </c>
      <c r="U20" s="4" t="str">
        <f t="shared" si="1"/>
        <v>NOT AN ADD-ON</v>
      </c>
      <c r="V20" s="4" t="str">
        <f t="shared" si="2"/>
        <v>ANYWHEREANYWHEREAUTHORIZEDNOT AN ADD-ON</v>
      </c>
    </row>
    <row r="21" spans="1:22" ht="15" thickBot="1">
      <c r="A21" s="10" t="s">
        <v>21</v>
      </c>
      <c r="B21" s="10" t="s">
        <v>22</v>
      </c>
      <c r="C21" s="10" t="s">
        <v>23</v>
      </c>
      <c r="D21" s="10" t="s">
        <v>24</v>
      </c>
      <c r="E21" s="10" t="s">
        <v>25</v>
      </c>
      <c r="F21" s="10" t="s">
        <v>26</v>
      </c>
      <c r="G21" s="11">
        <v>1410</v>
      </c>
      <c r="H21" s="163" t="s">
        <v>70</v>
      </c>
      <c r="I21" s="158" t="s">
        <v>71</v>
      </c>
      <c r="J21" s="163" t="s">
        <v>72</v>
      </c>
      <c r="K21" s="10" t="s">
        <v>40</v>
      </c>
      <c r="L21" s="10">
        <v>5</v>
      </c>
      <c r="M21" s="10">
        <f t="shared" si="0"/>
        <v>5</v>
      </c>
      <c r="N21" s="10">
        <v>5</v>
      </c>
      <c r="O21" s="12">
        <v>1</v>
      </c>
      <c r="P21" s="11">
        <v>7030</v>
      </c>
      <c r="Q21" s="10" t="s">
        <v>31</v>
      </c>
      <c r="R21" s="4" t="s">
        <v>42</v>
      </c>
      <c r="S21" s="4" t="s">
        <v>42</v>
      </c>
      <c r="T21" s="4" t="s">
        <v>19</v>
      </c>
      <c r="U21" s="4" t="str">
        <f t="shared" si="1"/>
        <v>NOT AN ADD-ON</v>
      </c>
      <c r="V21" s="4" t="str">
        <f t="shared" si="2"/>
        <v>ANYWHEREANYWHEREAUTHORIZEDNOT AN ADD-ON</v>
      </c>
    </row>
    <row r="22" spans="1:22" ht="29.25" customHeight="1" thickBot="1">
      <c r="A22" s="10" t="s">
        <v>21</v>
      </c>
      <c r="B22" s="10" t="s">
        <v>22</v>
      </c>
      <c r="C22" s="10" t="s">
        <v>23</v>
      </c>
      <c r="D22" s="10" t="s">
        <v>24</v>
      </c>
      <c r="E22" s="10" t="s">
        <v>25</v>
      </c>
      <c r="F22" s="10" t="s">
        <v>26</v>
      </c>
      <c r="G22" s="11">
        <v>7030</v>
      </c>
      <c r="H22" s="163" t="s">
        <v>72</v>
      </c>
      <c r="I22" s="158" t="s">
        <v>73</v>
      </c>
      <c r="J22" s="163" t="s">
        <v>72</v>
      </c>
      <c r="K22" s="10" t="s">
        <v>40</v>
      </c>
      <c r="L22" s="10">
        <v>5</v>
      </c>
      <c r="M22" s="10">
        <f t="shared" si="0"/>
        <v>5</v>
      </c>
      <c r="N22" s="10">
        <v>5</v>
      </c>
      <c r="O22" s="12">
        <v>1</v>
      </c>
      <c r="P22" s="11">
        <v>7030</v>
      </c>
      <c r="Q22" s="10" t="s">
        <v>33</v>
      </c>
      <c r="R22" s="4" t="s">
        <v>42</v>
      </c>
      <c r="S22" s="4" t="s">
        <v>42</v>
      </c>
      <c r="T22" s="4" t="s">
        <v>19</v>
      </c>
      <c r="U22" s="4" t="str">
        <f t="shared" si="1"/>
        <v>NOT AN ADD-ON</v>
      </c>
      <c r="V22" s="4" t="str">
        <f t="shared" si="2"/>
        <v>ANYWHEREANYWHEREAUTHORIZEDNOT AN ADD-ON</v>
      </c>
    </row>
    <row r="23" spans="1:22" ht="15" thickBot="1">
      <c r="A23" s="10" t="s">
        <v>21</v>
      </c>
      <c r="B23" s="10" t="s">
        <v>22</v>
      </c>
      <c r="C23" s="10" t="s">
        <v>23</v>
      </c>
      <c r="D23" s="10" t="s">
        <v>24</v>
      </c>
      <c r="E23" s="10" t="s">
        <v>25</v>
      </c>
      <c r="F23" s="10" t="s">
        <v>26</v>
      </c>
      <c r="G23" s="11">
        <v>4220</v>
      </c>
      <c r="H23" s="163" t="s">
        <v>74</v>
      </c>
      <c r="I23" s="158" t="s">
        <v>75</v>
      </c>
      <c r="J23" s="163" t="s">
        <v>72</v>
      </c>
      <c r="K23" s="10" t="s">
        <v>40</v>
      </c>
      <c r="L23" s="10">
        <v>5</v>
      </c>
      <c r="M23" s="10">
        <f t="shared" si="0"/>
        <v>5</v>
      </c>
      <c r="N23" s="10">
        <v>5</v>
      </c>
      <c r="O23" s="12">
        <v>1</v>
      </c>
      <c r="P23" s="11">
        <v>7030</v>
      </c>
      <c r="Q23" s="10" t="s">
        <v>36</v>
      </c>
      <c r="R23" s="4" t="s">
        <v>42</v>
      </c>
      <c r="S23" s="4" t="s">
        <v>42</v>
      </c>
      <c r="T23" s="4" t="s">
        <v>19</v>
      </c>
      <c r="U23" s="4" t="str">
        <f t="shared" si="1"/>
        <v>NOT AN ADD-ON</v>
      </c>
      <c r="V23" s="4" t="str">
        <f t="shared" si="2"/>
        <v>ANYWHEREANYWHEREAUTHORIZEDNOT AN ADD-ON</v>
      </c>
    </row>
    <row r="24" spans="1:22" ht="15" thickBot="1">
      <c r="A24" s="10" t="s">
        <v>21</v>
      </c>
      <c r="B24" s="10" t="s">
        <v>22</v>
      </c>
      <c r="C24" s="10" t="s">
        <v>23</v>
      </c>
      <c r="D24" s="10" t="s">
        <v>24</v>
      </c>
      <c r="E24" s="10" t="s">
        <v>25</v>
      </c>
      <c r="F24" s="10" t="s">
        <v>26</v>
      </c>
      <c r="G24" s="11">
        <v>1500</v>
      </c>
      <c r="H24" s="163" t="s">
        <v>76</v>
      </c>
      <c r="I24" s="158" t="s">
        <v>77</v>
      </c>
      <c r="J24" s="163" t="s">
        <v>64</v>
      </c>
      <c r="K24" s="10" t="s">
        <v>40</v>
      </c>
      <c r="L24" s="10">
        <v>5</v>
      </c>
      <c r="M24" s="10">
        <f t="shared" si="0"/>
        <v>5</v>
      </c>
      <c r="N24" s="10">
        <v>5</v>
      </c>
      <c r="O24" s="12">
        <v>1</v>
      </c>
      <c r="P24" s="11">
        <v>7030</v>
      </c>
      <c r="Q24" s="10" t="s">
        <v>48</v>
      </c>
      <c r="R24" s="4" t="s">
        <v>42</v>
      </c>
      <c r="S24" s="4" t="s">
        <v>42</v>
      </c>
      <c r="T24" s="4" t="s">
        <v>19</v>
      </c>
      <c r="U24" s="4" t="str">
        <f t="shared" si="1"/>
        <v>NOT AN ADD-ON</v>
      </c>
      <c r="V24" s="4" t="str">
        <f t="shared" si="2"/>
        <v>ANYWHEREANYWHEREAUTHORIZEDNOT AN ADD-ON</v>
      </c>
    </row>
    <row r="25" spans="1:22" ht="27" thickBot="1">
      <c r="A25" s="10" t="s">
        <v>21</v>
      </c>
      <c r="B25" s="10" t="s">
        <v>22</v>
      </c>
      <c r="C25" s="10" t="s">
        <v>23</v>
      </c>
      <c r="D25" s="10" t="s">
        <v>24</v>
      </c>
      <c r="E25" s="10" t="s">
        <v>25</v>
      </c>
      <c r="F25" s="10" t="s">
        <v>26</v>
      </c>
      <c r="G25" s="11">
        <v>1570</v>
      </c>
      <c r="H25" s="163" t="s">
        <v>78</v>
      </c>
      <c r="I25" s="166" t="s">
        <v>79</v>
      </c>
      <c r="J25" s="163" t="s">
        <v>72</v>
      </c>
      <c r="K25" s="10" t="s">
        <v>30</v>
      </c>
      <c r="L25" s="10">
        <v>5</v>
      </c>
      <c r="M25" s="10">
        <f t="shared" si="0"/>
        <v>1.67</v>
      </c>
      <c r="N25" s="10">
        <v>5</v>
      </c>
      <c r="O25" s="12">
        <f t="shared" ref="O25:O32" si="3">N25/3</f>
        <v>1.6666666666666667</v>
      </c>
      <c r="P25" s="11">
        <v>7030</v>
      </c>
      <c r="Q25" s="10" t="s">
        <v>48</v>
      </c>
      <c r="R25" s="4" t="s">
        <v>42</v>
      </c>
      <c r="S25" s="4" t="s">
        <v>42</v>
      </c>
      <c r="T25" s="4" t="s">
        <v>19</v>
      </c>
      <c r="U25" s="4" t="str">
        <f t="shared" si="1"/>
        <v>NOT AN ADD-ON</v>
      </c>
      <c r="V25" s="4" t="str">
        <f t="shared" si="2"/>
        <v>ANYWHEREANYWHEREAUTHORIZEDNOT AN ADD-ON</v>
      </c>
    </row>
    <row r="26" spans="1:22" ht="15" thickBot="1">
      <c r="A26" s="10" t="s">
        <v>21</v>
      </c>
      <c r="B26" s="10" t="s">
        <v>22</v>
      </c>
      <c r="C26" s="10" t="s">
        <v>23</v>
      </c>
      <c r="D26" s="10" t="s">
        <v>24</v>
      </c>
      <c r="E26" s="10" t="s">
        <v>25</v>
      </c>
      <c r="F26" s="10" t="s">
        <v>26</v>
      </c>
      <c r="G26" s="11">
        <v>461</v>
      </c>
      <c r="H26" s="163" t="s">
        <v>80</v>
      </c>
      <c r="I26" s="158" t="s">
        <v>81</v>
      </c>
      <c r="J26" s="163" t="s">
        <v>82</v>
      </c>
      <c r="K26" s="10" t="s">
        <v>30</v>
      </c>
      <c r="L26" s="10">
        <v>5</v>
      </c>
      <c r="M26" s="10">
        <f t="shared" si="0"/>
        <v>1.67</v>
      </c>
      <c r="N26" s="10">
        <v>5</v>
      </c>
      <c r="O26" s="12">
        <f t="shared" si="3"/>
        <v>1.6666666666666667</v>
      </c>
      <c r="P26" s="11">
        <v>2310</v>
      </c>
      <c r="Q26" s="10" t="s">
        <v>31</v>
      </c>
      <c r="R26" s="4" t="s">
        <v>42</v>
      </c>
      <c r="S26" s="4" t="s">
        <v>42</v>
      </c>
      <c r="T26" s="4" t="s">
        <v>19</v>
      </c>
      <c r="U26" s="4" t="str">
        <f t="shared" si="1"/>
        <v>NOT AN ADD-ON</v>
      </c>
      <c r="V26" s="4" t="str">
        <f t="shared" si="2"/>
        <v>ANYWHEREANYWHEREAUTHORIZEDNOT AN ADD-ON</v>
      </c>
    </row>
    <row r="27" spans="1:22" ht="15" thickBot="1">
      <c r="A27" s="10" t="s">
        <v>21</v>
      </c>
      <c r="B27" s="10" t="s">
        <v>22</v>
      </c>
      <c r="C27" s="10" t="s">
        <v>23</v>
      </c>
      <c r="D27" s="10" t="s">
        <v>24</v>
      </c>
      <c r="E27" s="10" t="s">
        <v>25</v>
      </c>
      <c r="F27" s="10" t="s">
        <v>26</v>
      </c>
      <c r="G27" s="11">
        <v>2310</v>
      </c>
      <c r="H27" s="163" t="s">
        <v>82</v>
      </c>
      <c r="I27" s="158" t="s">
        <v>83</v>
      </c>
      <c r="J27" s="163" t="s">
        <v>82</v>
      </c>
      <c r="K27" s="10" t="s">
        <v>30</v>
      </c>
      <c r="L27" s="10">
        <v>5</v>
      </c>
      <c r="M27" s="10">
        <f t="shared" si="0"/>
        <v>1.67</v>
      </c>
      <c r="N27" s="10">
        <v>5</v>
      </c>
      <c r="O27" s="12">
        <f t="shared" si="3"/>
        <v>1.6666666666666667</v>
      </c>
      <c r="P27" s="11">
        <v>2310</v>
      </c>
      <c r="Q27" s="10" t="s">
        <v>33</v>
      </c>
      <c r="R27" s="4" t="s">
        <v>42</v>
      </c>
      <c r="S27" s="4" t="s">
        <v>42</v>
      </c>
      <c r="T27" s="4" t="s">
        <v>19</v>
      </c>
      <c r="U27" s="4" t="str">
        <f t="shared" si="1"/>
        <v>NOT AN ADD-ON</v>
      </c>
      <c r="V27" s="4" t="str">
        <f t="shared" si="2"/>
        <v>ANYWHEREANYWHEREAUTHORIZEDNOT AN ADD-ON</v>
      </c>
    </row>
    <row r="28" spans="1:22" ht="15" thickBot="1">
      <c r="A28" s="10" t="s">
        <v>21</v>
      </c>
      <c r="B28" s="10" t="s">
        <v>22</v>
      </c>
      <c r="C28" s="10" t="s">
        <v>23</v>
      </c>
      <c r="D28" s="10" t="s">
        <v>24</v>
      </c>
      <c r="E28" s="10" t="s">
        <v>25</v>
      </c>
      <c r="F28" s="10" t="s">
        <v>26</v>
      </c>
      <c r="G28" s="11">
        <v>1390</v>
      </c>
      <c r="H28" s="163" t="s">
        <v>84</v>
      </c>
      <c r="I28" s="158" t="s">
        <v>85</v>
      </c>
      <c r="J28" s="163" t="s">
        <v>82</v>
      </c>
      <c r="K28" s="10" t="s">
        <v>30</v>
      </c>
      <c r="L28" s="10">
        <v>5</v>
      </c>
      <c r="M28" s="10">
        <f t="shared" si="0"/>
        <v>1.67</v>
      </c>
      <c r="N28" s="10">
        <v>5</v>
      </c>
      <c r="O28" s="12">
        <f t="shared" si="3"/>
        <v>1.6666666666666667</v>
      </c>
      <c r="P28" s="11">
        <v>2310</v>
      </c>
      <c r="Q28" s="10" t="s">
        <v>36</v>
      </c>
      <c r="R28" s="4" t="s">
        <v>42</v>
      </c>
      <c r="S28" s="4" t="s">
        <v>42</v>
      </c>
      <c r="T28" s="4" t="s">
        <v>19</v>
      </c>
      <c r="U28" s="4" t="str">
        <f t="shared" si="1"/>
        <v>NOT AN ADD-ON</v>
      </c>
      <c r="V28" s="4" t="str">
        <f t="shared" si="2"/>
        <v>ANYWHEREANYWHEREAUTHORIZEDNOT AN ADD-ON</v>
      </c>
    </row>
    <row r="29" spans="1:22" ht="15" thickBot="1">
      <c r="A29" s="10" t="s">
        <v>21</v>
      </c>
      <c r="B29" s="10" t="s">
        <v>22</v>
      </c>
      <c r="C29" s="10" t="s">
        <v>23</v>
      </c>
      <c r="D29" s="10" t="s">
        <v>24</v>
      </c>
      <c r="E29" s="10" t="s">
        <v>25</v>
      </c>
      <c r="F29" s="10" t="s">
        <v>26</v>
      </c>
      <c r="G29" s="11">
        <v>1570</v>
      </c>
      <c r="H29" s="163" t="s">
        <v>86</v>
      </c>
      <c r="I29" s="166" t="s">
        <v>87</v>
      </c>
      <c r="J29" s="163" t="s">
        <v>64</v>
      </c>
      <c r="K29" s="10" t="s">
        <v>30</v>
      </c>
      <c r="L29" s="10">
        <v>5</v>
      </c>
      <c r="M29" s="10">
        <f t="shared" si="0"/>
        <v>1.67</v>
      </c>
      <c r="N29" s="10">
        <v>5</v>
      </c>
      <c r="O29" s="12">
        <f t="shared" si="3"/>
        <v>1.6666666666666667</v>
      </c>
      <c r="P29" s="11">
        <v>7030</v>
      </c>
      <c r="Q29" s="10" t="s">
        <v>48</v>
      </c>
      <c r="R29" s="4" t="s">
        <v>42</v>
      </c>
      <c r="S29" s="4" t="s">
        <v>42</v>
      </c>
      <c r="T29" s="4" t="s">
        <v>19</v>
      </c>
      <c r="U29" s="4" t="str">
        <f t="shared" si="1"/>
        <v>NOT AN ADD-ON</v>
      </c>
      <c r="V29" s="4" t="str">
        <f t="shared" si="2"/>
        <v>ANYWHEREANYWHEREAUTHORIZEDNOT AN ADD-ON</v>
      </c>
    </row>
    <row r="30" spans="1:22" ht="15" thickBot="1">
      <c r="A30" s="10" t="s">
        <v>21</v>
      </c>
      <c r="B30" s="10" t="s">
        <v>22</v>
      </c>
      <c r="C30" s="10" t="s">
        <v>23</v>
      </c>
      <c r="D30" s="10" t="s">
        <v>24</v>
      </c>
      <c r="E30" s="10" t="s">
        <v>25</v>
      </c>
      <c r="F30" s="10" t="s">
        <v>26</v>
      </c>
      <c r="G30" s="11">
        <v>461</v>
      </c>
      <c r="H30" s="163" t="s">
        <v>88</v>
      </c>
      <c r="I30" s="158" t="s">
        <v>89</v>
      </c>
      <c r="J30" s="163" t="s">
        <v>90</v>
      </c>
      <c r="K30" s="10" t="s">
        <v>30</v>
      </c>
      <c r="L30" s="10">
        <v>5</v>
      </c>
      <c r="M30" s="10">
        <f t="shared" si="0"/>
        <v>1.67</v>
      </c>
      <c r="N30" s="10">
        <v>5</v>
      </c>
      <c r="O30" s="12">
        <f t="shared" si="3"/>
        <v>1.6666666666666667</v>
      </c>
      <c r="P30" s="11">
        <v>2310</v>
      </c>
      <c r="Q30" s="10" t="s">
        <v>31</v>
      </c>
      <c r="R30" s="4" t="s">
        <v>42</v>
      </c>
      <c r="S30" s="4" t="s">
        <v>42</v>
      </c>
      <c r="T30" s="4" t="s">
        <v>19</v>
      </c>
      <c r="U30" s="4" t="str">
        <f t="shared" si="1"/>
        <v>NOT AN ADD-ON</v>
      </c>
      <c r="V30" s="4" t="str">
        <f t="shared" si="2"/>
        <v>ANYWHEREANYWHEREAUTHORIZEDNOT AN ADD-ON</v>
      </c>
    </row>
    <row r="31" spans="1:22" ht="15" thickBot="1">
      <c r="A31" s="10" t="s">
        <v>21</v>
      </c>
      <c r="B31" s="10" t="s">
        <v>22</v>
      </c>
      <c r="C31" s="10" t="s">
        <v>23</v>
      </c>
      <c r="D31" s="10" t="s">
        <v>24</v>
      </c>
      <c r="E31" s="10" t="s">
        <v>25</v>
      </c>
      <c r="F31" s="10" t="s">
        <v>26</v>
      </c>
      <c r="G31" s="11">
        <v>2310</v>
      </c>
      <c r="H31" s="163" t="s">
        <v>90</v>
      </c>
      <c r="I31" s="158" t="s">
        <v>91</v>
      </c>
      <c r="J31" s="163" t="s">
        <v>90</v>
      </c>
      <c r="K31" s="10" t="s">
        <v>30</v>
      </c>
      <c r="L31" s="10">
        <v>5</v>
      </c>
      <c r="M31" s="10">
        <f t="shared" si="0"/>
        <v>1.67</v>
      </c>
      <c r="N31" s="10">
        <v>5</v>
      </c>
      <c r="O31" s="12">
        <f t="shared" si="3"/>
        <v>1.6666666666666667</v>
      </c>
      <c r="P31" s="11">
        <v>2310</v>
      </c>
      <c r="Q31" s="10" t="s">
        <v>33</v>
      </c>
      <c r="R31" s="4" t="s">
        <v>42</v>
      </c>
      <c r="S31" s="4" t="s">
        <v>42</v>
      </c>
      <c r="T31" s="4" t="s">
        <v>19</v>
      </c>
      <c r="U31" s="4" t="str">
        <f t="shared" si="1"/>
        <v>NOT AN ADD-ON</v>
      </c>
      <c r="V31" s="4" t="str">
        <f t="shared" si="2"/>
        <v>ANYWHEREANYWHEREAUTHORIZEDNOT AN ADD-ON</v>
      </c>
    </row>
    <row r="32" spans="1:22" ht="15" thickBot="1">
      <c r="A32" s="10" t="s">
        <v>21</v>
      </c>
      <c r="B32" s="10" t="s">
        <v>22</v>
      </c>
      <c r="C32" s="10" t="s">
        <v>23</v>
      </c>
      <c r="D32" s="10" t="s">
        <v>24</v>
      </c>
      <c r="E32" s="10" t="s">
        <v>25</v>
      </c>
      <c r="F32" s="10" t="s">
        <v>26</v>
      </c>
      <c r="G32" s="11">
        <v>1390</v>
      </c>
      <c r="H32" s="163" t="s">
        <v>92</v>
      </c>
      <c r="I32" s="158" t="s">
        <v>93</v>
      </c>
      <c r="J32" s="163" t="s">
        <v>90</v>
      </c>
      <c r="K32" s="10" t="s">
        <v>30</v>
      </c>
      <c r="L32" s="10">
        <v>5</v>
      </c>
      <c r="M32" s="10">
        <f t="shared" si="0"/>
        <v>1.67</v>
      </c>
      <c r="N32" s="10">
        <v>5</v>
      </c>
      <c r="O32" s="12">
        <f t="shared" si="3"/>
        <v>1.6666666666666667</v>
      </c>
      <c r="P32" s="11">
        <v>2310</v>
      </c>
      <c r="Q32" s="10" t="s">
        <v>36</v>
      </c>
      <c r="R32" s="4" t="s">
        <v>42</v>
      </c>
      <c r="S32" s="4" t="s">
        <v>42</v>
      </c>
      <c r="T32" s="4" t="s">
        <v>19</v>
      </c>
      <c r="U32" s="4" t="str">
        <f t="shared" si="1"/>
        <v>NOT AN ADD-ON</v>
      </c>
      <c r="V32" s="4" t="str">
        <f t="shared" si="2"/>
        <v>ANYWHEREANYWHEREAUTHORIZEDNOT AN ADD-ON</v>
      </c>
    </row>
    <row r="33" spans="1:22" ht="15" thickBot="1">
      <c r="A33" s="10" t="s">
        <v>21</v>
      </c>
      <c r="B33" s="10" t="s">
        <v>22</v>
      </c>
      <c r="C33" s="10" t="s">
        <v>94</v>
      </c>
      <c r="D33" s="10" t="s">
        <v>95</v>
      </c>
      <c r="E33" s="10" t="s">
        <v>96</v>
      </c>
      <c r="F33" s="10" t="s">
        <v>97</v>
      </c>
      <c r="G33" s="11">
        <v>1790</v>
      </c>
      <c r="H33" s="163" t="s">
        <v>98</v>
      </c>
      <c r="I33" s="158" t="s">
        <v>99</v>
      </c>
      <c r="J33" s="163" t="s">
        <v>100</v>
      </c>
      <c r="K33" s="10" t="s">
        <v>101</v>
      </c>
      <c r="L33" s="10" t="s">
        <v>102</v>
      </c>
      <c r="M33" s="10" t="e">
        <f t="shared" si="0"/>
        <v>#VALUE!</v>
      </c>
      <c r="N33" s="10">
        <v>15</v>
      </c>
      <c r="O33" s="12">
        <v>5</v>
      </c>
      <c r="P33" s="11">
        <v>8980</v>
      </c>
      <c r="Q33" s="10" t="s">
        <v>31</v>
      </c>
      <c r="R33" s="4" t="s">
        <v>1294</v>
      </c>
      <c r="S33" s="4" t="s">
        <v>1379</v>
      </c>
      <c r="T33" s="4" t="s">
        <v>1380</v>
      </c>
      <c r="U33" s="4" t="str">
        <f t="shared" si="1"/>
        <v>NOT AN ADD-ON</v>
      </c>
      <c r="V33" s="4" t="str">
        <f t="shared" si="2"/>
        <v>ASSET CONFIGURATION MANAGERACMASSETNOT AN ADD-ON</v>
      </c>
    </row>
    <row r="34" spans="1:22" ht="15" thickBot="1">
      <c r="A34" s="10" t="s">
        <v>21</v>
      </c>
      <c r="B34" s="10" t="s">
        <v>22</v>
      </c>
      <c r="C34" s="10" t="s">
        <v>94</v>
      </c>
      <c r="D34" s="10" t="s">
        <v>95</v>
      </c>
      <c r="E34" s="10" t="s">
        <v>96</v>
      </c>
      <c r="F34" s="10" t="s">
        <v>97</v>
      </c>
      <c r="G34" s="11">
        <v>8980</v>
      </c>
      <c r="H34" s="163" t="s">
        <v>100</v>
      </c>
      <c r="I34" s="158" t="s">
        <v>103</v>
      </c>
      <c r="J34" s="163" t="s">
        <v>100</v>
      </c>
      <c r="K34" s="10" t="s">
        <v>101</v>
      </c>
      <c r="L34" s="10" t="s">
        <v>102</v>
      </c>
      <c r="M34" s="10" t="e">
        <f t="shared" si="0"/>
        <v>#VALUE!</v>
      </c>
      <c r="N34" s="10">
        <v>15</v>
      </c>
      <c r="O34" s="12">
        <v>5</v>
      </c>
      <c r="P34" s="11">
        <v>8980</v>
      </c>
      <c r="Q34" s="10" t="s">
        <v>33</v>
      </c>
      <c r="R34" s="4" t="s">
        <v>1294</v>
      </c>
      <c r="S34" s="4" t="s">
        <v>1379</v>
      </c>
      <c r="T34" s="4" t="s">
        <v>1380</v>
      </c>
      <c r="U34" s="4" t="str">
        <f t="shared" si="1"/>
        <v>NOT AN ADD-ON</v>
      </c>
      <c r="V34" s="4" t="str">
        <f t="shared" si="2"/>
        <v>ASSET CONFIGURATION MANAGERACMASSETNOT AN ADD-ON</v>
      </c>
    </row>
    <row r="35" spans="1:22" ht="15" thickBot="1">
      <c r="A35" s="10" t="s">
        <v>21</v>
      </c>
      <c r="B35" s="10" t="s">
        <v>22</v>
      </c>
      <c r="C35" s="10" t="s">
        <v>94</v>
      </c>
      <c r="D35" s="10" t="s">
        <v>95</v>
      </c>
      <c r="E35" s="10" t="s">
        <v>96</v>
      </c>
      <c r="F35" s="10" t="s">
        <v>97</v>
      </c>
      <c r="G35" s="11">
        <v>5390</v>
      </c>
      <c r="H35" s="163" t="s">
        <v>104</v>
      </c>
      <c r="I35" s="158" t="s">
        <v>105</v>
      </c>
      <c r="J35" s="163" t="s">
        <v>100</v>
      </c>
      <c r="K35" s="10" t="s">
        <v>101</v>
      </c>
      <c r="L35" s="10" t="s">
        <v>102</v>
      </c>
      <c r="M35" s="10" t="e">
        <f t="shared" si="0"/>
        <v>#VALUE!</v>
      </c>
      <c r="N35" s="10">
        <v>15</v>
      </c>
      <c r="O35" s="12">
        <v>5</v>
      </c>
      <c r="P35" s="11">
        <v>8980</v>
      </c>
      <c r="Q35" s="10" t="s">
        <v>36</v>
      </c>
      <c r="R35" s="4" t="s">
        <v>1294</v>
      </c>
      <c r="S35" s="4" t="s">
        <v>1379</v>
      </c>
      <c r="T35" s="4" t="s">
        <v>1380</v>
      </c>
      <c r="U35" s="4" t="str">
        <f t="shared" si="1"/>
        <v>NOT AN ADD-ON</v>
      </c>
      <c r="V35" s="4" t="str">
        <f t="shared" si="2"/>
        <v>ASSET CONFIGURATION MANAGERACMASSETNOT AN ADD-ON</v>
      </c>
    </row>
    <row r="36" spans="1:22" ht="15" thickBot="1">
      <c r="A36" s="10" t="s">
        <v>21</v>
      </c>
      <c r="B36" s="10" t="s">
        <v>22</v>
      </c>
      <c r="C36" s="10" t="s">
        <v>94</v>
      </c>
      <c r="D36" s="10" t="s">
        <v>95</v>
      </c>
      <c r="E36" s="10" t="s">
        <v>96</v>
      </c>
      <c r="F36" s="10" t="s">
        <v>97</v>
      </c>
      <c r="G36" s="11">
        <v>1140</v>
      </c>
      <c r="H36" s="163" t="s">
        <v>106</v>
      </c>
      <c r="I36" s="158" t="s">
        <v>107</v>
      </c>
      <c r="J36" s="163" t="s">
        <v>108</v>
      </c>
      <c r="K36" s="10" t="s">
        <v>30</v>
      </c>
      <c r="L36" s="10">
        <v>15</v>
      </c>
      <c r="M36" s="10">
        <f t="shared" si="0"/>
        <v>5</v>
      </c>
      <c r="N36" s="10">
        <v>15</v>
      </c>
      <c r="O36" s="12">
        <v>5</v>
      </c>
      <c r="P36" s="11">
        <v>5740</v>
      </c>
      <c r="Q36" s="10" t="s">
        <v>31</v>
      </c>
      <c r="R36" s="4" t="s">
        <v>1294</v>
      </c>
      <c r="S36" s="4" t="s">
        <v>1379</v>
      </c>
      <c r="T36" s="4" t="s">
        <v>19</v>
      </c>
      <c r="U36" s="4" t="str">
        <f t="shared" si="1"/>
        <v>NOT AN ADD-ON</v>
      </c>
      <c r="V36" s="4" t="str">
        <f t="shared" si="2"/>
        <v>ASSET CONFIGURATION MANAGERACMAUTHORIZEDNOT AN ADD-ON</v>
      </c>
    </row>
    <row r="37" spans="1:22" ht="15" thickBot="1">
      <c r="A37" s="10" t="s">
        <v>21</v>
      </c>
      <c r="B37" s="10" t="s">
        <v>22</v>
      </c>
      <c r="C37" s="10" t="s">
        <v>94</v>
      </c>
      <c r="D37" s="10" t="s">
        <v>95</v>
      </c>
      <c r="E37" s="10" t="s">
        <v>96</v>
      </c>
      <c r="F37" s="10" t="s">
        <v>97</v>
      </c>
      <c r="G37" s="11">
        <v>5740</v>
      </c>
      <c r="H37" s="163" t="s">
        <v>108</v>
      </c>
      <c r="I37" s="158" t="s">
        <v>109</v>
      </c>
      <c r="J37" s="163" t="s">
        <v>108</v>
      </c>
      <c r="K37" s="10" t="s">
        <v>30</v>
      </c>
      <c r="L37" s="10">
        <v>15</v>
      </c>
      <c r="M37" s="10">
        <f t="shared" si="0"/>
        <v>5</v>
      </c>
      <c r="N37" s="10">
        <v>15</v>
      </c>
      <c r="O37" s="12">
        <v>5</v>
      </c>
      <c r="P37" s="11">
        <v>5740</v>
      </c>
      <c r="Q37" s="10" t="s">
        <v>33</v>
      </c>
      <c r="R37" s="4" t="s">
        <v>1294</v>
      </c>
      <c r="S37" s="4" t="s">
        <v>1379</v>
      </c>
      <c r="T37" s="4" t="s">
        <v>19</v>
      </c>
      <c r="U37" s="4" t="str">
        <f t="shared" si="1"/>
        <v>NOT AN ADD-ON</v>
      </c>
      <c r="V37" s="4" t="str">
        <f t="shared" si="2"/>
        <v>ASSET CONFIGURATION MANAGERACMAUTHORIZEDNOT AN ADD-ON</v>
      </c>
    </row>
    <row r="38" spans="1:22" ht="15" thickBot="1">
      <c r="A38" s="10" t="s">
        <v>21</v>
      </c>
      <c r="B38" s="10" t="s">
        <v>22</v>
      </c>
      <c r="C38" s="10" t="s">
        <v>94</v>
      </c>
      <c r="D38" s="10" t="s">
        <v>95</v>
      </c>
      <c r="E38" s="10" t="s">
        <v>96</v>
      </c>
      <c r="F38" s="10" t="s">
        <v>97</v>
      </c>
      <c r="G38" s="11">
        <v>3440</v>
      </c>
      <c r="H38" s="163" t="s">
        <v>110</v>
      </c>
      <c r="I38" s="158" t="s">
        <v>111</v>
      </c>
      <c r="J38" s="163" t="s">
        <v>108</v>
      </c>
      <c r="K38" s="10" t="s">
        <v>30</v>
      </c>
      <c r="L38" s="10">
        <v>15</v>
      </c>
      <c r="M38" s="10">
        <f t="shared" si="0"/>
        <v>5</v>
      </c>
      <c r="N38" s="10">
        <v>15</v>
      </c>
      <c r="O38" s="12">
        <v>5</v>
      </c>
      <c r="P38" s="11">
        <v>5740</v>
      </c>
      <c r="Q38" s="10" t="s">
        <v>36</v>
      </c>
      <c r="R38" s="4" t="s">
        <v>1294</v>
      </c>
      <c r="S38" s="4" t="s">
        <v>1379</v>
      </c>
      <c r="T38" s="4" t="s">
        <v>19</v>
      </c>
      <c r="U38" s="4" t="str">
        <f t="shared" si="1"/>
        <v>NOT AN ADD-ON</v>
      </c>
      <c r="V38" s="4" t="str">
        <f t="shared" si="2"/>
        <v>ASSET CONFIGURATION MANAGERACMAUTHORIZEDNOT AN ADD-ON</v>
      </c>
    </row>
    <row r="39" spans="1:22" ht="15" thickBot="1">
      <c r="A39" s="10" t="s">
        <v>21</v>
      </c>
      <c r="B39" s="10" t="s">
        <v>22</v>
      </c>
      <c r="C39" s="10" t="s">
        <v>94</v>
      </c>
      <c r="D39" s="10" t="s">
        <v>95</v>
      </c>
      <c r="E39" s="10" t="s">
        <v>96</v>
      </c>
      <c r="F39" s="10" t="s">
        <v>97</v>
      </c>
      <c r="G39" s="11">
        <v>3500</v>
      </c>
      <c r="H39" s="163" t="s">
        <v>112</v>
      </c>
      <c r="I39" s="158" t="s">
        <v>113</v>
      </c>
      <c r="J39" s="163" t="s">
        <v>114</v>
      </c>
      <c r="K39" s="10" t="s">
        <v>40</v>
      </c>
      <c r="L39" s="10">
        <v>15</v>
      </c>
      <c r="M39" s="10">
        <f t="shared" si="0"/>
        <v>15</v>
      </c>
      <c r="N39" s="10">
        <v>15</v>
      </c>
      <c r="O39" s="12">
        <v>1</v>
      </c>
      <c r="P39" s="11">
        <v>17500</v>
      </c>
      <c r="Q39" s="10" t="s">
        <v>31</v>
      </c>
      <c r="R39" s="4" t="s">
        <v>1294</v>
      </c>
      <c r="S39" s="4" t="s">
        <v>1379</v>
      </c>
      <c r="T39" s="4" t="s">
        <v>19</v>
      </c>
      <c r="U39" s="4" t="str">
        <f t="shared" si="1"/>
        <v>NOT AN ADD-ON</v>
      </c>
      <c r="V39" s="4" t="str">
        <f t="shared" si="2"/>
        <v>ASSET CONFIGURATION MANAGERACMAUTHORIZEDNOT AN ADD-ON</v>
      </c>
    </row>
    <row r="40" spans="1:22" ht="15" thickBot="1">
      <c r="A40" s="10" t="s">
        <v>21</v>
      </c>
      <c r="B40" s="10" t="s">
        <v>22</v>
      </c>
      <c r="C40" s="10" t="s">
        <v>94</v>
      </c>
      <c r="D40" s="10" t="s">
        <v>95</v>
      </c>
      <c r="E40" s="10" t="s">
        <v>96</v>
      </c>
      <c r="F40" s="10" t="s">
        <v>97</v>
      </c>
      <c r="G40" s="11">
        <v>17500</v>
      </c>
      <c r="H40" s="163" t="s">
        <v>114</v>
      </c>
      <c r="I40" s="158" t="s">
        <v>115</v>
      </c>
      <c r="J40" s="163" t="s">
        <v>114</v>
      </c>
      <c r="K40" s="10" t="s">
        <v>40</v>
      </c>
      <c r="L40" s="10">
        <v>15</v>
      </c>
      <c r="M40" s="10">
        <f t="shared" si="0"/>
        <v>15</v>
      </c>
      <c r="N40" s="10">
        <v>15</v>
      </c>
      <c r="O40" s="12">
        <v>1</v>
      </c>
      <c r="P40" s="11">
        <v>17500</v>
      </c>
      <c r="Q40" s="10" t="s">
        <v>33</v>
      </c>
      <c r="R40" s="4" t="s">
        <v>1294</v>
      </c>
      <c r="S40" s="4" t="s">
        <v>1379</v>
      </c>
      <c r="T40" s="4" t="s">
        <v>19</v>
      </c>
      <c r="U40" s="4" t="str">
        <f t="shared" si="1"/>
        <v>NOT AN ADD-ON</v>
      </c>
      <c r="V40" s="4" t="str">
        <f t="shared" si="2"/>
        <v>ASSET CONFIGURATION MANAGERACMAUTHORIZEDNOT AN ADD-ON</v>
      </c>
    </row>
    <row r="41" spans="1:22" ht="15" thickBot="1">
      <c r="A41" s="10" t="s">
        <v>21</v>
      </c>
      <c r="B41" s="10" t="s">
        <v>22</v>
      </c>
      <c r="C41" s="10" t="s">
        <v>94</v>
      </c>
      <c r="D41" s="10" t="s">
        <v>95</v>
      </c>
      <c r="E41" s="10" t="s">
        <v>96</v>
      </c>
      <c r="F41" s="10" t="s">
        <v>97</v>
      </c>
      <c r="G41" s="11">
        <v>10500</v>
      </c>
      <c r="H41" s="163" t="s">
        <v>116</v>
      </c>
      <c r="I41" s="158" t="s">
        <v>117</v>
      </c>
      <c r="J41" s="163" t="s">
        <v>114</v>
      </c>
      <c r="K41" s="10" t="s">
        <v>40</v>
      </c>
      <c r="L41" s="10">
        <v>15</v>
      </c>
      <c r="M41" s="10">
        <f t="shared" si="0"/>
        <v>15</v>
      </c>
      <c r="N41" s="10">
        <v>15</v>
      </c>
      <c r="O41" s="12">
        <v>1</v>
      </c>
      <c r="P41" s="11">
        <v>17500</v>
      </c>
      <c r="Q41" s="10" t="s">
        <v>36</v>
      </c>
      <c r="R41" s="4" t="s">
        <v>1294</v>
      </c>
      <c r="S41" s="4" t="s">
        <v>1379</v>
      </c>
      <c r="T41" s="4" t="s">
        <v>19</v>
      </c>
      <c r="U41" s="4" t="str">
        <f t="shared" si="1"/>
        <v>NOT AN ADD-ON</v>
      </c>
      <c r="V41" s="4" t="str">
        <f t="shared" si="2"/>
        <v>ASSET CONFIGURATION MANAGERACMAUTHORIZEDNOT AN ADD-ON</v>
      </c>
    </row>
    <row r="42" spans="1:22" ht="27" thickBot="1">
      <c r="A42" s="10" t="s">
        <v>21</v>
      </c>
      <c r="B42" s="10" t="s">
        <v>22</v>
      </c>
      <c r="C42" s="10" t="s">
        <v>94</v>
      </c>
      <c r="D42" s="10" t="s">
        <v>95</v>
      </c>
      <c r="E42" s="10" t="s">
        <v>96</v>
      </c>
      <c r="F42" s="10" t="s">
        <v>97</v>
      </c>
      <c r="G42" s="11">
        <v>3760</v>
      </c>
      <c r="H42" s="163" t="s">
        <v>118</v>
      </c>
      <c r="I42" s="166" t="s">
        <v>119</v>
      </c>
      <c r="J42" s="163" t="s">
        <v>120</v>
      </c>
      <c r="K42" s="10" t="s">
        <v>40</v>
      </c>
      <c r="L42" s="10">
        <v>15</v>
      </c>
      <c r="M42" s="10">
        <f t="shared" si="0"/>
        <v>15</v>
      </c>
      <c r="N42" s="10">
        <v>15</v>
      </c>
      <c r="O42" s="12">
        <v>1</v>
      </c>
      <c r="P42" s="11">
        <v>17500</v>
      </c>
      <c r="Q42" s="10" t="s">
        <v>48</v>
      </c>
      <c r="R42" s="4" t="s">
        <v>1294</v>
      </c>
      <c r="S42" s="4" t="s">
        <v>1379</v>
      </c>
      <c r="T42" s="4" t="s">
        <v>19</v>
      </c>
      <c r="U42" s="4" t="str">
        <f t="shared" si="1"/>
        <v>NOT AN ADD-ON</v>
      </c>
      <c r="V42" s="4" t="str">
        <f t="shared" si="2"/>
        <v>ASSET CONFIGURATION MANAGERACMAUTHORIZEDNOT AN ADD-ON</v>
      </c>
    </row>
    <row r="43" spans="1:22" ht="15" thickBot="1">
      <c r="A43" s="10" t="s">
        <v>21</v>
      </c>
      <c r="B43" s="10" t="s">
        <v>22</v>
      </c>
      <c r="C43" s="10" t="s">
        <v>94</v>
      </c>
      <c r="D43" s="10" t="s">
        <v>95</v>
      </c>
      <c r="E43" s="10" t="s">
        <v>96</v>
      </c>
      <c r="F43" s="10" t="s">
        <v>97</v>
      </c>
      <c r="G43" s="11">
        <v>3500</v>
      </c>
      <c r="H43" s="163" t="s">
        <v>121</v>
      </c>
      <c r="I43" s="158" t="s">
        <v>122</v>
      </c>
      <c r="J43" s="163" t="s">
        <v>120</v>
      </c>
      <c r="K43" s="10" t="s">
        <v>40</v>
      </c>
      <c r="L43" s="10">
        <v>15</v>
      </c>
      <c r="M43" s="10">
        <f t="shared" si="0"/>
        <v>15</v>
      </c>
      <c r="N43" s="10">
        <v>15</v>
      </c>
      <c r="O43" s="12">
        <v>1</v>
      </c>
      <c r="P43" s="11">
        <v>17500</v>
      </c>
      <c r="Q43" s="10" t="s">
        <v>31</v>
      </c>
      <c r="R43" s="4" t="s">
        <v>1294</v>
      </c>
      <c r="S43" s="4" t="s">
        <v>1379</v>
      </c>
      <c r="T43" s="4" t="s">
        <v>19</v>
      </c>
      <c r="U43" s="4" t="str">
        <f t="shared" si="1"/>
        <v>NOT AN ADD-ON</v>
      </c>
      <c r="V43" s="4" t="str">
        <f t="shared" si="2"/>
        <v>ASSET CONFIGURATION MANAGERACMAUTHORIZEDNOT AN ADD-ON</v>
      </c>
    </row>
    <row r="44" spans="1:22" ht="15" thickBot="1">
      <c r="A44" s="10" t="s">
        <v>21</v>
      </c>
      <c r="B44" s="10" t="s">
        <v>22</v>
      </c>
      <c r="C44" s="10" t="s">
        <v>94</v>
      </c>
      <c r="D44" s="10" t="s">
        <v>95</v>
      </c>
      <c r="E44" s="10" t="s">
        <v>96</v>
      </c>
      <c r="F44" s="10" t="s">
        <v>97</v>
      </c>
      <c r="G44" s="11">
        <v>17500</v>
      </c>
      <c r="H44" s="163" t="s">
        <v>120</v>
      </c>
      <c r="I44" s="158" t="s">
        <v>123</v>
      </c>
      <c r="J44" s="163" t="s">
        <v>120</v>
      </c>
      <c r="K44" s="10" t="s">
        <v>40</v>
      </c>
      <c r="L44" s="10">
        <v>15</v>
      </c>
      <c r="M44" s="10">
        <f t="shared" si="0"/>
        <v>15</v>
      </c>
      <c r="N44" s="10">
        <v>15</v>
      </c>
      <c r="O44" s="12">
        <v>1</v>
      </c>
      <c r="P44" s="11">
        <v>17500</v>
      </c>
      <c r="Q44" s="10" t="s">
        <v>33</v>
      </c>
      <c r="R44" s="4" t="s">
        <v>1294</v>
      </c>
      <c r="S44" s="4" t="s">
        <v>1379</v>
      </c>
      <c r="T44" s="4" t="s">
        <v>19</v>
      </c>
      <c r="U44" s="4" t="str">
        <f t="shared" si="1"/>
        <v>NOT AN ADD-ON</v>
      </c>
      <c r="V44" s="4" t="str">
        <f t="shared" si="2"/>
        <v>ASSET CONFIGURATION MANAGERACMAUTHORIZEDNOT AN ADD-ON</v>
      </c>
    </row>
    <row r="45" spans="1:22" ht="15" thickBot="1">
      <c r="A45" s="10" t="s">
        <v>21</v>
      </c>
      <c r="B45" s="10" t="s">
        <v>22</v>
      </c>
      <c r="C45" s="10" t="s">
        <v>94</v>
      </c>
      <c r="D45" s="10" t="s">
        <v>95</v>
      </c>
      <c r="E45" s="10" t="s">
        <v>96</v>
      </c>
      <c r="F45" s="10" t="s">
        <v>97</v>
      </c>
      <c r="G45" s="11">
        <v>10500</v>
      </c>
      <c r="H45" s="163" t="s">
        <v>124</v>
      </c>
      <c r="I45" s="158" t="s">
        <v>125</v>
      </c>
      <c r="J45" s="163" t="s">
        <v>120</v>
      </c>
      <c r="K45" s="10" t="s">
        <v>40</v>
      </c>
      <c r="L45" s="10">
        <v>15</v>
      </c>
      <c r="M45" s="10">
        <f t="shared" si="0"/>
        <v>15</v>
      </c>
      <c r="N45" s="10">
        <v>15</v>
      </c>
      <c r="O45" s="12">
        <v>1</v>
      </c>
      <c r="P45" s="11">
        <v>17500</v>
      </c>
      <c r="Q45" s="10" t="s">
        <v>36</v>
      </c>
      <c r="R45" s="4" t="s">
        <v>1294</v>
      </c>
      <c r="S45" s="4" t="s">
        <v>1379</v>
      </c>
      <c r="T45" s="4" t="s">
        <v>19</v>
      </c>
      <c r="U45" s="4" t="str">
        <f t="shared" si="1"/>
        <v>NOT AN ADD-ON</v>
      </c>
      <c r="V45" s="4" t="str">
        <f t="shared" si="2"/>
        <v>ASSET CONFIGURATION MANAGERACMAUTHORIZEDNOT AN ADD-ON</v>
      </c>
    </row>
    <row r="46" spans="1:22" ht="15" thickBot="1">
      <c r="A46" s="10" t="s">
        <v>21</v>
      </c>
      <c r="B46" s="10" t="s">
        <v>22</v>
      </c>
      <c r="C46" s="10" t="s">
        <v>94</v>
      </c>
      <c r="D46" s="10" t="s">
        <v>95</v>
      </c>
      <c r="E46" s="10" t="s">
        <v>96</v>
      </c>
      <c r="F46" s="10" t="s">
        <v>97</v>
      </c>
      <c r="G46" s="11">
        <v>3760</v>
      </c>
      <c r="H46" s="163" t="s">
        <v>126</v>
      </c>
      <c r="I46" s="166" t="s">
        <v>127</v>
      </c>
      <c r="J46" s="163" t="s">
        <v>114</v>
      </c>
      <c r="K46" s="10" t="s">
        <v>40</v>
      </c>
      <c r="L46" s="10">
        <v>15</v>
      </c>
      <c r="M46" s="10">
        <f t="shared" si="0"/>
        <v>15</v>
      </c>
      <c r="N46" s="10">
        <v>15</v>
      </c>
      <c r="O46" s="12">
        <v>1</v>
      </c>
      <c r="P46" s="11">
        <v>17500</v>
      </c>
      <c r="Q46" s="10" t="s">
        <v>48</v>
      </c>
      <c r="R46" s="4" t="s">
        <v>1294</v>
      </c>
      <c r="S46" s="4" t="s">
        <v>1379</v>
      </c>
      <c r="T46" s="4" t="s">
        <v>19</v>
      </c>
      <c r="U46" s="4" t="str">
        <f t="shared" si="1"/>
        <v>NOT AN ADD-ON</v>
      </c>
      <c r="V46" s="4" t="str">
        <f t="shared" si="2"/>
        <v>ASSET CONFIGURATION MANAGERACMAUTHORIZEDNOT AN ADD-ON</v>
      </c>
    </row>
    <row r="47" spans="1:22" ht="15" thickBot="1">
      <c r="A47" s="10" t="s">
        <v>21</v>
      </c>
      <c r="B47" s="10" t="s">
        <v>22</v>
      </c>
      <c r="C47" s="10" t="s">
        <v>94</v>
      </c>
      <c r="D47" s="10" t="s">
        <v>95</v>
      </c>
      <c r="E47" s="10" t="s">
        <v>96</v>
      </c>
      <c r="F47" s="10" t="s">
        <v>97</v>
      </c>
      <c r="G47" s="11">
        <v>1790</v>
      </c>
      <c r="H47" s="163" t="s">
        <v>128</v>
      </c>
      <c r="I47" s="158" t="s">
        <v>129</v>
      </c>
      <c r="J47" s="163" t="s">
        <v>130</v>
      </c>
      <c r="K47" s="10" t="s">
        <v>101</v>
      </c>
      <c r="L47" s="10" t="s">
        <v>102</v>
      </c>
      <c r="M47" s="10" t="e">
        <f t="shared" si="0"/>
        <v>#VALUE!</v>
      </c>
      <c r="N47" s="10">
        <v>15</v>
      </c>
      <c r="O47" s="12">
        <v>5</v>
      </c>
      <c r="P47" s="11">
        <v>8980</v>
      </c>
      <c r="Q47" s="10" t="s">
        <v>31</v>
      </c>
      <c r="R47" s="4" t="s">
        <v>1294</v>
      </c>
      <c r="S47" s="4" t="s">
        <v>1379</v>
      </c>
      <c r="T47" s="4" t="s">
        <v>1380</v>
      </c>
      <c r="U47" s="4" t="str">
        <f t="shared" si="1"/>
        <v>NOT AN ADD-ON</v>
      </c>
      <c r="V47" s="4" t="str">
        <f t="shared" si="2"/>
        <v>ASSET CONFIGURATION MANAGERACMASSETNOT AN ADD-ON</v>
      </c>
    </row>
    <row r="48" spans="1:22" ht="15" thickBot="1">
      <c r="A48" s="10" t="s">
        <v>21</v>
      </c>
      <c r="B48" s="10" t="s">
        <v>22</v>
      </c>
      <c r="C48" s="10" t="s">
        <v>94</v>
      </c>
      <c r="D48" s="10" t="s">
        <v>95</v>
      </c>
      <c r="E48" s="10" t="s">
        <v>96</v>
      </c>
      <c r="F48" s="10" t="s">
        <v>97</v>
      </c>
      <c r="G48" s="11">
        <v>8980</v>
      </c>
      <c r="H48" s="163" t="s">
        <v>130</v>
      </c>
      <c r="I48" s="158" t="s">
        <v>131</v>
      </c>
      <c r="J48" s="163" t="s">
        <v>130</v>
      </c>
      <c r="K48" s="10" t="s">
        <v>101</v>
      </c>
      <c r="L48" s="10" t="s">
        <v>102</v>
      </c>
      <c r="M48" s="10" t="e">
        <f t="shared" si="0"/>
        <v>#VALUE!</v>
      </c>
      <c r="N48" s="10">
        <v>15</v>
      </c>
      <c r="O48" s="12">
        <v>5</v>
      </c>
      <c r="P48" s="11">
        <v>8980</v>
      </c>
      <c r="Q48" s="10" t="s">
        <v>33</v>
      </c>
      <c r="R48" s="4" t="s">
        <v>1294</v>
      </c>
      <c r="S48" s="4" t="s">
        <v>1379</v>
      </c>
      <c r="T48" s="4" t="s">
        <v>1380</v>
      </c>
      <c r="U48" s="4" t="str">
        <f t="shared" si="1"/>
        <v>NOT AN ADD-ON</v>
      </c>
      <c r="V48" s="4" t="str">
        <f t="shared" si="2"/>
        <v>ASSET CONFIGURATION MANAGERACMASSETNOT AN ADD-ON</v>
      </c>
    </row>
    <row r="49" spans="1:22" ht="15" thickBot="1">
      <c r="A49" s="10" t="s">
        <v>21</v>
      </c>
      <c r="B49" s="10" t="s">
        <v>22</v>
      </c>
      <c r="C49" s="10" t="s">
        <v>94</v>
      </c>
      <c r="D49" s="10" t="s">
        <v>95</v>
      </c>
      <c r="E49" s="10" t="s">
        <v>96</v>
      </c>
      <c r="F49" s="10" t="s">
        <v>97</v>
      </c>
      <c r="G49" s="11">
        <v>5390</v>
      </c>
      <c r="H49" s="163" t="s">
        <v>132</v>
      </c>
      <c r="I49" s="158" t="s">
        <v>133</v>
      </c>
      <c r="J49" s="163" t="s">
        <v>130</v>
      </c>
      <c r="K49" s="10" t="s">
        <v>101</v>
      </c>
      <c r="L49" s="10" t="s">
        <v>102</v>
      </c>
      <c r="M49" s="10" t="e">
        <f t="shared" si="0"/>
        <v>#VALUE!</v>
      </c>
      <c r="N49" s="10">
        <v>15</v>
      </c>
      <c r="O49" s="12">
        <v>5</v>
      </c>
      <c r="P49" s="11">
        <v>8980</v>
      </c>
      <c r="Q49" s="10" t="s">
        <v>36</v>
      </c>
      <c r="R49" s="4" t="s">
        <v>1294</v>
      </c>
      <c r="S49" s="4" t="s">
        <v>1379</v>
      </c>
      <c r="T49" s="4" t="s">
        <v>1380</v>
      </c>
      <c r="U49" s="4" t="str">
        <f t="shared" si="1"/>
        <v>NOT AN ADD-ON</v>
      </c>
      <c r="V49" s="4" t="str">
        <f t="shared" si="2"/>
        <v>ASSET CONFIGURATION MANAGERACMASSETNOT AN ADD-ON</v>
      </c>
    </row>
    <row r="50" spans="1:22" ht="15" thickBot="1">
      <c r="A50" s="10" t="s">
        <v>21</v>
      </c>
      <c r="B50" s="10" t="s">
        <v>22</v>
      </c>
      <c r="C50" s="10" t="s">
        <v>94</v>
      </c>
      <c r="D50" s="10" t="s">
        <v>95</v>
      </c>
      <c r="E50" s="10" t="s">
        <v>96</v>
      </c>
      <c r="F50" s="10" t="s">
        <v>97</v>
      </c>
      <c r="G50" s="11">
        <v>1140</v>
      </c>
      <c r="H50" s="163" t="s">
        <v>134</v>
      </c>
      <c r="I50" s="158" t="s">
        <v>135</v>
      </c>
      <c r="J50" s="163" t="s">
        <v>136</v>
      </c>
      <c r="K50" s="10" t="s">
        <v>30</v>
      </c>
      <c r="L50" s="10">
        <v>15</v>
      </c>
      <c r="M50" s="10">
        <f t="shared" si="0"/>
        <v>5</v>
      </c>
      <c r="N50" s="10">
        <v>15</v>
      </c>
      <c r="O50" s="12">
        <v>5</v>
      </c>
      <c r="P50" s="11">
        <v>5740</v>
      </c>
      <c r="Q50" s="10" t="s">
        <v>31</v>
      </c>
      <c r="R50" s="4" t="s">
        <v>1294</v>
      </c>
      <c r="S50" s="4" t="s">
        <v>1379</v>
      </c>
      <c r="T50" s="4" t="s">
        <v>19</v>
      </c>
      <c r="U50" s="4" t="str">
        <f t="shared" si="1"/>
        <v>NOT AN ADD-ON</v>
      </c>
      <c r="V50" s="4" t="str">
        <f t="shared" si="2"/>
        <v>ASSET CONFIGURATION MANAGERACMAUTHORIZEDNOT AN ADD-ON</v>
      </c>
    </row>
    <row r="51" spans="1:22" ht="15" thickBot="1">
      <c r="A51" s="10" t="s">
        <v>21</v>
      </c>
      <c r="B51" s="10" t="s">
        <v>22</v>
      </c>
      <c r="C51" s="10" t="s">
        <v>94</v>
      </c>
      <c r="D51" s="10" t="s">
        <v>95</v>
      </c>
      <c r="E51" s="10" t="s">
        <v>96</v>
      </c>
      <c r="F51" s="10" t="s">
        <v>97</v>
      </c>
      <c r="G51" s="11">
        <v>5740</v>
      </c>
      <c r="H51" s="163" t="s">
        <v>136</v>
      </c>
      <c r="I51" s="158" t="s">
        <v>137</v>
      </c>
      <c r="J51" s="163" t="s">
        <v>136</v>
      </c>
      <c r="K51" s="10" t="s">
        <v>30</v>
      </c>
      <c r="L51" s="10">
        <v>15</v>
      </c>
      <c r="M51" s="10">
        <f t="shared" si="0"/>
        <v>5</v>
      </c>
      <c r="N51" s="10">
        <v>15</v>
      </c>
      <c r="O51" s="12">
        <v>5</v>
      </c>
      <c r="P51" s="11">
        <v>5740</v>
      </c>
      <c r="Q51" s="10" t="s">
        <v>33</v>
      </c>
      <c r="R51" s="4" t="s">
        <v>1294</v>
      </c>
      <c r="S51" s="4" t="s">
        <v>1379</v>
      </c>
      <c r="T51" s="4" t="s">
        <v>19</v>
      </c>
      <c r="U51" s="4" t="str">
        <f t="shared" si="1"/>
        <v>NOT AN ADD-ON</v>
      </c>
      <c r="V51" s="4" t="str">
        <f t="shared" si="2"/>
        <v>ASSET CONFIGURATION MANAGERACMAUTHORIZEDNOT AN ADD-ON</v>
      </c>
    </row>
    <row r="52" spans="1:22" ht="15" thickBot="1">
      <c r="A52" s="10" t="s">
        <v>21</v>
      </c>
      <c r="B52" s="10" t="s">
        <v>22</v>
      </c>
      <c r="C52" s="10" t="s">
        <v>94</v>
      </c>
      <c r="D52" s="10" t="s">
        <v>95</v>
      </c>
      <c r="E52" s="10" t="s">
        <v>96</v>
      </c>
      <c r="F52" s="10" t="s">
        <v>97</v>
      </c>
      <c r="G52" s="11">
        <v>3440</v>
      </c>
      <c r="H52" s="163" t="s">
        <v>138</v>
      </c>
      <c r="I52" s="158" t="s">
        <v>139</v>
      </c>
      <c r="J52" s="163" t="s">
        <v>136</v>
      </c>
      <c r="K52" s="10" t="s">
        <v>30</v>
      </c>
      <c r="L52" s="10">
        <v>15</v>
      </c>
      <c r="M52" s="10">
        <f t="shared" si="0"/>
        <v>5</v>
      </c>
      <c r="N52" s="10">
        <v>15</v>
      </c>
      <c r="O52" s="12">
        <v>5</v>
      </c>
      <c r="P52" s="11">
        <v>5740</v>
      </c>
      <c r="Q52" s="10" t="s">
        <v>36</v>
      </c>
      <c r="R52" s="4" t="s">
        <v>1294</v>
      </c>
      <c r="S52" s="4" t="s">
        <v>1379</v>
      </c>
      <c r="T52" s="4" t="s">
        <v>19</v>
      </c>
      <c r="U52" s="4" t="str">
        <f t="shared" si="1"/>
        <v>NOT AN ADD-ON</v>
      </c>
      <c r="V52" s="4" t="str">
        <f t="shared" si="2"/>
        <v>ASSET CONFIGURATION MANAGERACMAUTHORIZEDNOT AN ADD-ON</v>
      </c>
    </row>
    <row r="53" spans="1:22" ht="15" thickBot="1">
      <c r="A53" s="10" t="s">
        <v>21</v>
      </c>
      <c r="B53" s="10" t="s">
        <v>22</v>
      </c>
      <c r="C53" s="10" t="s">
        <v>140</v>
      </c>
      <c r="D53" s="10" t="s">
        <v>141</v>
      </c>
      <c r="E53" s="10" t="s">
        <v>142</v>
      </c>
      <c r="F53" s="10" t="s">
        <v>143</v>
      </c>
      <c r="G53" s="11">
        <v>4090</v>
      </c>
      <c r="H53" s="163" t="s">
        <v>144</v>
      </c>
      <c r="I53" s="166" t="s">
        <v>145</v>
      </c>
      <c r="J53" s="170" t="s">
        <v>146</v>
      </c>
      <c r="K53" s="10" t="s">
        <v>30</v>
      </c>
      <c r="L53" s="10">
        <v>10</v>
      </c>
      <c r="M53" s="10">
        <f t="shared" si="0"/>
        <v>3.33</v>
      </c>
      <c r="N53" s="10">
        <v>10</v>
      </c>
      <c r="O53" s="12">
        <v>3.3333333333333335</v>
      </c>
      <c r="P53" s="11">
        <v>6390</v>
      </c>
      <c r="Q53" s="10" t="s">
        <v>48</v>
      </c>
      <c r="R53" s="4" t="s">
        <v>1278</v>
      </c>
      <c r="S53" s="4" t="s">
        <v>1278</v>
      </c>
      <c r="T53" s="4" t="s">
        <v>19</v>
      </c>
      <c r="U53" s="4" t="str">
        <f t="shared" si="1"/>
        <v>NOT AN ADD-ON</v>
      </c>
      <c r="V53" s="4" t="str">
        <f t="shared" si="2"/>
        <v>ASSET MANAGEMENT (CORE)ASSET MANAGEMENT (CORE)AUTHORIZEDNOT AN ADD-ON</v>
      </c>
    </row>
    <row r="54" spans="1:22" ht="15" thickBot="1">
      <c r="A54" s="10" t="s">
        <v>21</v>
      </c>
      <c r="B54" s="10" t="s">
        <v>22</v>
      </c>
      <c r="C54" s="10" t="s">
        <v>140</v>
      </c>
      <c r="D54" s="10" t="s">
        <v>141</v>
      </c>
      <c r="E54" s="10" t="s">
        <v>142</v>
      </c>
      <c r="F54" s="10" t="s">
        <v>143</v>
      </c>
      <c r="G54" s="11">
        <v>1290</v>
      </c>
      <c r="H54" s="163" t="s">
        <v>147</v>
      </c>
      <c r="I54" s="158" t="s">
        <v>148</v>
      </c>
      <c r="J54" s="163" t="s">
        <v>146</v>
      </c>
      <c r="K54" s="10" t="s">
        <v>30</v>
      </c>
      <c r="L54" s="10">
        <v>10</v>
      </c>
      <c r="M54" s="10">
        <f t="shared" si="0"/>
        <v>3.33</v>
      </c>
      <c r="N54" s="10">
        <v>10</v>
      </c>
      <c r="O54" s="12">
        <v>3.3333333333333335</v>
      </c>
      <c r="P54" s="11">
        <v>6390</v>
      </c>
      <c r="Q54" s="10" t="s">
        <v>31</v>
      </c>
      <c r="R54" s="4" t="s">
        <v>1278</v>
      </c>
      <c r="S54" s="4" t="s">
        <v>1278</v>
      </c>
      <c r="T54" s="4" t="s">
        <v>19</v>
      </c>
      <c r="U54" s="4" t="str">
        <f t="shared" si="1"/>
        <v>NOT AN ADD-ON</v>
      </c>
      <c r="V54" s="4" t="str">
        <f t="shared" si="2"/>
        <v>ASSET MANAGEMENT (CORE)ASSET MANAGEMENT (CORE)AUTHORIZEDNOT AN ADD-ON</v>
      </c>
    </row>
    <row r="55" spans="1:22" ht="15" thickBot="1">
      <c r="A55" s="10" t="s">
        <v>21</v>
      </c>
      <c r="B55" s="10" t="s">
        <v>22</v>
      </c>
      <c r="C55" s="10" t="s">
        <v>140</v>
      </c>
      <c r="D55" s="10" t="s">
        <v>141</v>
      </c>
      <c r="E55" s="10" t="s">
        <v>142</v>
      </c>
      <c r="F55" s="10" t="s">
        <v>143</v>
      </c>
      <c r="G55" s="11">
        <v>6390</v>
      </c>
      <c r="H55" s="163" t="s">
        <v>146</v>
      </c>
      <c r="I55" s="158" t="s">
        <v>149</v>
      </c>
      <c r="J55" s="163" t="s">
        <v>146</v>
      </c>
      <c r="K55" s="10" t="s">
        <v>30</v>
      </c>
      <c r="L55" s="10">
        <v>10</v>
      </c>
      <c r="M55" s="10">
        <f t="shared" si="0"/>
        <v>3.33</v>
      </c>
      <c r="N55" s="10">
        <v>10</v>
      </c>
      <c r="O55" s="12">
        <v>3.3333333333333335</v>
      </c>
      <c r="P55" s="11">
        <v>6390</v>
      </c>
      <c r="Q55" s="10" t="s">
        <v>33</v>
      </c>
      <c r="R55" s="4" t="s">
        <v>1278</v>
      </c>
      <c r="S55" s="4" t="s">
        <v>1278</v>
      </c>
      <c r="T55" s="4" t="s">
        <v>19</v>
      </c>
      <c r="U55" s="4" t="str">
        <f t="shared" si="1"/>
        <v>NOT AN ADD-ON</v>
      </c>
      <c r="V55" s="4" t="str">
        <f t="shared" si="2"/>
        <v>ASSET MANAGEMENT (CORE)ASSET MANAGEMENT (CORE)AUTHORIZEDNOT AN ADD-ON</v>
      </c>
    </row>
    <row r="56" spans="1:22" ht="15" thickBot="1">
      <c r="A56" s="10" t="s">
        <v>21</v>
      </c>
      <c r="B56" s="10" t="s">
        <v>22</v>
      </c>
      <c r="C56" s="10" t="s">
        <v>140</v>
      </c>
      <c r="D56" s="10" t="s">
        <v>141</v>
      </c>
      <c r="E56" s="10" t="s">
        <v>142</v>
      </c>
      <c r="F56" s="10" t="s">
        <v>143</v>
      </c>
      <c r="G56" s="11">
        <v>3830</v>
      </c>
      <c r="H56" s="163" t="s">
        <v>150</v>
      </c>
      <c r="I56" s="158" t="s">
        <v>151</v>
      </c>
      <c r="J56" s="163" t="s">
        <v>146</v>
      </c>
      <c r="K56" s="10" t="s">
        <v>30</v>
      </c>
      <c r="L56" s="10">
        <v>10</v>
      </c>
      <c r="M56" s="10">
        <f t="shared" si="0"/>
        <v>3.33</v>
      </c>
      <c r="N56" s="10">
        <v>10</v>
      </c>
      <c r="O56" s="12">
        <v>3.3333333333333335</v>
      </c>
      <c r="P56" s="11">
        <v>6390</v>
      </c>
      <c r="Q56" s="10" t="s">
        <v>36</v>
      </c>
      <c r="R56" s="4" t="s">
        <v>1278</v>
      </c>
      <c r="S56" s="4" t="s">
        <v>1278</v>
      </c>
      <c r="T56" s="4" t="s">
        <v>19</v>
      </c>
      <c r="U56" s="4" t="str">
        <f t="shared" si="1"/>
        <v>NOT AN ADD-ON</v>
      </c>
      <c r="V56" s="4" t="str">
        <f t="shared" si="2"/>
        <v>ASSET MANAGEMENT (CORE)ASSET MANAGEMENT (CORE)AUTHORIZEDNOT AN ADD-ON</v>
      </c>
    </row>
    <row r="57" spans="1:22" ht="15" thickBot="1">
      <c r="A57" s="10" t="s">
        <v>21</v>
      </c>
      <c r="B57" s="10" t="s">
        <v>22</v>
      </c>
      <c r="C57" s="10" t="s">
        <v>140</v>
      </c>
      <c r="D57" s="10" t="s">
        <v>141</v>
      </c>
      <c r="E57" s="10" t="s">
        <v>142</v>
      </c>
      <c r="F57" s="10" t="s">
        <v>143</v>
      </c>
      <c r="G57" s="11">
        <v>3890</v>
      </c>
      <c r="H57" s="163" t="s">
        <v>152</v>
      </c>
      <c r="I57" s="158" t="s">
        <v>153</v>
      </c>
      <c r="J57" s="163" t="s">
        <v>154</v>
      </c>
      <c r="K57" s="10" t="s">
        <v>40</v>
      </c>
      <c r="L57" s="10">
        <v>10</v>
      </c>
      <c r="M57" s="10">
        <f t="shared" si="0"/>
        <v>10</v>
      </c>
      <c r="N57" s="10">
        <v>10</v>
      </c>
      <c r="O57" s="12">
        <v>1</v>
      </c>
      <c r="P57" s="11">
        <v>19400</v>
      </c>
      <c r="Q57" s="10" t="s">
        <v>31</v>
      </c>
      <c r="R57" s="4" t="s">
        <v>1278</v>
      </c>
      <c r="S57" s="4" t="s">
        <v>1278</v>
      </c>
      <c r="T57" s="4" t="s">
        <v>19</v>
      </c>
      <c r="U57" s="4" t="str">
        <f t="shared" si="1"/>
        <v>NOT AN ADD-ON</v>
      </c>
      <c r="V57" s="4" t="str">
        <f t="shared" si="2"/>
        <v>ASSET MANAGEMENT (CORE)ASSET MANAGEMENT (CORE)AUTHORIZEDNOT AN ADD-ON</v>
      </c>
    </row>
    <row r="58" spans="1:22" ht="29.25" customHeight="1" thickBot="1">
      <c r="A58" s="10" t="s">
        <v>21</v>
      </c>
      <c r="B58" s="10" t="s">
        <v>22</v>
      </c>
      <c r="C58" s="10" t="s">
        <v>140</v>
      </c>
      <c r="D58" s="10" t="s">
        <v>141</v>
      </c>
      <c r="E58" s="10" t="s">
        <v>142</v>
      </c>
      <c r="F58" s="10" t="s">
        <v>143</v>
      </c>
      <c r="G58" s="11">
        <v>19400</v>
      </c>
      <c r="H58" s="163" t="s">
        <v>154</v>
      </c>
      <c r="I58" s="158" t="s">
        <v>155</v>
      </c>
      <c r="J58" s="163" t="s">
        <v>154</v>
      </c>
      <c r="K58" s="10" t="s">
        <v>40</v>
      </c>
      <c r="L58" s="10">
        <v>10</v>
      </c>
      <c r="M58" s="10">
        <f t="shared" si="0"/>
        <v>10</v>
      </c>
      <c r="N58" s="10">
        <v>10</v>
      </c>
      <c r="O58" s="12">
        <v>1</v>
      </c>
      <c r="P58" s="11">
        <v>19400</v>
      </c>
      <c r="Q58" s="10" t="s">
        <v>33</v>
      </c>
      <c r="R58" s="4" t="s">
        <v>1278</v>
      </c>
      <c r="S58" s="4" t="s">
        <v>1278</v>
      </c>
      <c r="T58" s="4" t="s">
        <v>19</v>
      </c>
      <c r="U58" s="4" t="str">
        <f t="shared" si="1"/>
        <v>NOT AN ADD-ON</v>
      </c>
      <c r="V58" s="4" t="str">
        <f t="shared" si="2"/>
        <v>ASSET MANAGEMENT (CORE)ASSET MANAGEMENT (CORE)AUTHORIZEDNOT AN ADD-ON</v>
      </c>
    </row>
    <row r="59" spans="1:22" ht="29.25" customHeight="1" thickBot="1">
      <c r="A59" s="10" t="s">
        <v>21</v>
      </c>
      <c r="B59" s="10" t="s">
        <v>22</v>
      </c>
      <c r="C59" s="10" t="s">
        <v>140</v>
      </c>
      <c r="D59" s="10" t="s">
        <v>141</v>
      </c>
      <c r="E59" s="10" t="s">
        <v>142</v>
      </c>
      <c r="F59" s="10" t="s">
        <v>143</v>
      </c>
      <c r="G59" s="11">
        <v>11600</v>
      </c>
      <c r="H59" s="163" t="s">
        <v>156</v>
      </c>
      <c r="I59" s="158" t="s">
        <v>157</v>
      </c>
      <c r="J59" s="163" t="s">
        <v>154</v>
      </c>
      <c r="K59" s="10" t="s">
        <v>40</v>
      </c>
      <c r="L59" s="10">
        <v>10</v>
      </c>
      <c r="M59" s="10">
        <f t="shared" si="0"/>
        <v>10</v>
      </c>
      <c r="N59" s="10">
        <v>10</v>
      </c>
      <c r="O59" s="12">
        <v>1</v>
      </c>
      <c r="P59" s="11">
        <v>19400</v>
      </c>
      <c r="Q59" s="10" t="s">
        <v>36</v>
      </c>
      <c r="R59" s="4" t="s">
        <v>1278</v>
      </c>
      <c r="S59" s="4" t="s">
        <v>1278</v>
      </c>
      <c r="T59" s="4" t="s">
        <v>19</v>
      </c>
      <c r="U59" s="4" t="str">
        <f t="shared" si="1"/>
        <v>NOT AN ADD-ON</v>
      </c>
      <c r="V59" s="4" t="str">
        <f t="shared" si="2"/>
        <v>ASSET MANAGEMENT (CORE)ASSET MANAGEMENT (CORE)AUTHORIZEDNOT AN ADD-ON</v>
      </c>
    </row>
    <row r="60" spans="1:22" ht="29.25" customHeight="1" thickBot="1">
      <c r="A60" s="10" t="s">
        <v>21</v>
      </c>
      <c r="B60" s="10" t="s">
        <v>22</v>
      </c>
      <c r="C60" s="10" t="s">
        <v>140</v>
      </c>
      <c r="D60" s="10" t="s">
        <v>141</v>
      </c>
      <c r="E60" s="10" t="s">
        <v>142</v>
      </c>
      <c r="F60" s="10" t="s">
        <v>143</v>
      </c>
      <c r="G60" s="11">
        <v>13000</v>
      </c>
      <c r="H60" s="163" t="s">
        <v>158</v>
      </c>
      <c r="I60" s="158" t="s">
        <v>159</v>
      </c>
      <c r="J60" s="163" t="s">
        <v>160</v>
      </c>
      <c r="K60" s="10" t="s">
        <v>40</v>
      </c>
      <c r="L60" s="10">
        <v>10</v>
      </c>
      <c r="M60" s="10">
        <f t="shared" si="0"/>
        <v>10</v>
      </c>
      <c r="N60" s="10">
        <v>10</v>
      </c>
      <c r="O60" s="12">
        <v>1</v>
      </c>
      <c r="P60" s="11">
        <v>19400</v>
      </c>
      <c r="Q60" s="10" t="s">
        <v>48</v>
      </c>
      <c r="R60" s="4" t="s">
        <v>1278</v>
      </c>
      <c r="S60" s="4" t="s">
        <v>1278</v>
      </c>
      <c r="T60" s="4" t="s">
        <v>19</v>
      </c>
      <c r="U60" s="4" t="str">
        <f t="shared" si="1"/>
        <v>NOT AN ADD-ON</v>
      </c>
      <c r="V60" s="4" t="str">
        <f t="shared" si="2"/>
        <v>ASSET MANAGEMENT (CORE)ASSET MANAGEMENT (CORE)AUTHORIZEDNOT AN ADD-ON</v>
      </c>
    </row>
    <row r="61" spans="1:22" ht="27" thickBot="1">
      <c r="A61" s="10" t="s">
        <v>21</v>
      </c>
      <c r="B61" s="10" t="s">
        <v>22</v>
      </c>
      <c r="C61" s="10" t="s">
        <v>140</v>
      </c>
      <c r="D61" s="10" t="s">
        <v>141</v>
      </c>
      <c r="E61" s="10" t="s">
        <v>142</v>
      </c>
      <c r="F61" s="10" t="s">
        <v>143</v>
      </c>
      <c r="G61" s="11">
        <v>4180</v>
      </c>
      <c r="H61" s="163" t="s">
        <v>161</v>
      </c>
      <c r="I61" s="166" t="s">
        <v>162</v>
      </c>
      <c r="J61" s="163" t="s">
        <v>160</v>
      </c>
      <c r="K61" s="10" t="s">
        <v>40</v>
      </c>
      <c r="L61" s="10">
        <v>10</v>
      </c>
      <c r="M61" s="10">
        <f t="shared" si="0"/>
        <v>10</v>
      </c>
      <c r="N61" s="10">
        <v>10</v>
      </c>
      <c r="O61" s="12">
        <v>1</v>
      </c>
      <c r="P61" s="11">
        <v>19400</v>
      </c>
      <c r="Q61" s="10" t="s">
        <v>48</v>
      </c>
      <c r="R61" s="4" t="s">
        <v>1278</v>
      </c>
      <c r="S61" s="4" t="s">
        <v>1278</v>
      </c>
      <c r="T61" s="4" t="s">
        <v>19</v>
      </c>
      <c r="U61" s="4" t="str">
        <f t="shared" si="1"/>
        <v>NOT AN ADD-ON</v>
      </c>
      <c r="V61" s="4" t="str">
        <f t="shared" si="2"/>
        <v>ASSET MANAGEMENT (CORE)ASSET MANAGEMENT (CORE)AUTHORIZEDNOT AN ADD-ON</v>
      </c>
    </row>
    <row r="62" spans="1:22" ht="27" thickBot="1">
      <c r="A62" s="10" t="s">
        <v>21</v>
      </c>
      <c r="B62" s="10" t="s">
        <v>22</v>
      </c>
      <c r="C62" s="10" t="s">
        <v>140</v>
      </c>
      <c r="D62" s="10" t="s">
        <v>141</v>
      </c>
      <c r="E62" s="10" t="s">
        <v>142</v>
      </c>
      <c r="F62" s="10" t="s">
        <v>143</v>
      </c>
      <c r="G62" s="11">
        <v>18400</v>
      </c>
      <c r="H62" s="163" t="s">
        <v>163</v>
      </c>
      <c r="I62" s="166" t="s">
        <v>164</v>
      </c>
      <c r="J62" s="163" t="s">
        <v>160</v>
      </c>
      <c r="K62" s="10" t="s">
        <v>40</v>
      </c>
      <c r="L62" s="10">
        <v>10</v>
      </c>
      <c r="M62" s="10">
        <f t="shared" si="0"/>
        <v>10</v>
      </c>
      <c r="N62" s="10">
        <v>10</v>
      </c>
      <c r="O62" s="12">
        <v>1</v>
      </c>
      <c r="P62" s="11">
        <v>19400</v>
      </c>
      <c r="Q62" s="10" t="s">
        <v>48</v>
      </c>
      <c r="R62" s="4" t="s">
        <v>1278</v>
      </c>
      <c r="S62" s="4" t="s">
        <v>1278</v>
      </c>
      <c r="T62" s="4" t="s">
        <v>19</v>
      </c>
      <c r="U62" s="4" t="str">
        <f t="shared" si="1"/>
        <v>NOT AN ADD-ON</v>
      </c>
      <c r="V62" s="4" t="str">
        <f t="shared" si="2"/>
        <v>ASSET MANAGEMENT (CORE)ASSET MANAGEMENT (CORE)AUTHORIZEDNOT AN ADD-ON</v>
      </c>
    </row>
    <row r="63" spans="1:22" ht="15" thickBot="1">
      <c r="A63" s="10" t="s">
        <v>21</v>
      </c>
      <c r="B63" s="10" t="s">
        <v>22</v>
      </c>
      <c r="C63" s="10" t="s">
        <v>140</v>
      </c>
      <c r="D63" s="10" t="s">
        <v>141</v>
      </c>
      <c r="E63" s="10" t="s">
        <v>142</v>
      </c>
      <c r="F63" s="10" t="s">
        <v>143</v>
      </c>
      <c r="G63" s="11">
        <v>3890</v>
      </c>
      <c r="H63" s="163" t="s">
        <v>165</v>
      </c>
      <c r="I63" s="158" t="s">
        <v>166</v>
      </c>
      <c r="J63" s="163" t="s">
        <v>160</v>
      </c>
      <c r="K63" s="10" t="s">
        <v>40</v>
      </c>
      <c r="L63" s="10">
        <v>10</v>
      </c>
      <c r="M63" s="10">
        <f t="shared" si="0"/>
        <v>10</v>
      </c>
      <c r="N63" s="10">
        <v>10</v>
      </c>
      <c r="O63" s="12">
        <v>1</v>
      </c>
      <c r="P63" s="11">
        <v>19400</v>
      </c>
      <c r="Q63" s="10" t="s">
        <v>31</v>
      </c>
      <c r="R63" s="4" t="s">
        <v>1278</v>
      </c>
      <c r="S63" s="4" t="s">
        <v>1278</v>
      </c>
      <c r="T63" s="4" t="s">
        <v>19</v>
      </c>
      <c r="U63" s="4" t="str">
        <f t="shared" si="1"/>
        <v>NOT AN ADD-ON</v>
      </c>
      <c r="V63" s="4" t="str">
        <f t="shared" si="2"/>
        <v>ASSET MANAGEMENT (CORE)ASSET MANAGEMENT (CORE)AUTHORIZEDNOT AN ADD-ON</v>
      </c>
    </row>
    <row r="64" spans="1:22" ht="15" thickBot="1">
      <c r="A64" s="10" t="s">
        <v>21</v>
      </c>
      <c r="B64" s="10" t="s">
        <v>22</v>
      </c>
      <c r="C64" s="10" t="s">
        <v>140</v>
      </c>
      <c r="D64" s="10" t="s">
        <v>141</v>
      </c>
      <c r="E64" s="10" t="s">
        <v>142</v>
      </c>
      <c r="F64" s="10" t="s">
        <v>143</v>
      </c>
      <c r="G64" s="11">
        <v>19400</v>
      </c>
      <c r="H64" s="163" t="s">
        <v>160</v>
      </c>
      <c r="I64" s="158" t="s">
        <v>167</v>
      </c>
      <c r="J64" s="163" t="s">
        <v>160</v>
      </c>
      <c r="K64" s="10" t="s">
        <v>40</v>
      </c>
      <c r="L64" s="10">
        <v>10</v>
      </c>
      <c r="M64" s="10">
        <f t="shared" si="0"/>
        <v>10</v>
      </c>
      <c r="N64" s="10">
        <v>10</v>
      </c>
      <c r="O64" s="12">
        <v>1</v>
      </c>
      <c r="P64" s="11">
        <v>19400</v>
      </c>
      <c r="Q64" s="10" t="s">
        <v>33</v>
      </c>
      <c r="R64" s="4" t="s">
        <v>1278</v>
      </c>
      <c r="S64" s="4" t="s">
        <v>1278</v>
      </c>
      <c r="T64" s="4" t="s">
        <v>19</v>
      </c>
      <c r="U64" s="4" t="str">
        <f t="shared" si="1"/>
        <v>NOT AN ADD-ON</v>
      </c>
      <c r="V64" s="4" t="str">
        <f t="shared" si="2"/>
        <v>ASSET MANAGEMENT (CORE)ASSET MANAGEMENT (CORE)AUTHORIZEDNOT AN ADD-ON</v>
      </c>
    </row>
    <row r="65" spans="1:22" ht="29.25" customHeight="1" thickBot="1">
      <c r="A65" s="10" t="s">
        <v>21</v>
      </c>
      <c r="B65" s="10" t="s">
        <v>22</v>
      </c>
      <c r="C65" s="10" t="s">
        <v>140</v>
      </c>
      <c r="D65" s="10" t="s">
        <v>141</v>
      </c>
      <c r="E65" s="10" t="s">
        <v>142</v>
      </c>
      <c r="F65" s="10" t="s">
        <v>143</v>
      </c>
      <c r="G65" s="11">
        <v>11600</v>
      </c>
      <c r="H65" s="163" t="s">
        <v>168</v>
      </c>
      <c r="I65" s="158" t="s">
        <v>169</v>
      </c>
      <c r="J65" s="163" t="s">
        <v>160</v>
      </c>
      <c r="K65" s="10" t="s">
        <v>40</v>
      </c>
      <c r="L65" s="10">
        <v>10</v>
      </c>
      <c r="M65" s="10">
        <f t="shared" si="0"/>
        <v>10</v>
      </c>
      <c r="N65" s="10">
        <v>10</v>
      </c>
      <c r="O65" s="12">
        <v>1</v>
      </c>
      <c r="P65" s="11">
        <v>19400</v>
      </c>
      <c r="Q65" s="10" t="s">
        <v>36</v>
      </c>
      <c r="R65" s="4" t="s">
        <v>1278</v>
      </c>
      <c r="S65" s="4" t="s">
        <v>1278</v>
      </c>
      <c r="T65" s="4" t="s">
        <v>19</v>
      </c>
      <c r="U65" s="4" t="str">
        <f t="shared" si="1"/>
        <v>NOT AN ADD-ON</v>
      </c>
      <c r="V65" s="4" t="str">
        <f t="shared" si="2"/>
        <v>ASSET MANAGEMENT (CORE)ASSET MANAGEMENT (CORE)AUTHORIZEDNOT AN ADD-ON</v>
      </c>
    </row>
    <row r="66" spans="1:22" ht="15" thickBot="1">
      <c r="A66" s="10" t="s">
        <v>21</v>
      </c>
      <c r="B66" s="10" t="s">
        <v>22</v>
      </c>
      <c r="C66" s="10" t="s">
        <v>140</v>
      </c>
      <c r="D66" s="10" t="s">
        <v>141</v>
      </c>
      <c r="E66" s="10" t="s">
        <v>142</v>
      </c>
      <c r="F66" s="10" t="s">
        <v>143</v>
      </c>
      <c r="G66" s="11">
        <v>4180</v>
      </c>
      <c r="H66" s="163" t="s">
        <v>170</v>
      </c>
      <c r="I66" s="166" t="s">
        <v>171</v>
      </c>
      <c r="J66" s="163" t="s">
        <v>154</v>
      </c>
      <c r="K66" s="10" t="s">
        <v>40</v>
      </c>
      <c r="L66" s="10">
        <v>10</v>
      </c>
      <c r="M66" s="10">
        <f t="shared" si="0"/>
        <v>10</v>
      </c>
      <c r="N66" s="10">
        <v>10</v>
      </c>
      <c r="O66" s="12">
        <v>1</v>
      </c>
      <c r="P66" s="11">
        <v>19400</v>
      </c>
      <c r="Q66" s="10" t="s">
        <v>48</v>
      </c>
      <c r="R66" s="4" t="s">
        <v>1278</v>
      </c>
      <c r="S66" s="4" t="s">
        <v>1278</v>
      </c>
      <c r="T66" s="4" t="s">
        <v>19</v>
      </c>
      <c r="U66" s="4" t="str">
        <f t="shared" si="1"/>
        <v>NOT AN ADD-ON</v>
      </c>
      <c r="V66" s="4" t="str">
        <f t="shared" si="2"/>
        <v>ASSET MANAGEMENT (CORE)ASSET MANAGEMENT (CORE)AUTHORIZEDNOT AN ADD-ON</v>
      </c>
    </row>
    <row r="67" spans="1:22" ht="15" thickBot="1">
      <c r="A67" s="10" t="s">
        <v>21</v>
      </c>
      <c r="B67" s="10" t="s">
        <v>22</v>
      </c>
      <c r="C67" s="10" t="s">
        <v>140</v>
      </c>
      <c r="D67" s="10" t="s">
        <v>141</v>
      </c>
      <c r="E67" s="10" t="s">
        <v>142</v>
      </c>
      <c r="F67" s="10" t="s">
        <v>143</v>
      </c>
      <c r="G67" s="11">
        <v>13000</v>
      </c>
      <c r="H67" s="163" t="s">
        <v>172</v>
      </c>
      <c r="I67" s="158" t="s">
        <v>173</v>
      </c>
      <c r="J67" s="163" t="s">
        <v>154</v>
      </c>
      <c r="K67" s="10" t="s">
        <v>40</v>
      </c>
      <c r="L67" s="10">
        <v>10</v>
      </c>
      <c r="M67" s="10">
        <f t="shared" ref="M67:M130" si="4">ROUND(IF(K67="Authorized User",L67/3,L67),2)</f>
        <v>10</v>
      </c>
      <c r="N67" s="10">
        <v>10</v>
      </c>
      <c r="O67" s="12">
        <v>1</v>
      </c>
      <c r="P67" s="11">
        <v>19400</v>
      </c>
      <c r="Q67" s="10" t="s">
        <v>48</v>
      </c>
      <c r="R67" s="4" t="s">
        <v>1278</v>
      </c>
      <c r="S67" s="4" t="s">
        <v>1278</v>
      </c>
      <c r="T67" s="4" t="s">
        <v>19</v>
      </c>
      <c r="U67" s="4" t="str">
        <f t="shared" ref="U67:U130" si="5">IF(ISNUMBER(SEARCH("ADD-ON",$I67)),"ADD-ON","NOT AN ADD-ON")</f>
        <v>NOT AN ADD-ON</v>
      </c>
      <c r="V67" s="4" t="str">
        <f t="shared" ref="V67:V130" si="6">CONCATENATE(R67,S67,T67,U67)</f>
        <v>ASSET MANAGEMENT (CORE)ASSET MANAGEMENT (CORE)AUTHORIZEDNOT AN ADD-ON</v>
      </c>
    </row>
    <row r="68" spans="1:22" ht="15" thickBot="1">
      <c r="A68" s="10" t="s">
        <v>21</v>
      </c>
      <c r="B68" s="10" t="s">
        <v>22</v>
      </c>
      <c r="C68" s="10" t="s">
        <v>140</v>
      </c>
      <c r="D68" s="10" t="s">
        <v>141</v>
      </c>
      <c r="E68" s="10" t="s">
        <v>142</v>
      </c>
      <c r="F68" s="10" t="s">
        <v>143</v>
      </c>
      <c r="G68" s="11">
        <v>18400</v>
      </c>
      <c r="H68" s="163" t="s">
        <v>174</v>
      </c>
      <c r="I68" s="166" t="s">
        <v>175</v>
      </c>
      <c r="J68" s="163" t="s">
        <v>154</v>
      </c>
      <c r="K68" s="10" t="s">
        <v>40</v>
      </c>
      <c r="L68" s="10">
        <v>10</v>
      </c>
      <c r="M68" s="10">
        <f t="shared" si="4"/>
        <v>10</v>
      </c>
      <c r="N68" s="10">
        <v>10</v>
      </c>
      <c r="O68" s="12">
        <v>1</v>
      </c>
      <c r="P68" s="11">
        <v>19400</v>
      </c>
      <c r="Q68" s="10" t="s">
        <v>48</v>
      </c>
      <c r="R68" s="4" t="s">
        <v>1278</v>
      </c>
      <c r="S68" s="4" t="s">
        <v>1278</v>
      </c>
      <c r="T68" s="4" t="s">
        <v>19</v>
      </c>
      <c r="U68" s="4" t="str">
        <f t="shared" si="5"/>
        <v>NOT AN ADD-ON</v>
      </c>
      <c r="V68" s="4" t="str">
        <f t="shared" si="6"/>
        <v>ASSET MANAGEMENT (CORE)ASSET MANAGEMENT (CORE)AUTHORIZEDNOT AN ADD-ON</v>
      </c>
    </row>
    <row r="69" spans="1:22" ht="29.25" customHeight="1" thickBot="1">
      <c r="A69" s="10" t="s">
        <v>21</v>
      </c>
      <c r="B69" s="10" t="s">
        <v>22</v>
      </c>
      <c r="C69" s="10" t="s">
        <v>140</v>
      </c>
      <c r="D69" s="10" t="s">
        <v>141</v>
      </c>
      <c r="E69" s="10" t="s">
        <v>142</v>
      </c>
      <c r="F69" s="10" t="s">
        <v>143</v>
      </c>
      <c r="G69" s="11">
        <v>241</v>
      </c>
      <c r="H69" s="163" t="s">
        <v>176</v>
      </c>
      <c r="I69" s="158" t="s">
        <v>177</v>
      </c>
      <c r="J69" s="163" t="s">
        <v>178</v>
      </c>
      <c r="K69" s="10" t="s">
        <v>30</v>
      </c>
      <c r="L69" s="10">
        <v>5</v>
      </c>
      <c r="M69" s="10">
        <f t="shared" si="4"/>
        <v>1.67</v>
      </c>
      <c r="N69" s="10">
        <v>5</v>
      </c>
      <c r="O69" s="12">
        <v>1.6666666666666667</v>
      </c>
      <c r="P69" s="11">
        <v>1190</v>
      </c>
      <c r="Q69" s="10" t="s">
        <v>31</v>
      </c>
      <c r="R69" s="4" t="s">
        <v>1278</v>
      </c>
      <c r="S69" s="4" t="s">
        <v>1278</v>
      </c>
      <c r="T69" s="4" t="s">
        <v>1381</v>
      </c>
      <c r="U69" s="4" t="str">
        <f t="shared" si="5"/>
        <v>NOT AN ADD-ON</v>
      </c>
      <c r="V69" s="4" t="str">
        <f t="shared" si="6"/>
        <v>ASSET MANAGEMENT (CORE)ASSET MANAGEMENT (CORE)EXPRESSNOT AN ADD-ON</v>
      </c>
    </row>
    <row r="70" spans="1:22" ht="29.25" customHeight="1" thickBot="1">
      <c r="A70" s="10" t="s">
        <v>21</v>
      </c>
      <c r="B70" s="10" t="s">
        <v>22</v>
      </c>
      <c r="C70" s="10" t="s">
        <v>140</v>
      </c>
      <c r="D70" s="10" t="s">
        <v>141</v>
      </c>
      <c r="E70" s="10" t="s">
        <v>142</v>
      </c>
      <c r="F70" s="10" t="s">
        <v>143</v>
      </c>
      <c r="G70" s="11">
        <v>1190</v>
      </c>
      <c r="H70" s="163" t="s">
        <v>178</v>
      </c>
      <c r="I70" s="158" t="s">
        <v>179</v>
      </c>
      <c r="J70" s="163" t="s">
        <v>178</v>
      </c>
      <c r="K70" s="10" t="s">
        <v>30</v>
      </c>
      <c r="L70" s="10">
        <v>5</v>
      </c>
      <c r="M70" s="10">
        <f t="shared" si="4"/>
        <v>1.67</v>
      </c>
      <c r="N70" s="10">
        <v>5</v>
      </c>
      <c r="O70" s="12">
        <v>1.6666666666666667</v>
      </c>
      <c r="P70" s="11">
        <v>1190</v>
      </c>
      <c r="Q70" s="10" t="s">
        <v>33</v>
      </c>
      <c r="R70" s="4" t="s">
        <v>1278</v>
      </c>
      <c r="S70" s="4" t="s">
        <v>1278</v>
      </c>
      <c r="T70" s="4" t="s">
        <v>1381</v>
      </c>
      <c r="U70" s="4" t="str">
        <f t="shared" si="5"/>
        <v>NOT AN ADD-ON</v>
      </c>
      <c r="V70" s="4" t="str">
        <f t="shared" si="6"/>
        <v>ASSET MANAGEMENT (CORE)ASSET MANAGEMENT (CORE)EXPRESSNOT AN ADD-ON</v>
      </c>
    </row>
    <row r="71" spans="1:22" ht="15" thickBot="1">
      <c r="A71" s="10" t="s">
        <v>21</v>
      </c>
      <c r="B71" s="10" t="s">
        <v>22</v>
      </c>
      <c r="C71" s="10" t="s">
        <v>140</v>
      </c>
      <c r="D71" s="10" t="s">
        <v>141</v>
      </c>
      <c r="E71" s="10" t="s">
        <v>142</v>
      </c>
      <c r="F71" s="10" t="s">
        <v>143</v>
      </c>
      <c r="G71" s="11">
        <v>721</v>
      </c>
      <c r="H71" s="163" t="s">
        <v>180</v>
      </c>
      <c r="I71" s="158" t="s">
        <v>181</v>
      </c>
      <c r="J71" s="163" t="s">
        <v>178</v>
      </c>
      <c r="K71" s="10" t="s">
        <v>30</v>
      </c>
      <c r="L71" s="10">
        <v>5</v>
      </c>
      <c r="M71" s="10">
        <f t="shared" si="4"/>
        <v>1.67</v>
      </c>
      <c r="N71" s="10">
        <v>5</v>
      </c>
      <c r="O71" s="12">
        <v>1.6666666666666667</v>
      </c>
      <c r="P71" s="11">
        <v>1190</v>
      </c>
      <c r="Q71" s="10" t="s">
        <v>36</v>
      </c>
      <c r="R71" s="4" t="s">
        <v>1278</v>
      </c>
      <c r="S71" s="4" t="s">
        <v>1278</v>
      </c>
      <c r="T71" s="4" t="s">
        <v>1381</v>
      </c>
      <c r="U71" s="4" t="str">
        <f t="shared" si="5"/>
        <v>NOT AN ADD-ON</v>
      </c>
      <c r="V71" s="4" t="str">
        <f t="shared" si="6"/>
        <v>ASSET MANAGEMENT (CORE)ASSET MANAGEMENT (CORE)EXPRESSNOT AN ADD-ON</v>
      </c>
    </row>
    <row r="72" spans="1:22" ht="15" thickBot="1">
      <c r="A72" s="10" t="s">
        <v>21</v>
      </c>
      <c r="B72" s="10" t="s">
        <v>22</v>
      </c>
      <c r="C72" s="10" t="s">
        <v>140</v>
      </c>
      <c r="D72" s="10" t="s">
        <v>141</v>
      </c>
      <c r="E72" s="10" t="s">
        <v>142</v>
      </c>
      <c r="F72" s="10" t="s">
        <v>143</v>
      </c>
      <c r="G72" s="11">
        <v>723</v>
      </c>
      <c r="H72" s="163" t="s">
        <v>182</v>
      </c>
      <c r="I72" s="158" t="s">
        <v>183</v>
      </c>
      <c r="J72" s="163" t="s">
        <v>184</v>
      </c>
      <c r="K72" s="10" t="s">
        <v>40</v>
      </c>
      <c r="L72" s="10">
        <v>5</v>
      </c>
      <c r="M72" s="10">
        <f t="shared" si="4"/>
        <v>5</v>
      </c>
      <c r="N72" s="10">
        <v>5</v>
      </c>
      <c r="O72" s="12">
        <v>1</v>
      </c>
      <c r="P72" s="11">
        <v>3620</v>
      </c>
      <c r="Q72" s="10" t="s">
        <v>31</v>
      </c>
      <c r="R72" s="4" t="s">
        <v>1278</v>
      </c>
      <c r="S72" s="4" t="s">
        <v>1278</v>
      </c>
      <c r="T72" s="4" t="s">
        <v>1381</v>
      </c>
      <c r="U72" s="4" t="str">
        <f t="shared" si="5"/>
        <v>NOT AN ADD-ON</v>
      </c>
      <c r="V72" s="4" t="str">
        <f t="shared" si="6"/>
        <v>ASSET MANAGEMENT (CORE)ASSET MANAGEMENT (CORE)EXPRESSNOT AN ADD-ON</v>
      </c>
    </row>
    <row r="73" spans="1:22" ht="29.25" customHeight="1" thickBot="1">
      <c r="A73" s="10" t="s">
        <v>21</v>
      </c>
      <c r="B73" s="10" t="s">
        <v>22</v>
      </c>
      <c r="C73" s="10" t="s">
        <v>140</v>
      </c>
      <c r="D73" s="10" t="s">
        <v>141</v>
      </c>
      <c r="E73" s="10" t="s">
        <v>142</v>
      </c>
      <c r="F73" s="10" t="s">
        <v>143</v>
      </c>
      <c r="G73" s="11">
        <v>3620</v>
      </c>
      <c r="H73" s="163" t="s">
        <v>184</v>
      </c>
      <c r="I73" s="158" t="s">
        <v>185</v>
      </c>
      <c r="J73" s="163" t="s">
        <v>184</v>
      </c>
      <c r="K73" s="10" t="s">
        <v>40</v>
      </c>
      <c r="L73" s="10">
        <v>5</v>
      </c>
      <c r="M73" s="10">
        <f t="shared" si="4"/>
        <v>5</v>
      </c>
      <c r="N73" s="10">
        <v>5</v>
      </c>
      <c r="O73" s="12">
        <v>1</v>
      </c>
      <c r="P73" s="11">
        <v>3620</v>
      </c>
      <c r="Q73" s="10" t="s">
        <v>33</v>
      </c>
      <c r="R73" s="4" t="s">
        <v>1278</v>
      </c>
      <c r="S73" s="4" t="s">
        <v>1278</v>
      </c>
      <c r="T73" s="4" t="s">
        <v>1381</v>
      </c>
      <c r="U73" s="4" t="str">
        <f t="shared" si="5"/>
        <v>NOT AN ADD-ON</v>
      </c>
      <c r="V73" s="4" t="str">
        <f t="shared" si="6"/>
        <v>ASSET MANAGEMENT (CORE)ASSET MANAGEMENT (CORE)EXPRESSNOT AN ADD-ON</v>
      </c>
    </row>
    <row r="74" spans="1:22" ht="15" thickBot="1">
      <c r="A74" s="10" t="s">
        <v>21</v>
      </c>
      <c r="B74" s="10" t="s">
        <v>22</v>
      </c>
      <c r="C74" s="10" t="s">
        <v>140</v>
      </c>
      <c r="D74" s="10" t="s">
        <v>141</v>
      </c>
      <c r="E74" s="10" t="s">
        <v>142</v>
      </c>
      <c r="F74" s="10" t="s">
        <v>143</v>
      </c>
      <c r="G74" s="11">
        <v>2170</v>
      </c>
      <c r="H74" s="163" t="s">
        <v>186</v>
      </c>
      <c r="I74" s="158" t="s">
        <v>187</v>
      </c>
      <c r="J74" s="163" t="s">
        <v>184</v>
      </c>
      <c r="K74" s="10" t="s">
        <v>40</v>
      </c>
      <c r="L74" s="10">
        <v>5</v>
      </c>
      <c r="M74" s="10">
        <f t="shared" si="4"/>
        <v>5</v>
      </c>
      <c r="N74" s="10">
        <v>5</v>
      </c>
      <c r="O74" s="12">
        <v>1</v>
      </c>
      <c r="P74" s="11">
        <v>3620</v>
      </c>
      <c r="Q74" s="10" t="s">
        <v>36</v>
      </c>
      <c r="R74" s="4" t="s">
        <v>1278</v>
      </c>
      <c r="S74" s="4" t="s">
        <v>1278</v>
      </c>
      <c r="T74" s="4" t="s">
        <v>1381</v>
      </c>
      <c r="U74" s="4" t="str">
        <f t="shared" si="5"/>
        <v>NOT AN ADD-ON</v>
      </c>
      <c r="V74" s="4" t="str">
        <f t="shared" si="6"/>
        <v>ASSET MANAGEMENT (CORE)ASSET MANAGEMENT (CORE)EXPRESSNOT AN ADD-ON</v>
      </c>
    </row>
    <row r="75" spans="1:22" ht="29.25" customHeight="1" thickBot="1">
      <c r="A75" s="10" t="s">
        <v>21</v>
      </c>
      <c r="B75" s="10" t="s">
        <v>22</v>
      </c>
      <c r="C75" s="10" t="s">
        <v>140</v>
      </c>
      <c r="D75" s="10" t="s">
        <v>141</v>
      </c>
      <c r="E75" s="10" t="s">
        <v>142</v>
      </c>
      <c r="F75" s="10" t="s">
        <v>143</v>
      </c>
      <c r="G75" s="11">
        <v>733</v>
      </c>
      <c r="H75" s="163" t="s">
        <v>188</v>
      </c>
      <c r="I75" s="166" t="s">
        <v>189</v>
      </c>
      <c r="J75" s="163" t="s">
        <v>190</v>
      </c>
      <c r="K75" s="10" t="s">
        <v>40</v>
      </c>
      <c r="L75" s="10">
        <v>5</v>
      </c>
      <c r="M75" s="10">
        <f t="shared" si="4"/>
        <v>5</v>
      </c>
      <c r="N75" s="10">
        <v>5</v>
      </c>
      <c r="O75" s="12">
        <v>1</v>
      </c>
      <c r="P75" s="11">
        <v>3620</v>
      </c>
      <c r="Q75" s="10" t="s">
        <v>48</v>
      </c>
      <c r="R75" s="4" t="s">
        <v>1278</v>
      </c>
      <c r="S75" s="4" t="s">
        <v>1278</v>
      </c>
      <c r="T75" s="4" t="s">
        <v>1381</v>
      </c>
      <c r="U75" s="4" t="str">
        <f t="shared" si="5"/>
        <v>NOT AN ADD-ON</v>
      </c>
      <c r="V75" s="4" t="str">
        <f t="shared" si="6"/>
        <v>ASSET MANAGEMENT (CORE)ASSET MANAGEMENT (CORE)EXPRESSNOT AN ADD-ON</v>
      </c>
    </row>
    <row r="76" spans="1:22" ht="15" thickBot="1">
      <c r="A76" s="10" t="s">
        <v>21</v>
      </c>
      <c r="B76" s="10" t="s">
        <v>22</v>
      </c>
      <c r="C76" s="10" t="s">
        <v>140</v>
      </c>
      <c r="D76" s="10" t="s">
        <v>141</v>
      </c>
      <c r="E76" s="10" t="s">
        <v>142</v>
      </c>
      <c r="F76" s="10" t="s">
        <v>143</v>
      </c>
      <c r="G76" s="11">
        <v>733</v>
      </c>
      <c r="H76" s="163" t="s">
        <v>191</v>
      </c>
      <c r="I76" s="166" t="s">
        <v>192</v>
      </c>
      <c r="J76" s="163" t="s">
        <v>184</v>
      </c>
      <c r="K76" s="10" t="s">
        <v>40</v>
      </c>
      <c r="L76" s="10">
        <v>5</v>
      </c>
      <c r="M76" s="10">
        <f t="shared" si="4"/>
        <v>5</v>
      </c>
      <c r="N76" s="10">
        <v>5</v>
      </c>
      <c r="O76" s="12">
        <v>1</v>
      </c>
      <c r="P76" s="11">
        <v>3620</v>
      </c>
      <c r="Q76" s="10" t="s">
        <v>48</v>
      </c>
      <c r="R76" s="4" t="s">
        <v>1278</v>
      </c>
      <c r="S76" s="4" t="s">
        <v>1278</v>
      </c>
      <c r="T76" s="4" t="s">
        <v>1381</v>
      </c>
      <c r="U76" s="4" t="str">
        <f t="shared" si="5"/>
        <v>NOT AN ADD-ON</v>
      </c>
      <c r="V76" s="4" t="str">
        <f t="shared" si="6"/>
        <v>ASSET MANAGEMENT (CORE)ASSET MANAGEMENT (CORE)EXPRESSNOT AN ADD-ON</v>
      </c>
    </row>
    <row r="77" spans="1:22" ht="29.25" customHeight="1" thickBot="1">
      <c r="A77" s="10" t="s">
        <v>21</v>
      </c>
      <c r="B77" s="10" t="s">
        <v>22</v>
      </c>
      <c r="C77" s="10" t="s">
        <v>140</v>
      </c>
      <c r="D77" s="10" t="s">
        <v>141</v>
      </c>
      <c r="E77" s="10" t="s">
        <v>142</v>
      </c>
      <c r="F77" s="10" t="s">
        <v>143</v>
      </c>
      <c r="G77" s="11">
        <v>241</v>
      </c>
      <c r="H77" s="163" t="s">
        <v>193</v>
      </c>
      <c r="I77" s="158" t="s">
        <v>194</v>
      </c>
      <c r="J77" s="163" t="s">
        <v>195</v>
      </c>
      <c r="K77" s="10" t="s">
        <v>30</v>
      </c>
      <c r="L77" s="10">
        <v>5</v>
      </c>
      <c r="M77" s="10">
        <f t="shared" si="4"/>
        <v>1.67</v>
      </c>
      <c r="N77" s="10">
        <v>5</v>
      </c>
      <c r="O77" s="12">
        <v>1.6666666666666667</v>
      </c>
      <c r="P77" s="11">
        <v>1190</v>
      </c>
      <c r="Q77" s="10" t="s">
        <v>31</v>
      </c>
      <c r="R77" s="4" t="s">
        <v>1278</v>
      </c>
      <c r="S77" s="4" t="s">
        <v>1278</v>
      </c>
      <c r="T77" s="4" t="s">
        <v>1381</v>
      </c>
      <c r="U77" s="4" t="str">
        <f t="shared" si="5"/>
        <v>NOT AN ADD-ON</v>
      </c>
      <c r="V77" s="4" t="str">
        <f t="shared" si="6"/>
        <v>ASSET MANAGEMENT (CORE)ASSET MANAGEMENT (CORE)EXPRESSNOT AN ADD-ON</v>
      </c>
    </row>
    <row r="78" spans="1:22" ht="29.25" customHeight="1" thickBot="1">
      <c r="A78" s="10" t="s">
        <v>21</v>
      </c>
      <c r="B78" s="10" t="s">
        <v>22</v>
      </c>
      <c r="C78" s="10" t="s">
        <v>140</v>
      </c>
      <c r="D78" s="10" t="s">
        <v>141</v>
      </c>
      <c r="E78" s="10" t="s">
        <v>142</v>
      </c>
      <c r="F78" s="10" t="s">
        <v>143</v>
      </c>
      <c r="G78" s="11">
        <v>1190</v>
      </c>
      <c r="H78" s="163" t="s">
        <v>195</v>
      </c>
      <c r="I78" s="158" t="s">
        <v>196</v>
      </c>
      <c r="J78" s="163" t="s">
        <v>195</v>
      </c>
      <c r="K78" s="10" t="s">
        <v>30</v>
      </c>
      <c r="L78" s="10">
        <v>5</v>
      </c>
      <c r="M78" s="10">
        <f t="shared" si="4"/>
        <v>1.67</v>
      </c>
      <c r="N78" s="10">
        <v>5</v>
      </c>
      <c r="O78" s="12">
        <v>1.6666666666666667</v>
      </c>
      <c r="P78" s="11">
        <v>1190</v>
      </c>
      <c r="Q78" s="10" t="s">
        <v>33</v>
      </c>
      <c r="R78" s="4" t="s">
        <v>1278</v>
      </c>
      <c r="S78" s="4" t="s">
        <v>1278</v>
      </c>
      <c r="T78" s="4" t="s">
        <v>1381</v>
      </c>
      <c r="U78" s="4" t="str">
        <f t="shared" si="5"/>
        <v>NOT AN ADD-ON</v>
      </c>
      <c r="V78" s="4" t="str">
        <f t="shared" si="6"/>
        <v>ASSET MANAGEMENT (CORE)ASSET MANAGEMENT (CORE)EXPRESSNOT AN ADD-ON</v>
      </c>
    </row>
    <row r="79" spans="1:22" ht="29.25" customHeight="1" thickBot="1">
      <c r="A79" s="10" t="s">
        <v>21</v>
      </c>
      <c r="B79" s="10" t="s">
        <v>22</v>
      </c>
      <c r="C79" s="10" t="s">
        <v>140</v>
      </c>
      <c r="D79" s="10" t="s">
        <v>141</v>
      </c>
      <c r="E79" s="10" t="s">
        <v>142</v>
      </c>
      <c r="F79" s="10" t="s">
        <v>143</v>
      </c>
      <c r="G79" s="11">
        <v>721</v>
      </c>
      <c r="H79" s="163" t="s">
        <v>197</v>
      </c>
      <c r="I79" s="158" t="s">
        <v>198</v>
      </c>
      <c r="J79" s="163" t="s">
        <v>195</v>
      </c>
      <c r="K79" s="10" t="s">
        <v>30</v>
      </c>
      <c r="L79" s="10">
        <v>5</v>
      </c>
      <c r="M79" s="10">
        <f t="shared" si="4"/>
        <v>1.67</v>
      </c>
      <c r="N79" s="10">
        <v>5</v>
      </c>
      <c r="O79" s="12">
        <v>1.6666666666666667</v>
      </c>
      <c r="P79" s="11">
        <v>1190</v>
      </c>
      <c r="Q79" s="10" t="s">
        <v>36</v>
      </c>
      <c r="R79" s="4" t="s">
        <v>1278</v>
      </c>
      <c r="S79" s="4" t="s">
        <v>1278</v>
      </c>
      <c r="T79" s="4" t="s">
        <v>1381</v>
      </c>
      <c r="U79" s="4" t="str">
        <f t="shared" si="5"/>
        <v>NOT AN ADD-ON</v>
      </c>
      <c r="V79" s="4" t="str">
        <f t="shared" si="6"/>
        <v>ASSET MANAGEMENT (CORE)ASSET MANAGEMENT (CORE)EXPRESSNOT AN ADD-ON</v>
      </c>
    </row>
    <row r="80" spans="1:22" ht="15" thickBot="1">
      <c r="A80" s="10" t="s">
        <v>21</v>
      </c>
      <c r="B80" s="10" t="s">
        <v>22</v>
      </c>
      <c r="C80" s="10" t="s">
        <v>140</v>
      </c>
      <c r="D80" s="10" t="s">
        <v>141</v>
      </c>
      <c r="E80" s="10" t="s">
        <v>142</v>
      </c>
      <c r="F80" s="10" t="s">
        <v>143</v>
      </c>
      <c r="G80" s="11">
        <v>723</v>
      </c>
      <c r="H80" s="163" t="s">
        <v>199</v>
      </c>
      <c r="I80" s="158" t="s">
        <v>200</v>
      </c>
      <c r="J80" s="163" t="s">
        <v>190</v>
      </c>
      <c r="K80" s="10" t="s">
        <v>40</v>
      </c>
      <c r="L80" s="10">
        <v>5</v>
      </c>
      <c r="M80" s="10">
        <f t="shared" si="4"/>
        <v>5</v>
      </c>
      <c r="N80" s="10">
        <v>5</v>
      </c>
      <c r="O80" s="12">
        <v>1</v>
      </c>
      <c r="P80" s="11">
        <v>3620</v>
      </c>
      <c r="Q80" s="10" t="s">
        <v>31</v>
      </c>
      <c r="R80" s="4" t="s">
        <v>1278</v>
      </c>
      <c r="S80" s="4" t="s">
        <v>1278</v>
      </c>
      <c r="T80" s="4" t="s">
        <v>1381</v>
      </c>
      <c r="U80" s="4" t="str">
        <f t="shared" si="5"/>
        <v>NOT AN ADD-ON</v>
      </c>
      <c r="V80" s="4" t="str">
        <f t="shared" si="6"/>
        <v>ASSET MANAGEMENT (CORE)ASSET MANAGEMENT (CORE)EXPRESSNOT AN ADD-ON</v>
      </c>
    </row>
    <row r="81" spans="1:22" ht="29.25" customHeight="1" thickBot="1">
      <c r="A81" s="10" t="s">
        <v>21</v>
      </c>
      <c r="B81" s="10" t="s">
        <v>22</v>
      </c>
      <c r="C81" s="10" t="s">
        <v>140</v>
      </c>
      <c r="D81" s="10" t="s">
        <v>141</v>
      </c>
      <c r="E81" s="10" t="s">
        <v>142</v>
      </c>
      <c r="F81" s="10" t="s">
        <v>143</v>
      </c>
      <c r="G81" s="11">
        <v>3620</v>
      </c>
      <c r="H81" s="163" t="s">
        <v>190</v>
      </c>
      <c r="I81" s="158" t="s">
        <v>201</v>
      </c>
      <c r="J81" s="163" t="s">
        <v>190</v>
      </c>
      <c r="K81" s="10" t="s">
        <v>40</v>
      </c>
      <c r="L81" s="10">
        <v>5</v>
      </c>
      <c r="M81" s="10">
        <f t="shared" si="4"/>
        <v>5</v>
      </c>
      <c r="N81" s="10">
        <v>5</v>
      </c>
      <c r="O81" s="12">
        <v>1</v>
      </c>
      <c r="P81" s="11">
        <v>3620</v>
      </c>
      <c r="Q81" s="10" t="s">
        <v>33</v>
      </c>
      <c r="R81" s="4" t="s">
        <v>1278</v>
      </c>
      <c r="S81" s="4" t="s">
        <v>1278</v>
      </c>
      <c r="T81" s="4" t="s">
        <v>1381</v>
      </c>
      <c r="U81" s="4" t="str">
        <f t="shared" si="5"/>
        <v>NOT AN ADD-ON</v>
      </c>
      <c r="V81" s="4" t="str">
        <f t="shared" si="6"/>
        <v>ASSET MANAGEMENT (CORE)ASSET MANAGEMENT (CORE)EXPRESSNOT AN ADD-ON</v>
      </c>
    </row>
    <row r="82" spans="1:22" ht="15" thickBot="1">
      <c r="A82" s="10" t="s">
        <v>21</v>
      </c>
      <c r="B82" s="10" t="s">
        <v>22</v>
      </c>
      <c r="C82" s="10" t="s">
        <v>140</v>
      </c>
      <c r="D82" s="10" t="s">
        <v>141</v>
      </c>
      <c r="E82" s="10" t="s">
        <v>142</v>
      </c>
      <c r="F82" s="10" t="s">
        <v>143</v>
      </c>
      <c r="G82" s="11">
        <v>2170</v>
      </c>
      <c r="H82" s="163" t="s">
        <v>202</v>
      </c>
      <c r="I82" s="158" t="s">
        <v>203</v>
      </c>
      <c r="J82" s="163" t="s">
        <v>190</v>
      </c>
      <c r="K82" s="10" t="s">
        <v>40</v>
      </c>
      <c r="L82" s="10">
        <v>5</v>
      </c>
      <c r="M82" s="10">
        <f t="shared" si="4"/>
        <v>5</v>
      </c>
      <c r="N82" s="10">
        <v>5</v>
      </c>
      <c r="O82" s="12">
        <v>1</v>
      </c>
      <c r="P82" s="11">
        <v>3620</v>
      </c>
      <c r="Q82" s="10" t="s">
        <v>36</v>
      </c>
      <c r="R82" s="4" t="s">
        <v>1278</v>
      </c>
      <c r="S82" s="4" t="s">
        <v>1278</v>
      </c>
      <c r="T82" s="4" t="s">
        <v>1381</v>
      </c>
      <c r="U82" s="4" t="str">
        <f t="shared" si="5"/>
        <v>NOT AN ADD-ON</v>
      </c>
      <c r="V82" s="4" t="str">
        <f t="shared" si="6"/>
        <v>ASSET MANAGEMENT (CORE)ASSET MANAGEMENT (CORE)EXPRESSNOT AN ADD-ON</v>
      </c>
    </row>
    <row r="83" spans="1:22" ht="15" thickBot="1">
      <c r="A83" s="10" t="s">
        <v>21</v>
      </c>
      <c r="B83" s="10" t="s">
        <v>22</v>
      </c>
      <c r="C83" s="10" t="s">
        <v>204</v>
      </c>
      <c r="D83" s="10" t="s">
        <v>141</v>
      </c>
      <c r="E83" s="10" t="s">
        <v>142</v>
      </c>
      <c r="F83" s="10" t="s">
        <v>143</v>
      </c>
      <c r="G83" s="11">
        <v>653</v>
      </c>
      <c r="H83" s="163" t="s">
        <v>205</v>
      </c>
      <c r="I83" s="158" t="s">
        <v>206</v>
      </c>
      <c r="J83" s="163" t="s">
        <v>207</v>
      </c>
      <c r="K83" s="10" t="s">
        <v>40</v>
      </c>
      <c r="L83" s="10">
        <v>5</v>
      </c>
      <c r="M83" s="10">
        <f t="shared" si="4"/>
        <v>5</v>
      </c>
      <c r="N83" s="10">
        <v>15</v>
      </c>
      <c r="O83" s="12">
        <v>1</v>
      </c>
      <c r="P83" s="11">
        <v>3270</v>
      </c>
      <c r="Q83" s="10" t="s">
        <v>31</v>
      </c>
      <c r="R83" s="4" t="s">
        <v>208</v>
      </c>
      <c r="S83" s="4" t="s">
        <v>1278</v>
      </c>
      <c r="T83" s="4" t="s">
        <v>19</v>
      </c>
      <c r="U83" s="4" t="str">
        <f t="shared" si="5"/>
        <v>NOT AN ADD-ON</v>
      </c>
      <c r="V83" s="4" t="str">
        <f t="shared" si="6"/>
        <v>INTERNAL SERVICE PROVIDERSASSET MANAGEMENT (CORE)AUTHORIZEDNOT AN ADD-ON</v>
      </c>
    </row>
    <row r="84" spans="1:22" ht="29.25" customHeight="1" thickBot="1">
      <c r="A84" s="10" t="s">
        <v>21</v>
      </c>
      <c r="B84" s="10" t="s">
        <v>22</v>
      </c>
      <c r="C84" s="10" t="s">
        <v>204</v>
      </c>
      <c r="D84" s="10" t="s">
        <v>141</v>
      </c>
      <c r="E84" s="10" t="s">
        <v>142</v>
      </c>
      <c r="F84" s="10" t="s">
        <v>143</v>
      </c>
      <c r="G84" s="11">
        <v>3270</v>
      </c>
      <c r="H84" s="163" t="s">
        <v>207</v>
      </c>
      <c r="I84" s="158" t="s">
        <v>209</v>
      </c>
      <c r="J84" s="163" t="s">
        <v>207</v>
      </c>
      <c r="K84" s="10" t="s">
        <v>40</v>
      </c>
      <c r="L84" s="10">
        <v>5</v>
      </c>
      <c r="M84" s="10">
        <f t="shared" si="4"/>
        <v>5</v>
      </c>
      <c r="N84" s="10">
        <v>15</v>
      </c>
      <c r="O84" s="12">
        <v>1</v>
      </c>
      <c r="P84" s="11">
        <v>3270</v>
      </c>
      <c r="Q84" s="10" t="s">
        <v>33</v>
      </c>
      <c r="R84" s="4" t="s">
        <v>208</v>
      </c>
      <c r="S84" s="4" t="s">
        <v>1278</v>
      </c>
      <c r="T84" s="4" t="s">
        <v>19</v>
      </c>
      <c r="U84" s="4" t="str">
        <f t="shared" si="5"/>
        <v>NOT AN ADD-ON</v>
      </c>
      <c r="V84" s="4" t="str">
        <f t="shared" si="6"/>
        <v>INTERNAL SERVICE PROVIDERSASSET MANAGEMENT (CORE)AUTHORIZEDNOT AN ADD-ON</v>
      </c>
    </row>
    <row r="85" spans="1:22" ht="29.25" customHeight="1" thickBot="1">
      <c r="A85" s="10" t="s">
        <v>21</v>
      </c>
      <c r="B85" s="10" t="s">
        <v>22</v>
      </c>
      <c r="C85" s="10" t="s">
        <v>204</v>
      </c>
      <c r="D85" s="10" t="s">
        <v>141</v>
      </c>
      <c r="E85" s="10" t="s">
        <v>142</v>
      </c>
      <c r="F85" s="10" t="s">
        <v>143</v>
      </c>
      <c r="G85" s="11">
        <v>1960</v>
      </c>
      <c r="H85" s="163" t="s">
        <v>210</v>
      </c>
      <c r="I85" s="158" t="s">
        <v>211</v>
      </c>
      <c r="J85" s="163" t="s">
        <v>207</v>
      </c>
      <c r="K85" s="10" t="s">
        <v>40</v>
      </c>
      <c r="L85" s="10">
        <v>5</v>
      </c>
      <c r="M85" s="10">
        <f t="shared" si="4"/>
        <v>5</v>
      </c>
      <c r="N85" s="10">
        <v>15</v>
      </c>
      <c r="O85" s="12">
        <v>1</v>
      </c>
      <c r="P85" s="11">
        <v>3270</v>
      </c>
      <c r="Q85" s="10" t="s">
        <v>36</v>
      </c>
      <c r="R85" s="4" t="s">
        <v>208</v>
      </c>
      <c r="S85" s="4" t="s">
        <v>1278</v>
      </c>
      <c r="T85" s="4" t="s">
        <v>19</v>
      </c>
      <c r="U85" s="4" t="str">
        <f t="shared" si="5"/>
        <v>NOT AN ADD-ON</v>
      </c>
      <c r="V85" s="4" t="str">
        <f t="shared" si="6"/>
        <v>INTERNAL SERVICE PROVIDERSASSET MANAGEMENT (CORE)AUTHORIZEDNOT AN ADD-ON</v>
      </c>
    </row>
    <row r="86" spans="1:22" ht="15" thickBot="1">
      <c r="A86" s="10" t="s">
        <v>21</v>
      </c>
      <c r="B86" s="10" t="s">
        <v>22</v>
      </c>
      <c r="C86" s="10" t="s">
        <v>204</v>
      </c>
      <c r="D86" s="10" t="s">
        <v>141</v>
      </c>
      <c r="E86" s="10" t="s">
        <v>142</v>
      </c>
      <c r="F86" s="10" t="s">
        <v>143</v>
      </c>
      <c r="G86" s="11">
        <v>653</v>
      </c>
      <c r="H86" s="163" t="s">
        <v>212</v>
      </c>
      <c r="I86" s="166" t="s">
        <v>213</v>
      </c>
      <c r="J86" s="163" t="s">
        <v>214</v>
      </c>
      <c r="K86" s="10" t="s">
        <v>40</v>
      </c>
      <c r="L86" s="10">
        <v>5</v>
      </c>
      <c r="M86" s="10">
        <f t="shared" si="4"/>
        <v>5</v>
      </c>
      <c r="N86" s="10">
        <v>15</v>
      </c>
      <c r="O86" s="12">
        <v>1</v>
      </c>
      <c r="P86" s="11">
        <v>3270</v>
      </c>
      <c r="Q86" s="10" t="s">
        <v>31</v>
      </c>
      <c r="R86" s="4" t="s">
        <v>208</v>
      </c>
      <c r="S86" s="4" t="s">
        <v>1278</v>
      </c>
      <c r="T86" s="4" t="s">
        <v>19</v>
      </c>
      <c r="U86" s="4" t="str">
        <f t="shared" si="5"/>
        <v>NOT AN ADD-ON</v>
      </c>
      <c r="V86" s="4" t="str">
        <f t="shared" si="6"/>
        <v>INTERNAL SERVICE PROVIDERSASSET MANAGEMENT (CORE)AUTHORIZEDNOT AN ADD-ON</v>
      </c>
    </row>
    <row r="87" spans="1:22" ht="15" thickBot="1">
      <c r="A87" s="10" t="s">
        <v>21</v>
      </c>
      <c r="B87" s="10" t="s">
        <v>22</v>
      </c>
      <c r="C87" s="10" t="s">
        <v>204</v>
      </c>
      <c r="D87" s="10" t="s">
        <v>141</v>
      </c>
      <c r="E87" s="10" t="s">
        <v>142</v>
      </c>
      <c r="F87" s="10" t="s">
        <v>143</v>
      </c>
      <c r="G87" s="11">
        <v>3270</v>
      </c>
      <c r="H87" s="163" t="s">
        <v>214</v>
      </c>
      <c r="I87" s="166" t="s">
        <v>215</v>
      </c>
      <c r="J87" s="163" t="s">
        <v>214</v>
      </c>
      <c r="K87" s="10" t="s">
        <v>40</v>
      </c>
      <c r="L87" s="10">
        <v>5</v>
      </c>
      <c r="M87" s="10">
        <f t="shared" si="4"/>
        <v>5</v>
      </c>
      <c r="N87" s="10">
        <v>15</v>
      </c>
      <c r="O87" s="12">
        <v>1</v>
      </c>
      <c r="P87" s="11">
        <v>3270</v>
      </c>
      <c r="Q87" s="10" t="s">
        <v>33</v>
      </c>
      <c r="R87" s="4" t="s">
        <v>208</v>
      </c>
      <c r="S87" s="4" t="s">
        <v>1278</v>
      </c>
      <c r="T87" s="4" t="s">
        <v>19</v>
      </c>
      <c r="U87" s="4" t="str">
        <f t="shared" si="5"/>
        <v>NOT AN ADD-ON</v>
      </c>
      <c r="V87" s="4" t="str">
        <f t="shared" si="6"/>
        <v>INTERNAL SERVICE PROVIDERSASSET MANAGEMENT (CORE)AUTHORIZEDNOT AN ADD-ON</v>
      </c>
    </row>
    <row r="88" spans="1:22" ht="29.25" customHeight="1" thickBot="1">
      <c r="A88" s="10" t="s">
        <v>21</v>
      </c>
      <c r="B88" s="10" t="s">
        <v>22</v>
      </c>
      <c r="C88" s="10" t="s">
        <v>204</v>
      </c>
      <c r="D88" s="10" t="s">
        <v>141</v>
      </c>
      <c r="E88" s="10" t="s">
        <v>142</v>
      </c>
      <c r="F88" s="10" t="s">
        <v>143</v>
      </c>
      <c r="G88" s="11">
        <v>1960</v>
      </c>
      <c r="H88" s="163" t="s">
        <v>216</v>
      </c>
      <c r="I88" s="166" t="s">
        <v>217</v>
      </c>
      <c r="J88" s="163" t="s">
        <v>214</v>
      </c>
      <c r="K88" s="10" t="s">
        <v>40</v>
      </c>
      <c r="L88" s="10">
        <v>5</v>
      </c>
      <c r="M88" s="10">
        <f t="shared" si="4"/>
        <v>5</v>
      </c>
      <c r="N88" s="10">
        <v>15</v>
      </c>
      <c r="O88" s="12">
        <v>1</v>
      </c>
      <c r="P88" s="11">
        <v>3270</v>
      </c>
      <c r="Q88" s="10" t="s">
        <v>36</v>
      </c>
      <c r="R88" s="4" t="s">
        <v>208</v>
      </c>
      <c r="S88" s="4" t="s">
        <v>1278</v>
      </c>
      <c r="T88" s="4" t="s">
        <v>19</v>
      </c>
      <c r="U88" s="4" t="str">
        <f t="shared" si="5"/>
        <v>NOT AN ADD-ON</v>
      </c>
      <c r="V88" s="4" t="str">
        <f t="shared" si="6"/>
        <v>INTERNAL SERVICE PROVIDERSASSET MANAGEMENT (CORE)AUTHORIZEDNOT AN ADD-ON</v>
      </c>
    </row>
    <row r="89" spans="1:22" ht="29.25" customHeight="1" thickBot="1">
      <c r="A89" s="10" t="s">
        <v>21</v>
      </c>
      <c r="B89" s="10" t="s">
        <v>22</v>
      </c>
      <c r="C89" s="10" t="s">
        <v>204</v>
      </c>
      <c r="D89" s="10" t="s">
        <v>141</v>
      </c>
      <c r="E89" s="10" t="s">
        <v>142</v>
      </c>
      <c r="F89" s="10" t="s">
        <v>143</v>
      </c>
      <c r="G89" s="11">
        <v>702</v>
      </c>
      <c r="H89" s="163" t="s">
        <v>218</v>
      </c>
      <c r="I89" s="166" t="s">
        <v>219</v>
      </c>
      <c r="J89" s="163" t="s">
        <v>214</v>
      </c>
      <c r="K89" s="10" t="s">
        <v>40</v>
      </c>
      <c r="L89" s="10">
        <v>5</v>
      </c>
      <c r="M89" s="10">
        <f t="shared" si="4"/>
        <v>5</v>
      </c>
      <c r="N89" s="10">
        <v>15</v>
      </c>
      <c r="O89" s="12">
        <v>1</v>
      </c>
      <c r="P89" s="11">
        <v>3270</v>
      </c>
      <c r="Q89" s="10" t="s">
        <v>48</v>
      </c>
      <c r="R89" s="4" t="s">
        <v>208</v>
      </c>
      <c r="S89" s="4" t="s">
        <v>1278</v>
      </c>
      <c r="T89" s="4" t="s">
        <v>19</v>
      </c>
      <c r="U89" s="4" t="str">
        <f t="shared" si="5"/>
        <v>NOT AN ADD-ON</v>
      </c>
      <c r="V89" s="4" t="str">
        <f t="shared" si="6"/>
        <v>INTERNAL SERVICE PROVIDERSASSET MANAGEMENT (CORE)AUTHORIZEDNOT AN ADD-ON</v>
      </c>
    </row>
    <row r="90" spans="1:22" ht="27" thickBot="1">
      <c r="A90" s="10" t="s">
        <v>21</v>
      </c>
      <c r="B90" s="10" t="s">
        <v>22</v>
      </c>
      <c r="C90" s="10" t="s">
        <v>204</v>
      </c>
      <c r="D90" s="10" t="s">
        <v>141</v>
      </c>
      <c r="E90" s="10" t="s">
        <v>142</v>
      </c>
      <c r="F90" s="10" t="s">
        <v>143</v>
      </c>
      <c r="G90" s="11">
        <v>702</v>
      </c>
      <c r="H90" s="163" t="s">
        <v>220</v>
      </c>
      <c r="I90" s="166" t="s">
        <v>221</v>
      </c>
      <c r="J90" s="163" t="s">
        <v>207</v>
      </c>
      <c r="K90" s="10" t="s">
        <v>40</v>
      </c>
      <c r="L90" s="10">
        <v>5</v>
      </c>
      <c r="M90" s="10">
        <f t="shared" si="4"/>
        <v>5</v>
      </c>
      <c r="N90" s="10">
        <v>15</v>
      </c>
      <c r="O90" s="12">
        <v>1</v>
      </c>
      <c r="P90" s="11">
        <v>3270</v>
      </c>
      <c r="Q90" s="10" t="s">
        <v>48</v>
      </c>
      <c r="R90" s="4" t="s">
        <v>208</v>
      </c>
      <c r="S90" s="4" t="s">
        <v>1278</v>
      </c>
      <c r="T90" s="4" t="s">
        <v>19</v>
      </c>
      <c r="U90" s="4" t="str">
        <f t="shared" si="5"/>
        <v>NOT AN ADD-ON</v>
      </c>
      <c r="V90" s="4" t="str">
        <f t="shared" si="6"/>
        <v>INTERNAL SERVICE PROVIDERSASSET MANAGEMENT (CORE)AUTHORIZEDNOT AN ADD-ON</v>
      </c>
    </row>
    <row r="91" spans="1:22" ht="29.25" customHeight="1" thickBot="1">
      <c r="A91" s="10" t="s">
        <v>21</v>
      </c>
      <c r="B91" s="10" t="s">
        <v>22</v>
      </c>
      <c r="C91" s="10" t="s">
        <v>140</v>
      </c>
      <c r="D91" s="10" t="s">
        <v>141</v>
      </c>
      <c r="E91" s="10" t="s">
        <v>142</v>
      </c>
      <c r="F91" s="10" t="s">
        <v>143</v>
      </c>
      <c r="G91" s="11">
        <v>4090</v>
      </c>
      <c r="H91" s="163" t="s">
        <v>222</v>
      </c>
      <c r="I91" s="166" t="s">
        <v>223</v>
      </c>
      <c r="J91" s="163" t="s">
        <v>224</v>
      </c>
      <c r="K91" s="10" t="s">
        <v>30</v>
      </c>
      <c r="L91" s="10">
        <v>5</v>
      </c>
      <c r="M91" s="10">
        <f t="shared" si="4"/>
        <v>1.67</v>
      </c>
      <c r="N91" s="10">
        <v>10</v>
      </c>
      <c r="O91" s="12">
        <v>3.3333333333333335</v>
      </c>
      <c r="P91" s="11">
        <v>6390</v>
      </c>
      <c r="Q91" s="10" t="s">
        <v>48</v>
      </c>
      <c r="R91" s="4" t="s">
        <v>1278</v>
      </c>
      <c r="S91" s="4" t="s">
        <v>1278</v>
      </c>
      <c r="T91" s="4" t="s">
        <v>19</v>
      </c>
      <c r="U91" s="4" t="str">
        <f t="shared" si="5"/>
        <v>NOT AN ADD-ON</v>
      </c>
      <c r="V91" s="4" t="str">
        <f t="shared" si="6"/>
        <v>ASSET MANAGEMENT (CORE)ASSET MANAGEMENT (CORE)AUTHORIZEDNOT AN ADD-ON</v>
      </c>
    </row>
    <row r="92" spans="1:22" ht="29.25" customHeight="1" thickBot="1">
      <c r="A92" s="10" t="s">
        <v>21</v>
      </c>
      <c r="B92" s="10" t="s">
        <v>22</v>
      </c>
      <c r="C92" s="10" t="s">
        <v>140</v>
      </c>
      <c r="D92" s="10" t="s">
        <v>141</v>
      </c>
      <c r="E92" s="10" t="s">
        <v>142</v>
      </c>
      <c r="F92" s="10" t="s">
        <v>143</v>
      </c>
      <c r="G92" s="11">
        <v>1290</v>
      </c>
      <c r="H92" s="163" t="s">
        <v>225</v>
      </c>
      <c r="I92" s="158" t="s">
        <v>226</v>
      </c>
      <c r="J92" s="163" t="s">
        <v>224</v>
      </c>
      <c r="K92" s="10" t="s">
        <v>30</v>
      </c>
      <c r="L92" s="10">
        <v>10</v>
      </c>
      <c r="M92" s="10">
        <f t="shared" si="4"/>
        <v>3.33</v>
      </c>
      <c r="N92" s="10">
        <v>10</v>
      </c>
      <c r="O92" s="12">
        <v>3.3333333333333335</v>
      </c>
      <c r="P92" s="11">
        <v>6390</v>
      </c>
      <c r="Q92" s="10" t="s">
        <v>31</v>
      </c>
      <c r="R92" s="4" t="s">
        <v>1278</v>
      </c>
      <c r="S92" s="4" t="s">
        <v>1278</v>
      </c>
      <c r="T92" s="4" t="s">
        <v>19</v>
      </c>
      <c r="U92" s="4" t="str">
        <f t="shared" si="5"/>
        <v>NOT AN ADD-ON</v>
      </c>
      <c r="V92" s="4" t="str">
        <f t="shared" si="6"/>
        <v>ASSET MANAGEMENT (CORE)ASSET MANAGEMENT (CORE)AUTHORIZEDNOT AN ADD-ON</v>
      </c>
    </row>
    <row r="93" spans="1:22" ht="15" thickBot="1">
      <c r="A93" s="10" t="s">
        <v>21</v>
      </c>
      <c r="B93" s="10" t="s">
        <v>22</v>
      </c>
      <c r="C93" s="10" t="s">
        <v>140</v>
      </c>
      <c r="D93" s="10" t="s">
        <v>141</v>
      </c>
      <c r="E93" s="10" t="s">
        <v>142</v>
      </c>
      <c r="F93" s="10" t="s">
        <v>143</v>
      </c>
      <c r="G93" s="11">
        <v>6390</v>
      </c>
      <c r="H93" s="163" t="s">
        <v>224</v>
      </c>
      <c r="I93" s="158" t="s">
        <v>227</v>
      </c>
      <c r="J93" s="163" t="s">
        <v>224</v>
      </c>
      <c r="K93" s="10" t="s">
        <v>30</v>
      </c>
      <c r="L93" s="10">
        <v>10</v>
      </c>
      <c r="M93" s="10">
        <f t="shared" si="4"/>
        <v>3.33</v>
      </c>
      <c r="N93" s="10">
        <v>10</v>
      </c>
      <c r="O93" s="12">
        <v>3.3333333333333335</v>
      </c>
      <c r="P93" s="11">
        <v>6390</v>
      </c>
      <c r="Q93" s="10" t="s">
        <v>33</v>
      </c>
      <c r="R93" s="4" t="s">
        <v>1278</v>
      </c>
      <c r="S93" s="4" t="s">
        <v>1278</v>
      </c>
      <c r="T93" s="4" t="s">
        <v>19</v>
      </c>
      <c r="U93" s="4" t="str">
        <f t="shared" si="5"/>
        <v>NOT AN ADD-ON</v>
      </c>
      <c r="V93" s="4" t="str">
        <f t="shared" si="6"/>
        <v>ASSET MANAGEMENT (CORE)ASSET MANAGEMENT (CORE)AUTHORIZEDNOT AN ADD-ON</v>
      </c>
    </row>
    <row r="94" spans="1:22" ht="15" thickBot="1">
      <c r="A94" s="10" t="s">
        <v>21</v>
      </c>
      <c r="B94" s="10" t="s">
        <v>22</v>
      </c>
      <c r="C94" s="10" t="s">
        <v>140</v>
      </c>
      <c r="D94" s="10" t="s">
        <v>141</v>
      </c>
      <c r="E94" s="10" t="s">
        <v>142</v>
      </c>
      <c r="F94" s="10" t="s">
        <v>143</v>
      </c>
      <c r="G94" s="11">
        <v>3830</v>
      </c>
      <c r="H94" s="163" t="s">
        <v>228</v>
      </c>
      <c r="I94" s="158" t="s">
        <v>229</v>
      </c>
      <c r="J94" s="163" t="s">
        <v>224</v>
      </c>
      <c r="K94" s="10" t="s">
        <v>30</v>
      </c>
      <c r="L94" s="10">
        <v>10</v>
      </c>
      <c r="M94" s="10">
        <f t="shared" si="4"/>
        <v>3.33</v>
      </c>
      <c r="N94" s="10">
        <v>10</v>
      </c>
      <c r="O94" s="12">
        <v>3.3333333333333335</v>
      </c>
      <c r="P94" s="11">
        <v>6390</v>
      </c>
      <c r="Q94" s="10" t="s">
        <v>36</v>
      </c>
      <c r="R94" s="4" t="s">
        <v>1278</v>
      </c>
      <c r="S94" s="4" t="s">
        <v>1278</v>
      </c>
      <c r="T94" s="4" t="s">
        <v>19</v>
      </c>
      <c r="U94" s="4" t="str">
        <f t="shared" si="5"/>
        <v>NOT AN ADD-ON</v>
      </c>
      <c r="V94" s="4" t="str">
        <f t="shared" si="6"/>
        <v>ASSET MANAGEMENT (CORE)ASSET MANAGEMENT (CORE)AUTHORIZEDNOT AN ADD-ON</v>
      </c>
    </row>
    <row r="95" spans="1:22" ht="29.25" customHeight="1" thickBot="1">
      <c r="A95" s="10" t="s">
        <v>21</v>
      </c>
      <c r="B95" s="10" t="s">
        <v>22</v>
      </c>
      <c r="C95" s="10" t="s">
        <v>230</v>
      </c>
      <c r="D95" s="10" t="s">
        <v>141</v>
      </c>
      <c r="E95" s="10" t="s">
        <v>142</v>
      </c>
      <c r="F95" s="10" t="s">
        <v>143</v>
      </c>
      <c r="G95" s="11">
        <v>2170</v>
      </c>
      <c r="H95" s="163" t="s">
        <v>231</v>
      </c>
      <c r="I95" s="158" t="s">
        <v>232</v>
      </c>
      <c r="J95" s="163" t="s">
        <v>233</v>
      </c>
      <c r="K95" s="10" t="s">
        <v>40</v>
      </c>
      <c r="L95" s="10">
        <v>5</v>
      </c>
      <c r="M95" s="10">
        <f t="shared" si="4"/>
        <v>5</v>
      </c>
      <c r="N95" s="10">
        <v>15</v>
      </c>
      <c r="O95" s="12">
        <v>1</v>
      </c>
      <c r="P95" s="11">
        <v>10900</v>
      </c>
      <c r="Q95" s="10" t="s">
        <v>31</v>
      </c>
      <c r="R95" s="4" t="s">
        <v>234</v>
      </c>
      <c r="S95" s="4" t="s">
        <v>235</v>
      </c>
      <c r="T95" s="4" t="s">
        <v>19</v>
      </c>
      <c r="U95" s="4" t="str">
        <f t="shared" si="5"/>
        <v>NOT AN ADD-ON</v>
      </c>
      <c r="V95" s="4" t="str">
        <f t="shared" si="6"/>
        <v>MANAGED SERVICE PROVIDERSMSPAUTHORIZEDNOT AN ADD-ON</v>
      </c>
    </row>
    <row r="96" spans="1:22" ht="15" thickBot="1">
      <c r="A96" s="10" t="s">
        <v>21</v>
      </c>
      <c r="B96" s="10" t="s">
        <v>22</v>
      </c>
      <c r="C96" s="10" t="s">
        <v>230</v>
      </c>
      <c r="D96" s="10" t="s">
        <v>141</v>
      </c>
      <c r="E96" s="10" t="s">
        <v>142</v>
      </c>
      <c r="F96" s="10" t="s">
        <v>143</v>
      </c>
      <c r="G96" s="11">
        <v>10900</v>
      </c>
      <c r="H96" s="163" t="s">
        <v>233</v>
      </c>
      <c r="I96" s="158" t="s">
        <v>236</v>
      </c>
      <c r="J96" s="163" t="s">
        <v>233</v>
      </c>
      <c r="K96" s="10" t="s">
        <v>40</v>
      </c>
      <c r="L96" s="10">
        <v>5</v>
      </c>
      <c r="M96" s="10">
        <f t="shared" si="4"/>
        <v>5</v>
      </c>
      <c r="N96" s="10">
        <v>15</v>
      </c>
      <c r="O96" s="12">
        <v>1</v>
      </c>
      <c r="P96" s="11">
        <v>10900</v>
      </c>
      <c r="Q96" s="10" t="s">
        <v>33</v>
      </c>
      <c r="R96" s="4" t="s">
        <v>234</v>
      </c>
      <c r="S96" s="4" t="s">
        <v>235</v>
      </c>
      <c r="T96" s="4" t="s">
        <v>19</v>
      </c>
      <c r="U96" s="4" t="str">
        <f t="shared" si="5"/>
        <v>NOT AN ADD-ON</v>
      </c>
      <c r="V96" s="4" t="str">
        <f t="shared" si="6"/>
        <v>MANAGED SERVICE PROVIDERSMSPAUTHORIZEDNOT AN ADD-ON</v>
      </c>
    </row>
    <row r="97" spans="1:22" ht="15" thickBot="1">
      <c r="A97" s="10" t="s">
        <v>21</v>
      </c>
      <c r="B97" s="10" t="s">
        <v>22</v>
      </c>
      <c r="C97" s="10" t="s">
        <v>140</v>
      </c>
      <c r="D97" s="10" t="s">
        <v>141</v>
      </c>
      <c r="E97" s="10" t="s">
        <v>142</v>
      </c>
      <c r="F97" s="10" t="s">
        <v>143</v>
      </c>
      <c r="G97" s="11">
        <v>6530</v>
      </c>
      <c r="H97" s="163" t="s">
        <v>237</v>
      </c>
      <c r="I97" s="158" t="s">
        <v>238</v>
      </c>
      <c r="J97" s="163" t="s">
        <v>233</v>
      </c>
      <c r="K97" s="10" t="s">
        <v>40</v>
      </c>
      <c r="L97" s="10">
        <v>5</v>
      </c>
      <c r="M97" s="10">
        <f t="shared" si="4"/>
        <v>5</v>
      </c>
      <c r="N97" s="10">
        <v>15</v>
      </c>
      <c r="O97" s="12">
        <v>1</v>
      </c>
      <c r="P97" s="11">
        <v>10900</v>
      </c>
      <c r="Q97" s="10" t="s">
        <v>36</v>
      </c>
      <c r="R97" s="4" t="s">
        <v>234</v>
      </c>
      <c r="S97" s="4" t="s">
        <v>235</v>
      </c>
      <c r="T97" s="4" t="s">
        <v>19</v>
      </c>
      <c r="U97" s="4" t="str">
        <f t="shared" si="5"/>
        <v>NOT AN ADD-ON</v>
      </c>
      <c r="V97" s="4" t="str">
        <f t="shared" si="6"/>
        <v>MANAGED SERVICE PROVIDERSMSPAUTHORIZEDNOT AN ADD-ON</v>
      </c>
    </row>
    <row r="98" spans="1:22" ht="29.25" customHeight="1" thickBot="1">
      <c r="A98" s="10" t="s">
        <v>21</v>
      </c>
      <c r="B98" s="10" t="s">
        <v>22</v>
      </c>
      <c r="C98" s="10" t="s">
        <v>230</v>
      </c>
      <c r="D98" s="10" t="s">
        <v>141</v>
      </c>
      <c r="E98" s="10" t="s">
        <v>142</v>
      </c>
      <c r="F98" s="10" t="s">
        <v>143</v>
      </c>
      <c r="G98" s="11">
        <v>2170</v>
      </c>
      <c r="H98" s="163" t="s">
        <v>239</v>
      </c>
      <c r="I98" s="166" t="s">
        <v>240</v>
      </c>
      <c r="J98" s="163" t="s">
        <v>241</v>
      </c>
      <c r="K98" s="10" t="s">
        <v>40</v>
      </c>
      <c r="L98" s="10">
        <v>5</v>
      </c>
      <c r="M98" s="10">
        <f t="shared" si="4"/>
        <v>5</v>
      </c>
      <c r="N98" s="10">
        <v>15</v>
      </c>
      <c r="O98" s="12">
        <v>1</v>
      </c>
      <c r="P98" s="11">
        <v>10900</v>
      </c>
      <c r="Q98" s="10" t="s">
        <v>31</v>
      </c>
      <c r="R98" s="4" t="s">
        <v>234</v>
      </c>
      <c r="S98" s="4" t="s">
        <v>235</v>
      </c>
      <c r="T98" s="4" t="s">
        <v>19</v>
      </c>
      <c r="U98" s="4" t="str">
        <f t="shared" si="5"/>
        <v>NOT AN ADD-ON</v>
      </c>
      <c r="V98" s="4" t="str">
        <f t="shared" si="6"/>
        <v>MANAGED SERVICE PROVIDERSMSPAUTHORIZEDNOT AN ADD-ON</v>
      </c>
    </row>
    <row r="99" spans="1:22" ht="29.25" customHeight="1" thickBot="1">
      <c r="A99" s="10" t="s">
        <v>21</v>
      </c>
      <c r="B99" s="10" t="s">
        <v>22</v>
      </c>
      <c r="C99" s="10" t="s">
        <v>230</v>
      </c>
      <c r="D99" s="10" t="s">
        <v>141</v>
      </c>
      <c r="E99" s="10" t="s">
        <v>142</v>
      </c>
      <c r="F99" s="10" t="s">
        <v>143</v>
      </c>
      <c r="G99" s="11">
        <v>10900</v>
      </c>
      <c r="H99" s="163" t="s">
        <v>241</v>
      </c>
      <c r="I99" s="166" t="s">
        <v>242</v>
      </c>
      <c r="J99" s="163" t="s">
        <v>241</v>
      </c>
      <c r="K99" s="10" t="s">
        <v>40</v>
      </c>
      <c r="L99" s="10">
        <v>5</v>
      </c>
      <c r="M99" s="10">
        <f t="shared" si="4"/>
        <v>5</v>
      </c>
      <c r="N99" s="10">
        <v>15</v>
      </c>
      <c r="O99" s="12">
        <v>1</v>
      </c>
      <c r="P99" s="11">
        <v>10900</v>
      </c>
      <c r="Q99" s="10" t="s">
        <v>33</v>
      </c>
      <c r="R99" s="4" t="s">
        <v>234</v>
      </c>
      <c r="S99" s="4" t="s">
        <v>235</v>
      </c>
      <c r="T99" s="4" t="s">
        <v>19</v>
      </c>
      <c r="U99" s="4" t="str">
        <f t="shared" si="5"/>
        <v>NOT AN ADD-ON</v>
      </c>
      <c r="V99" s="4" t="str">
        <f t="shared" si="6"/>
        <v>MANAGED SERVICE PROVIDERSMSPAUTHORIZEDNOT AN ADD-ON</v>
      </c>
    </row>
    <row r="100" spans="1:22" ht="15" thickBot="1">
      <c r="A100" s="10" t="s">
        <v>21</v>
      </c>
      <c r="B100" s="10" t="s">
        <v>22</v>
      </c>
      <c r="C100" s="10" t="s">
        <v>230</v>
      </c>
      <c r="D100" s="10" t="s">
        <v>141</v>
      </c>
      <c r="E100" s="10" t="s">
        <v>142</v>
      </c>
      <c r="F100" s="10" t="s">
        <v>143</v>
      </c>
      <c r="G100" s="11">
        <v>6530</v>
      </c>
      <c r="H100" s="163" t="s">
        <v>243</v>
      </c>
      <c r="I100" s="166" t="s">
        <v>244</v>
      </c>
      <c r="J100" s="163" t="s">
        <v>241</v>
      </c>
      <c r="K100" s="10" t="s">
        <v>40</v>
      </c>
      <c r="L100" s="10">
        <v>5</v>
      </c>
      <c r="M100" s="10">
        <f t="shared" si="4"/>
        <v>5</v>
      </c>
      <c r="N100" s="10">
        <v>15</v>
      </c>
      <c r="O100" s="12">
        <v>1</v>
      </c>
      <c r="P100" s="11">
        <v>10900</v>
      </c>
      <c r="Q100" s="10" t="s">
        <v>36</v>
      </c>
      <c r="R100" s="4" t="s">
        <v>234</v>
      </c>
      <c r="S100" s="4" t="s">
        <v>235</v>
      </c>
      <c r="T100" s="4" t="s">
        <v>19</v>
      </c>
      <c r="U100" s="4" t="str">
        <f t="shared" si="5"/>
        <v>NOT AN ADD-ON</v>
      </c>
      <c r="V100" s="4" t="str">
        <f t="shared" si="6"/>
        <v>MANAGED SERVICE PROVIDERSMSPAUTHORIZEDNOT AN ADD-ON</v>
      </c>
    </row>
    <row r="101" spans="1:22" ht="27" thickBot="1">
      <c r="A101" s="10" t="s">
        <v>21</v>
      </c>
      <c r="B101" s="10" t="s">
        <v>22</v>
      </c>
      <c r="C101" s="10" t="s">
        <v>230</v>
      </c>
      <c r="D101" s="10" t="s">
        <v>141</v>
      </c>
      <c r="E101" s="10" t="s">
        <v>142</v>
      </c>
      <c r="F101" s="10" t="s">
        <v>143</v>
      </c>
      <c r="G101" s="11">
        <v>2350</v>
      </c>
      <c r="H101" s="163" t="s">
        <v>245</v>
      </c>
      <c r="I101" s="166" t="s">
        <v>246</v>
      </c>
      <c r="J101" s="163" t="s">
        <v>241</v>
      </c>
      <c r="K101" s="10" t="s">
        <v>40</v>
      </c>
      <c r="L101" s="10">
        <v>5</v>
      </c>
      <c r="M101" s="10">
        <f t="shared" si="4"/>
        <v>5</v>
      </c>
      <c r="N101" s="10">
        <v>15</v>
      </c>
      <c r="O101" s="12">
        <v>1</v>
      </c>
      <c r="P101" s="11">
        <v>10900</v>
      </c>
      <c r="Q101" s="10" t="s">
        <v>48</v>
      </c>
      <c r="R101" s="4" t="s">
        <v>234</v>
      </c>
      <c r="S101" s="4" t="s">
        <v>235</v>
      </c>
      <c r="T101" s="4" t="s">
        <v>19</v>
      </c>
      <c r="U101" s="4" t="str">
        <f t="shared" si="5"/>
        <v>NOT AN ADD-ON</v>
      </c>
      <c r="V101" s="4" t="str">
        <f t="shared" si="6"/>
        <v>MANAGED SERVICE PROVIDERSMSPAUTHORIZEDNOT AN ADD-ON</v>
      </c>
    </row>
    <row r="102" spans="1:22" ht="29.25" customHeight="1" thickBot="1">
      <c r="A102" s="10" t="s">
        <v>21</v>
      </c>
      <c r="B102" s="10" t="s">
        <v>22</v>
      </c>
      <c r="C102" s="10" t="s">
        <v>230</v>
      </c>
      <c r="D102" s="10" t="s">
        <v>141</v>
      </c>
      <c r="E102" s="10" t="s">
        <v>142</v>
      </c>
      <c r="F102" s="10" t="s">
        <v>143</v>
      </c>
      <c r="G102" s="11">
        <v>2350</v>
      </c>
      <c r="H102" s="163" t="s">
        <v>247</v>
      </c>
      <c r="I102" s="166" t="s">
        <v>248</v>
      </c>
      <c r="J102" s="163" t="s">
        <v>233</v>
      </c>
      <c r="K102" s="10" t="s">
        <v>40</v>
      </c>
      <c r="L102" s="10">
        <v>5</v>
      </c>
      <c r="M102" s="10">
        <f t="shared" si="4"/>
        <v>5</v>
      </c>
      <c r="N102" s="10">
        <v>15</v>
      </c>
      <c r="O102" s="12">
        <v>1</v>
      </c>
      <c r="P102" s="11">
        <v>10900</v>
      </c>
      <c r="Q102" s="10" t="s">
        <v>48</v>
      </c>
      <c r="R102" s="4" t="s">
        <v>234</v>
      </c>
      <c r="S102" s="4" t="s">
        <v>235</v>
      </c>
      <c r="T102" s="4" t="s">
        <v>19</v>
      </c>
      <c r="U102" s="4" t="str">
        <f t="shared" si="5"/>
        <v>NOT AN ADD-ON</v>
      </c>
      <c r="V102" s="4" t="str">
        <f t="shared" si="6"/>
        <v>MANAGED SERVICE PROVIDERSMSPAUTHORIZEDNOT AN ADD-ON</v>
      </c>
    </row>
    <row r="103" spans="1:22" ht="15" thickBot="1">
      <c r="A103" s="10" t="s">
        <v>21</v>
      </c>
      <c r="B103" s="10" t="s">
        <v>22</v>
      </c>
      <c r="C103" s="10" t="s">
        <v>204</v>
      </c>
      <c r="D103" s="10" t="s">
        <v>141</v>
      </c>
      <c r="E103" s="10" t="s">
        <v>142</v>
      </c>
      <c r="F103" s="10" t="s">
        <v>143</v>
      </c>
      <c r="G103" s="11">
        <v>214</v>
      </c>
      <c r="H103" s="163" t="s">
        <v>249</v>
      </c>
      <c r="I103" s="158" t="s">
        <v>250</v>
      </c>
      <c r="J103" s="163" t="s">
        <v>251</v>
      </c>
      <c r="K103" s="10" t="s">
        <v>30</v>
      </c>
      <c r="L103" s="10">
        <v>5</v>
      </c>
      <c r="M103" s="10">
        <f t="shared" si="4"/>
        <v>1.67</v>
      </c>
      <c r="N103" s="10">
        <v>15</v>
      </c>
      <c r="O103" s="12">
        <v>5</v>
      </c>
      <c r="P103" s="11">
        <v>1070</v>
      </c>
      <c r="Q103" s="10" t="s">
        <v>31</v>
      </c>
      <c r="R103" s="4" t="s">
        <v>208</v>
      </c>
      <c r="S103" s="4" t="s">
        <v>507</v>
      </c>
      <c r="T103" s="4" t="s">
        <v>19</v>
      </c>
      <c r="U103" s="4" t="str">
        <f t="shared" si="5"/>
        <v>NOT AN ADD-ON</v>
      </c>
      <c r="V103" s="4" t="str">
        <f t="shared" si="6"/>
        <v>INTERNAL SERVICE PROVIDERSADD-ONAUTHORIZEDNOT AN ADD-ON</v>
      </c>
    </row>
    <row r="104" spans="1:22" ht="15" thickBot="1">
      <c r="A104" s="10" t="s">
        <v>21</v>
      </c>
      <c r="B104" s="10" t="s">
        <v>22</v>
      </c>
      <c r="C104" s="10" t="s">
        <v>204</v>
      </c>
      <c r="D104" s="10" t="s">
        <v>141</v>
      </c>
      <c r="E104" s="10" t="s">
        <v>142</v>
      </c>
      <c r="F104" s="10" t="s">
        <v>143</v>
      </c>
      <c r="G104" s="11">
        <v>1070</v>
      </c>
      <c r="H104" s="163" t="s">
        <v>251</v>
      </c>
      <c r="I104" s="158" t="s">
        <v>252</v>
      </c>
      <c r="J104" s="163" t="s">
        <v>251</v>
      </c>
      <c r="K104" s="10" t="s">
        <v>30</v>
      </c>
      <c r="L104" s="10">
        <v>5</v>
      </c>
      <c r="M104" s="10">
        <f t="shared" si="4"/>
        <v>1.67</v>
      </c>
      <c r="N104" s="10">
        <v>15</v>
      </c>
      <c r="O104" s="12">
        <v>5</v>
      </c>
      <c r="P104" s="11">
        <v>1070</v>
      </c>
      <c r="Q104" s="10" t="s">
        <v>33</v>
      </c>
      <c r="R104" s="4" t="s">
        <v>208</v>
      </c>
      <c r="S104" s="4" t="s">
        <v>507</v>
      </c>
      <c r="T104" s="4" t="s">
        <v>19</v>
      </c>
      <c r="U104" s="4" t="str">
        <f t="shared" si="5"/>
        <v>NOT AN ADD-ON</v>
      </c>
      <c r="V104" s="4" t="str">
        <f t="shared" si="6"/>
        <v>INTERNAL SERVICE PROVIDERSADD-ONAUTHORIZEDNOT AN ADD-ON</v>
      </c>
    </row>
    <row r="105" spans="1:22" ht="29.25" customHeight="1" thickBot="1">
      <c r="A105" s="10" t="s">
        <v>21</v>
      </c>
      <c r="B105" s="10" t="s">
        <v>22</v>
      </c>
      <c r="C105" s="10" t="s">
        <v>204</v>
      </c>
      <c r="D105" s="10" t="s">
        <v>141</v>
      </c>
      <c r="E105" s="10" t="s">
        <v>142</v>
      </c>
      <c r="F105" s="10" t="s">
        <v>143</v>
      </c>
      <c r="G105" s="11">
        <v>643</v>
      </c>
      <c r="H105" s="163" t="s">
        <v>253</v>
      </c>
      <c r="I105" s="158" t="s">
        <v>254</v>
      </c>
      <c r="J105" s="163" t="s">
        <v>251</v>
      </c>
      <c r="K105" s="10" t="s">
        <v>30</v>
      </c>
      <c r="L105" s="10">
        <v>5</v>
      </c>
      <c r="M105" s="10">
        <f t="shared" si="4"/>
        <v>1.67</v>
      </c>
      <c r="N105" s="10">
        <v>15</v>
      </c>
      <c r="O105" s="12">
        <v>5</v>
      </c>
      <c r="P105" s="11">
        <v>1070</v>
      </c>
      <c r="Q105" s="10" t="s">
        <v>36</v>
      </c>
      <c r="R105" s="4" t="s">
        <v>208</v>
      </c>
      <c r="S105" s="4" t="s">
        <v>507</v>
      </c>
      <c r="T105" s="4" t="s">
        <v>19</v>
      </c>
      <c r="U105" s="4" t="str">
        <f t="shared" si="5"/>
        <v>NOT AN ADD-ON</v>
      </c>
      <c r="V105" s="4" t="str">
        <f t="shared" si="6"/>
        <v>INTERNAL SERVICE PROVIDERSADD-ONAUTHORIZEDNOT AN ADD-ON</v>
      </c>
    </row>
    <row r="106" spans="1:22" ht="29.25" customHeight="1" thickBot="1">
      <c r="A106" s="10" t="s">
        <v>21</v>
      </c>
      <c r="B106" s="10" t="s">
        <v>22</v>
      </c>
      <c r="C106" s="10" t="s">
        <v>204</v>
      </c>
      <c r="D106" s="10" t="s">
        <v>141</v>
      </c>
      <c r="E106" s="10" t="s">
        <v>142</v>
      </c>
      <c r="F106" s="10" t="s">
        <v>143</v>
      </c>
      <c r="G106" s="11">
        <v>214</v>
      </c>
      <c r="H106" s="163" t="s">
        <v>255</v>
      </c>
      <c r="I106" s="158" t="s">
        <v>256</v>
      </c>
      <c r="J106" s="163" t="s">
        <v>257</v>
      </c>
      <c r="K106" s="10" t="s">
        <v>30</v>
      </c>
      <c r="L106" s="10">
        <v>5</v>
      </c>
      <c r="M106" s="10">
        <f t="shared" si="4"/>
        <v>1.67</v>
      </c>
      <c r="N106" s="10">
        <v>15</v>
      </c>
      <c r="O106" s="12">
        <v>5</v>
      </c>
      <c r="P106" s="11">
        <v>1070</v>
      </c>
      <c r="Q106" s="10" t="s">
        <v>31</v>
      </c>
      <c r="R106" s="4" t="s">
        <v>208</v>
      </c>
      <c r="S106" s="4" t="s">
        <v>507</v>
      </c>
      <c r="T106" s="4" t="s">
        <v>19</v>
      </c>
      <c r="U106" s="4" t="str">
        <f t="shared" si="5"/>
        <v>NOT AN ADD-ON</v>
      </c>
      <c r="V106" s="4" t="str">
        <f t="shared" si="6"/>
        <v>INTERNAL SERVICE PROVIDERSADD-ONAUTHORIZEDNOT AN ADD-ON</v>
      </c>
    </row>
    <row r="107" spans="1:22" ht="15" thickBot="1">
      <c r="A107" s="10" t="s">
        <v>21</v>
      </c>
      <c r="B107" s="10" t="s">
        <v>22</v>
      </c>
      <c r="C107" s="10" t="s">
        <v>204</v>
      </c>
      <c r="D107" s="10" t="s">
        <v>141</v>
      </c>
      <c r="E107" s="10" t="s">
        <v>142</v>
      </c>
      <c r="F107" s="10" t="s">
        <v>143</v>
      </c>
      <c r="G107" s="11">
        <v>1070</v>
      </c>
      <c r="H107" s="163" t="s">
        <v>257</v>
      </c>
      <c r="I107" s="166" t="s">
        <v>258</v>
      </c>
      <c r="J107" s="163" t="s">
        <v>257</v>
      </c>
      <c r="K107" s="10" t="s">
        <v>30</v>
      </c>
      <c r="L107" s="10">
        <v>5</v>
      </c>
      <c r="M107" s="10">
        <f t="shared" si="4"/>
        <v>1.67</v>
      </c>
      <c r="N107" s="10">
        <v>15</v>
      </c>
      <c r="O107" s="12">
        <v>5</v>
      </c>
      <c r="P107" s="11">
        <v>1070</v>
      </c>
      <c r="Q107" s="10" t="s">
        <v>33</v>
      </c>
      <c r="R107" s="4" t="s">
        <v>208</v>
      </c>
      <c r="S107" s="4" t="s">
        <v>507</v>
      </c>
      <c r="T107" s="4" t="s">
        <v>19</v>
      </c>
      <c r="U107" s="4" t="str">
        <f t="shared" si="5"/>
        <v>NOT AN ADD-ON</v>
      </c>
      <c r="V107" s="4" t="str">
        <f t="shared" si="6"/>
        <v>INTERNAL SERVICE PROVIDERSADD-ONAUTHORIZEDNOT AN ADD-ON</v>
      </c>
    </row>
    <row r="108" spans="1:22" ht="29.25" customHeight="1" thickBot="1">
      <c r="A108" s="10" t="s">
        <v>21</v>
      </c>
      <c r="B108" s="10" t="s">
        <v>22</v>
      </c>
      <c r="C108" s="10" t="s">
        <v>204</v>
      </c>
      <c r="D108" s="10" t="s">
        <v>141</v>
      </c>
      <c r="E108" s="10" t="s">
        <v>142</v>
      </c>
      <c r="F108" s="10" t="s">
        <v>143</v>
      </c>
      <c r="G108" s="11">
        <v>643</v>
      </c>
      <c r="H108" s="163" t="s">
        <v>259</v>
      </c>
      <c r="I108" s="166" t="s">
        <v>260</v>
      </c>
      <c r="J108" s="163" t="s">
        <v>257</v>
      </c>
      <c r="K108" s="10" t="s">
        <v>30</v>
      </c>
      <c r="L108" s="10">
        <v>5</v>
      </c>
      <c r="M108" s="10">
        <f t="shared" si="4"/>
        <v>1.67</v>
      </c>
      <c r="N108" s="10">
        <v>15</v>
      </c>
      <c r="O108" s="12">
        <v>5</v>
      </c>
      <c r="P108" s="11">
        <v>1070</v>
      </c>
      <c r="Q108" s="10" t="s">
        <v>36</v>
      </c>
      <c r="R108" s="4" t="s">
        <v>208</v>
      </c>
      <c r="S108" s="4" t="s">
        <v>507</v>
      </c>
      <c r="T108" s="4" t="s">
        <v>19</v>
      </c>
      <c r="U108" s="4" t="str">
        <f t="shared" si="5"/>
        <v>NOT AN ADD-ON</v>
      </c>
      <c r="V108" s="4" t="str">
        <f t="shared" si="6"/>
        <v>INTERNAL SERVICE PROVIDERSADD-ONAUTHORIZEDNOT AN ADD-ON</v>
      </c>
    </row>
    <row r="109" spans="1:22" ht="27" thickBot="1">
      <c r="A109" s="10" t="s">
        <v>21</v>
      </c>
      <c r="B109" s="10" t="s">
        <v>22</v>
      </c>
      <c r="C109" s="10" t="s">
        <v>140</v>
      </c>
      <c r="D109" s="10" t="s">
        <v>141</v>
      </c>
      <c r="E109" s="10" t="s">
        <v>142</v>
      </c>
      <c r="F109" s="10" t="s">
        <v>143</v>
      </c>
      <c r="G109" s="11">
        <v>2400</v>
      </c>
      <c r="H109" s="163" t="s">
        <v>261</v>
      </c>
      <c r="I109" s="166" t="s">
        <v>262</v>
      </c>
      <c r="J109" s="163" t="s">
        <v>263</v>
      </c>
      <c r="K109" s="10" t="s">
        <v>30</v>
      </c>
      <c r="L109" s="10">
        <v>5</v>
      </c>
      <c r="M109" s="10">
        <f t="shared" si="4"/>
        <v>1.67</v>
      </c>
      <c r="N109" s="10">
        <v>5</v>
      </c>
      <c r="O109" s="12">
        <v>1.6666666666666667</v>
      </c>
      <c r="P109" s="11">
        <v>3200</v>
      </c>
      <c r="Q109" s="10" t="s">
        <v>48</v>
      </c>
      <c r="R109" s="4" t="s">
        <v>1278</v>
      </c>
      <c r="S109" s="4" t="s">
        <v>1278</v>
      </c>
      <c r="T109" s="4" t="s">
        <v>672</v>
      </c>
      <c r="U109" s="4" t="str">
        <f t="shared" si="5"/>
        <v>NOT AN ADD-ON</v>
      </c>
      <c r="V109" s="4" t="str">
        <f t="shared" si="6"/>
        <v>ASSET MANAGEMENT (CORE)ASSET MANAGEMENT (CORE)LIMITEDNOT AN ADD-ON</v>
      </c>
    </row>
    <row r="110" spans="1:22" ht="29.25" customHeight="1" thickBot="1">
      <c r="A110" s="10" t="s">
        <v>21</v>
      </c>
      <c r="B110" s="10" t="s">
        <v>22</v>
      </c>
      <c r="C110" s="10" t="s">
        <v>140</v>
      </c>
      <c r="D110" s="10" t="s">
        <v>141</v>
      </c>
      <c r="E110" s="10" t="s">
        <v>142</v>
      </c>
      <c r="F110" s="10" t="s">
        <v>143</v>
      </c>
      <c r="G110" s="11">
        <v>641</v>
      </c>
      <c r="H110" s="163" t="s">
        <v>264</v>
      </c>
      <c r="I110" s="158" t="s">
        <v>265</v>
      </c>
      <c r="J110" s="163" t="s">
        <v>263</v>
      </c>
      <c r="K110" s="10" t="s">
        <v>30</v>
      </c>
      <c r="L110" s="10">
        <v>5</v>
      </c>
      <c r="M110" s="10">
        <f t="shared" si="4"/>
        <v>1.67</v>
      </c>
      <c r="N110" s="10">
        <v>5</v>
      </c>
      <c r="O110" s="12">
        <v>1.6666666666666667</v>
      </c>
      <c r="P110" s="11">
        <v>3200</v>
      </c>
      <c r="Q110" s="10" t="s">
        <v>31</v>
      </c>
      <c r="R110" s="4" t="s">
        <v>1278</v>
      </c>
      <c r="S110" s="4" t="s">
        <v>1278</v>
      </c>
      <c r="T110" s="4" t="s">
        <v>672</v>
      </c>
      <c r="U110" s="4" t="str">
        <f t="shared" si="5"/>
        <v>NOT AN ADD-ON</v>
      </c>
      <c r="V110" s="4" t="str">
        <f t="shared" si="6"/>
        <v>ASSET MANAGEMENT (CORE)ASSET MANAGEMENT (CORE)LIMITEDNOT AN ADD-ON</v>
      </c>
    </row>
    <row r="111" spans="1:22" ht="29.25" customHeight="1" thickBot="1">
      <c r="A111" s="10" t="s">
        <v>21</v>
      </c>
      <c r="B111" s="10" t="s">
        <v>22</v>
      </c>
      <c r="C111" s="10" t="s">
        <v>140</v>
      </c>
      <c r="D111" s="10" t="s">
        <v>141</v>
      </c>
      <c r="E111" s="10" t="s">
        <v>142</v>
      </c>
      <c r="F111" s="10" t="s">
        <v>143</v>
      </c>
      <c r="G111" s="11">
        <v>3200</v>
      </c>
      <c r="H111" s="163" t="s">
        <v>263</v>
      </c>
      <c r="I111" s="158" t="s">
        <v>266</v>
      </c>
      <c r="J111" s="163" t="s">
        <v>263</v>
      </c>
      <c r="K111" s="10" t="s">
        <v>30</v>
      </c>
      <c r="L111" s="10">
        <v>5</v>
      </c>
      <c r="M111" s="10">
        <f t="shared" si="4"/>
        <v>1.67</v>
      </c>
      <c r="N111" s="10">
        <v>5</v>
      </c>
      <c r="O111" s="12">
        <v>1.6666666666666667</v>
      </c>
      <c r="P111" s="11">
        <v>3200</v>
      </c>
      <c r="Q111" s="10" t="s">
        <v>33</v>
      </c>
      <c r="R111" s="4" t="s">
        <v>1278</v>
      </c>
      <c r="S111" s="4" t="s">
        <v>1278</v>
      </c>
      <c r="T111" s="4" t="s">
        <v>672</v>
      </c>
      <c r="U111" s="4" t="str">
        <f t="shared" si="5"/>
        <v>NOT AN ADD-ON</v>
      </c>
      <c r="V111" s="4" t="str">
        <f t="shared" si="6"/>
        <v>ASSET MANAGEMENT (CORE)ASSET MANAGEMENT (CORE)LIMITEDNOT AN ADD-ON</v>
      </c>
    </row>
    <row r="112" spans="1:22" ht="29.25" customHeight="1" thickBot="1">
      <c r="A112" s="10" t="s">
        <v>21</v>
      </c>
      <c r="B112" s="10" t="s">
        <v>22</v>
      </c>
      <c r="C112" s="10" t="s">
        <v>140</v>
      </c>
      <c r="D112" s="10" t="s">
        <v>141</v>
      </c>
      <c r="E112" s="10" t="s">
        <v>142</v>
      </c>
      <c r="F112" s="10" t="s">
        <v>143</v>
      </c>
      <c r="G112" s="11">
        <v>1920</v>
      </c>
      <c r="H112" s="163" t="s">
        <v>267</v>
      </c>
      <c r="I112" s="158" t="s">
        <v>268</v>
      </c>
      <c r="J112" s="163" t="s">
        <v>263</v>
      </c>
      <c r="K112" s="10" t="s">
        <v>30</v>
      </c>
      <c r="L112" s="10">
        <v>5</v>
      </c>
      <c r="M112" s="10">
        <f t="shared" si="4"/>
        <v>1.67</v>
      </c>
      <c r="N112" s="10">
        <v>5</v>
      </c>
      <c r="O112" s="12">
        <v>1.6666666666666667</v>
      </c>
      <c r="P112" s="11">
        <v>3200</v>
      </c>
      <c r="Q112" s="10" t="s">
        <v>36</v>
      </c>
      <c r="R112" s="4" t="s">
        <v>1278</v>
      </c>
      <c r="S112" s="4" t="s">
        <v>1278</v>
      </c>
      <c r="T112" s="4" t="s">
        <v>672</v>
      </c>
      <c r="U112" s="4" t="str">
        <f t="shared" si="5"/>
        <v>NOT AN ADD-ON</v>
      </c>
      <c r="V112" s="4" t="str">
        <f t="shared" si="6"/>
        <v>ASSET MANAGEMENT (CORE)ASSET MANAGEMENT (CORE)LIMITEDNOT AN ADD-ON</v>
      </c>
    </row>
    <row r="113" spans="1:22" ht="27" thickBot="1">
      <c r="A113" s="10" t="s">
        <v>21</v>
      </c>
      <c r="B113" s="10" t="s">
        <v>22</v>
      </c>
      <c r="C113" s="10" t="s">
        <v>140</v>
      </c>
      <c r="D113" s="10" t="s">
        <v>141</v>
      </c>
      <c r="E113" s="10" t="s">
        <v>142</v>
      </c>
      <c r="F113" s="10" t="s">
        <v>143</v>
      </c>
      <c r="G113" s="11">
        <v>2400</v>
      </c>
      <c r="H113" s="163" t="s">
        <v>269</v>
      </c>
      <c r="I113" s="166" t="s">
        <v>270</v>
      </c>
      <c r="J113" s="163" t="s">
        <v>271</v>
      </c>
      <c r="K113" s="10" t="s">
        <v>30</v>
      </c>
      <c r="L113" s="10">
        <v>5</v>
      </c>
      <c r="M113" s="10">
        <f t="shared" si="4"/>
        <v>1.67</v>
      </c>
      <c r="N113" s="10">
        <v>5</v>
      </c>
      <c r="O113" s="12">
        <v>1.6666666666666667</v>
      </c>
      <c r="P113" s="11">
        <v>3200</v>
      </c>
      <c r="Q113" s="10" t="s">
        <v>48</v>
      </c>
      <c r="R113" s="4" t="s">
        <v>1278</v>
      </c>
      <c r="S113" s="4" t="s">
        <v>1278</v>
      </c>
      <c r="T113" s="4" t="s">
        <v>672</v>
      </c>
      <c r="U113" s="4" t="str">
        <f t="shared" si="5"/>
        <v>NOT AN ADD-ON</v>
      </c>
      <c r="V113" s="4" t="str">
        <f t="shared" si="6"/>
        <v>ASSET MANAGEMENT (CORE)ASSET MANAGEMENT (CORE)LIMITEDNOT AN ADD-ON</v>
      </c>
    </row>
    <row r="114" spans="1:22" ht="29.25" customHeight="1" thickBot="1">
      <c r="A114" s="10" t="s">
        <v>21</v>
      </c>
      <c r="B114" s="10" t="s">
        <v>22</v>
      </c>
      <c r="C114" s="10" t="s">
        <v>140</v>
      </c>
      <c r="D114" s="10" t="s">
        <v>141</v>
      </c>
      <c r="E114" s="10" t="s">
        <v>142</v>
      </c>
      <c r="F114" s="10" t="s">
        <v>143</v>
      </c>
      <c r="G114" s="11">
        <v>641</v>
      </c>
      <c r="H114" s="163" t="s">
        <v>272</v>
      </c>
      <c r="I114" s="158" t="s">
        <v>273</v>
      </c>
      <c r="J114" s="163" t="s">
        <v>271</v>
      </c>
      <c r="K114" s="10" t="s">
        <v>30</v>
      </c>
      <c r="L114" s="10">
        <v>5</v>
      </c>
      <c r="M114" s="10">
        <f t="shared" si="4"/>
        <v>1.67</v>
      </c>
      <c r="N114" s="10">
        <v>5</v>
      </c>
      <c r="O114" s="12">
        <v>1.6666666666666667</v>
      </c>
      <c r="P114" s="11">
        <v>3200</v>
      </c>
      <c r="Q114" s="10" t="s">
        <v>31</v>
      </c>
      <c r="R114" s="4" t="s">
        <v>1278</v>
      </c>
      <c r="S114" s="4" t="s">
        <v>1278</v>
      </c>
      <c r="T114" s="4" t="s">
        <v>672</v>
      </c>
      <c r="U114" s="4" t="str">
        <f t="shared" si="5"/>
        <v>NOT AN ADD-ON</v>
      </c>
      <c r="V114" s="4" t="str">
        <f t="shared" si="6"/>
        <v>ASSET MANAGEMENT (CORE)ASSET MANAGEMENT (CORE)LIMITEDNOT AN ADD-ON</v>
      </c>
    </row>
    <row r="115" spans="1:22" ht="15" thickBot="1">
      <c r="A115" s="10" t="s">
        <v>21</v>
      </c>
      <c r="B115" s="10" t="s">
        <v>22</v>
      </c>
      <c r="C115" s="10" t="s">
        <v>140</v>
      </c>
      <c r="D115" s="10" t="s">
        <v>141</v>
      </c>
      <c r="E115" s="10" t="s">
        <v>142</v>
      </c>
      <c r="F115" s="10" t="s">
        <v>143</v>
      </c>
      <c r="G115" s="11">
        <v>3200</v>
      </c>
      <c r="H115" s="163" t="s">
        <v>271</v>
      </c>
      <c r="I115" s="158" t="s">
        <v>274</v>
      </c>
      <c r="J115" s="163" t="s">
        <v>271</v>
      </c>
      <c r="K115" s="10" t="s">
        <v>30</v>
      </c>
      <c r="L115" s="10">
        <v>5</v>
      </c>
      <c r="M115" s="10">
        <f t="shared" si="4"/>
        <v>1.67</v>
      </c>
      <c r="N115" s="10">
        <v>5</v>
      </c>
      <c r="O115" s="12">
        <v>1.6666666666666667</v>
      </c>
      <c r="P115" s="11">
        <v>3200</v>
      </c>
      <c r="Q115" s="10" t="s">
        <v>33</v>
      </c>
      <c r="R115" s="4" t="s">
        <v>1278</v>
      </c>
      <c r="S115" s="4" t="s">
        <v>1278</v>
      </c>
      <c r="T115" s="4" t="s">
        <v>672</v>
      </c>
      <c r="U115" s="4" t="str">
        <f t="shared" si="5"/>
        <v>NOT AN ADD-ON</v>
      </c>
      <c r="V115" s="4" t="str">
        <f t="shared" si="6"/>
        <v>ASSET MANAGEMENT (CORE)ASSET MANAGEMENT (CORE)LIMITEDNOT AN ADD-ON</v>
      </c>
    </row>
    <row r="116" spans="1:22" ht="29.25" customHeight="1" thickBot="1">
      <c r="A116" s="10" t="s">
        <v>21</v>
      </c>
      <c r="B116" s="10" t="s">
        <v>22</v>
      </c>
      <c r="C116" s="10" t="s">
        <v>140</v>
      </c>
      <c r="D116" s="10" t="s">
        <v>141</v>
      </c>
      <c r="E116" s="10" t="s">
        <v>142</v>
      </c>
      <c r="F116" s="10" t="s">
        <v>143</v>
      </c>
      <c r="G116" s="11">
        <v>1920</v>
      </c>
      <c r="H116" s="163" t="s">
        <v>275</v>
      </c>
      <c r="I116" s="158" t="s">
        <v>276</v>
      </c>
      <c r="J116" s="163" t="s">
        <v>271</v>
      </c>
      <c r="K116" s="10" t="s">
        <v>30</v>
      </c>
      <c r="L116" s="10">
        <v>5</v>
      </c>
      <c r="M116" s="10">
        <f t="shared" si="4"/>
        <v>1.67</v>
      </c>
      <c r="N116" s="10">
        <v>5</v>
      </c>
      <c r="O116" s="12">
        <v>1.6666666666666667</v>
      </c>
      <c r="P116" s="11">
        <v>3200</v>
      </c>
      <c r="Q116" s="10" t="s">
        <v>36</v>
      </c>
      <c r="R116" s="4" t="s">
        <v>1278</v>
      </c>
      <c r="S116" s="4" t="s">
        <v>1278</v>
      </c>
      <c r="T116" s="4" t="s">
        <v>672</v>
      </c>
      <c r="U116" s="4" t="str">
        <f t="shared" si="5"/>
        <v>NOT AN ADD-ON</v>
      </c>
      <c r="V116" s="4" t="str">
        <f t="shared" si="6"/>
        <v>ASSET MANAGEMENT (CORE)ASSET MANAGEMENT (CORE)LIMITEDNOT AN ADD-ON</v>
      </c>
    </row>
    <row r="117" spans="1:22" ht="15" thickBot="1">
      <c r="A117" s="10" t="s">
        <v>21</v>
      </c>
      <c r="B117" s="10" t="s">
        <v>22</v>
      </c>
      <c r="C117" s="10" t="s">
        <v>230</v>
      </c>
      <c r="D117" s="10" t="s">
        <v>141</v>
      </c>
      <c r="E117" s="10" t="s">
        <v>142</v>
      </c>
      <c r="F117" s="10" t="s">
        <v>143</v>
      </c>
      <c r="G117" s="11">
        <v>715</v>
      </c>
      <c r="H117" s="163" t="s">
        <v>277</v>
      </c>
      <c r="I117" s="158" t="s">
        <v>278</v>
      </c>
      <c r="J117" s="163" t="s">
        <v>279</v>
      </c>
      <c r="K117" s="10" t="s">
        <v>30</v>
      </c>
      <c r="L117" s="10">
        <v>5</v>
      </c>
      <c r="M117" s="10">
        <f t="shared" si="4"/>
        <v>1.67</v>
      </c>
      <c r="N117" s="10">
        <v>15</v>
      </c>
      <c r="O117" s="12">
        <v>5</v>
      </c>
      <c r="P117" s="11">
        <v>3570</v>
      </c>
      <c r="Q117" s="10" t="s">
        <v>31</v>
      </c>
      <c r="R117" s="4" t="s">
        <v>234</v>
      </c>
      <c r="S117" s="4" t="s">
        <v>235</v>
      </c>
      <c r="T117" s="4" t="s">
        <v>19</v>
      </c>
      <c r="U117" s="4" t="str">
        <f t="shared" si="5"/>
        <v>NOT AN ADD-ON</v>
      </c>
      <c r="V117" s="4" t="str">
        <f t="shared" si="6"/>
        <v>MANAGED SERVICE PROVIDERSMSPAUTHORIZEDNOT AN ADD-ON</v>
      </c>
    </row>
    <row r="118" spans="1:22" ht="15" thickBot="1">
      <c r="A118" s="10" t="s">
        <v>21</v>
      </c>
      <c r="B118" s="10" t="s">
        <v>22</v>
      </c>
      <c r="C118" s="10" t="s">
        <v>230</v>
      </c>
      <c r="D118" s="10" t="s">
        <v>141</v>
      </c>
      <c r="E118" s="10" t="s">
        <v>142</v>
      </c>
      <c r="F118" s="10" t="s">
        <v>143</v>
      </c>
      <c r="G118" s="11">
        <v>3570</v>
      </c>
      <c r="H118" s="163" t="s">
        <v>279</v>
      </c>
      <c r="I118" s="158" t="s">
        <v>280</v>
      </c>
      <c r="J118" s="163" t="s">
        <v>279</v>
      </c>
      <c r="K118" s="10" t="s">
        <v>30</v>
      </c>
      <c r="L118" s="10">
        <v>5</v>
      </c>
      <c r="M118" s="10">
        <f t="shared" si="4"/>
        <v>1.67</v>
      </c>
      <c r="N118" s="10">
        <v>15</v>
      </c>
      <c r="O118" s="12">
        <v>5</v>
      </c>
      <c r="P118" s="11">
        <v>3570</v>
      </c>
      <c r="Q118" s="10" t="s">
        <v>33</v>
      </c>
      <c r="R118" s="4" t="s">
        <v>234</v>
      </c>
      <c r="S118" s="4" t="s">
        <v>235</v>
      </c>
      <c r="T118" s="4" t="s">
        <v>19</v>
      </c>
      <c r="U118" s="4" t="str">
        <f t="shared" si="5"/>
        <v>NOT AN ADD-ON</v>
      </c>
      <c r="V118" s="4" t="str">
        <f t="shared" si="6"/>
        <v>MANAGED SERVICE PROVIDERSMSPAUTHORIZEDNOT AN ADD-ON</v>
      </c>
    </row>
    <row r="119" spans="1:22" ht="29.25" customHeight="1" thickBot="1">
      <c r="A119" s="10" t="s">
        <v>21</v>
      </c>
      <c r="B119" s="10" t="s">
        <v>22</v>
      </c>
      <c r="C119" s="10" t="s">
        <v>230</v>
      </c>
      <c r="D119" s="10" t="s">
        <v>141</v>
      </c>
      <c r="E119" s="10" t="s">
        <v>142</v>
      </c>
      <c r="F119" s="10" t="s">
        <v>143</v>
      </c>
      <c r="G119" s="11">
        <v>2140</v>
      </c>
      <c r="H119" s="163" t="s">
        <v>281</v>
      </c>
      <c r="I119" s="158" t="s">
        <v>282</v>
      </c>
      <c r="J119" s="163" t="s">
        <v>279</v>
      </c>
      <c r="K119" s="10" t="s">
        <v>30</v>
      </c>
      <c r="L119" s="10">
        <v>5</v>
      </c>
      <c r="M119" s="10">
        <f t="shared" si="4"/>
        <v>1.67</v>
      </c>
      <c r="N119" s="10">
        <v>15</v>
      </c>
      <c r="O119" s="12">
        <v>5</v>
      </c>
      <c r="P119" s="11">
        <v>3570</v>
      </c>
      <c r="Q119" s="10" t="s">
        <v>36</v>
      </c>
      <c r="R119" s="4" t="s">
        <v>234</v>
      </c>
      <c r="S119" s="4" t="s">
        <v>235</v>
      </c>
      <c r="T119" s="4" t="s">
        <v>19</v>
      </c>
      <c r="U119" s="4" t="str">
        <f t="shared" si="5"/>
        <v>NOT AN ADD-ON</v>
      </c>
      <c r="V119" s="4" t="str">
        <f t="shared" si="6"/>
        <v>MANAGED SERVICE PROVIDERSMSPAUTHORIZEDNOT AN ADD-ON</v>
      </c>
    </row>
    <row r="120" spans="1:22" ht="29.25" customHeight="1" thickBot="1">
      <c r="A120" s="10" t="s">
        <v>21</v>
      </c>
      <c r="B120" s="10" t="s">
        <v>22</v>
      </c>
      <c r="C120" s="10" t="s">
        <v>230</v>
      </c>
      <c r="D120" s="10" t="s">
        <v>141</v>
      </c>
      <c r="E120" s="10" t="s">
        <v>142</v>
      </c>
      <c r="F120" s="10" t="s">
        <v>143</v>
      </c>
      <c r="G120" s="11">
        <v>715</v>
      </c>
      <c r="H120" s="163" t="s">
        <v>283</v>
      </c>
      <c r="I120" s="158" t="s">
        <v>284</v>
      </c>
      <c r="J120" s="163" t="s">
        <v>285</v>
      </c>
      <c r="K120" s="10" t="s">
        <v>30</v>
      </c>
      <c r="L120" s="10">
        <v>5</v>
      </c>
      <c r="M120" s="10">
        <f t="shared" si="4"/>
        <v>1.67</v>
      </c>
      <c r="N120" s="10">
        <v>15</v>
      </c>
      <c r="O120" s="12">
        <v>5</v>
      </c>
      <c r="P120" s="11">
        <v>3570</v>
      </c>
      <c r="Q120" s="10" t="s">
        <v>31</v>
      </c>
      <c r="R120" s="4" t="s">
        <v>234</v>
      </c>
      <c r="S120" s="4" t="s">
        <v>235</v>
      </c>
      <c r="T120" s="4" t="s">
        <v>19</v>
      </c>
      <c r="U120" s="4" t="str">
        <f t="shared" si="5"/>
        <v>NOT AN ADD-ON</v>
      </c>
      <c r="V120" s="4" t="str">
        <f t="shared" si="6"/>
        <v>MANAGED SERVICE PROVIDERSMSPAUTHORIZEDNOT AN ADD-ON</v>
      </c>
    </row>
    <row r="121" spans="1:22" ht="15" thickBot="1">
      <c r="A121" s="10" t="s">
        <v>21</v>
      </c>
      <c r="B121" s="10" t="s">
        <v>22</v>
      </c>
      <c r="C121" s="10" t="s">
        <v>230</v>
      </c>
      <c r="D121" s="10" t="s">
        <v>141</v>
      </c>
      <c r="E121" s="10" t="s">
        <v>142</v>
      </c>
      <c r="F121" s="10" t="s">
        <v>143</v>
      </c>
      <c r="G121" s="11">
        <v>3570</v>
      </c>
      <c r="H121" s="163" t="s">
        <v>285</v>
      </c>
      <c r="I121" s="166" t="s">
        <v>286</v>
      </c>
      <c r="J121" s="163" t="s">
        <v>285</v>
      </c>
      <c r="K121" s="10" t="s">
        <v>30</v>
      </c>
      <c r="L121" s="10">
        <v>5</v>
      </c>
      <c r="M121" s="10">
        <f t="shared" si="4"/>
        <v>1.67</v>
      </c>
      <c r="N121" s="10">
        <v>15</v>
      </c>
      <c r="O121" s="12">
        <v>5</v>
      </c>
      <c r="P121" s="11">
        <v>3570</v>
      </c>
      <c r="Q121" s="10" t="s">
        <v>33</v>
      </c>
      <c r="R121" s="4" t="s">
        <v>234</v>
      </c>
      <c r="S121" s="4" t="s">
        <v>235</v>
      </c>
      <c r="T121" s="4" t="s">
        <v>19</v>
      </c>
      <c r="U121" s="4" t="str">
        <f t="shared" si="5"/>
        <v>NOT AN ADD-ON</v>
      </c>
      <c r="V121" s="4" t="str">
        <f t="shared" si="6"/>
        <v>MANAGED SERVICE PROVIDERSMSPAUTHORIZEDNOT AN ADD-ON</v>
      </c>
    </row>
    <row r="122" spans="1:22" ht="15" thickBot="1">
      <c r="A122" s="10" t="s">
        <v>21</v>
      </c>
      <c r="B122" s="10" t="s">
        <v>22</v>
      </c>
      <c r="C122" s="10" t="s">
        <v>230</v>
      </c>
      <c r="D122" s="10" t="s">
        <v>141</v>
      </c>
      <c r="E122" s="10" t="s">
        <v>142</v>
      </c>
      <c r="F122" s="10" t="s">
        <v>143</v>
      </c>
      <c r="G122" s="11">
        <v>2140</v>
      </c>
      <c r="H122" s="163" t="s">
        <v>287</v>
      </c>
      <c r="I122" s="166" t="s">
        <v>288</v>
      </c>
      <c r="J122" s="163" t="s">
        <v>285</v>
      </c>
      <c r="K122" s="10" t="s">
        <v>30</v>
      </c>
      <c r="L122" s="10">
        <v>5</v>
      </c>
      <c r="M122" s="10">
        <f t="shared" si="4"/>
        <v>1.67</v>
      </c>
      <c r="N122" s="10">
        <v>15</v>
      </c>
      <c r="O122" s="12">
        <v>5</v>
      </c>
      <c r="P122" s="11">
        <v>3570</v>
      </c>
      <c r="Q122" s="10" t="s">
        <v>36</v>
      </c>
      <c r="R122" s="4" t="s">
        <v>234</v>
      </c>
      <c r="S122" s="4" t="s">
        <v>235</v>
      </c>
      <c r="T122" s="4" t="s">
        <v>19</v>
      </c>
      <c r="U122" s="4" t="str">
        <f t="shared" si="5"/>
        <v>NOT AN ADD-ON</v>
      </c>
      <c r="V122" s="4" t="str">
        <f t="shared" si="6"/>
        <v>MANAGED SERVICE PROVIDERSMSPAUTHORIZEDNOT AN ADD-ON</v>
      </c>
    </row>
    <row r="123" spans="1:22" ht="29.25" customHeight="1" thickBot="1">
      <c r="A123" s="10" t="s">
        <v>21</v>
      </c>
      <c r="B123" s="10" t="s">
        <v>22</v>
      </c>
      <c r="C123" s="10" t="s">
        <v>230</v>
      </c>
      <c r="D123" s="10" t="s">
        <v>141</v>
      </c>
      <c r="E123" s="10" t="s">
        <v>142</v>
      </c>
      <c r="F123" s="10" t="s">
        <v>143</v>
      </c>
      <c r="G123" s="11">
        <v>356</v>
      </c>
      <c r="H123" s="163" t="s">
        <v>289</v>
      </c>
      <c r="I123" s="158" t="s">
        <v>290</v>
      </c>
      <c r="J123" s="163" t="s">
        <v>291</v>
      </c>
      <c r="K123" s="10" t="s">
        <v>30</v>
      </c>
      <c r="L123" s="10">
        <v>0</v>
      </c>
      <c r="M123" s="10">
        <f t="shared" si="4"/>
        <v>0</v>
      </c>
      <c r="N123" s="10">
        <v>5</v>
      </c>
      <c r="O123" s="12">
        <v>1.6666666666666667</v>
      </c>
      <c r="P123" s="11">
        <v>1780</v>
      </c>
      <c r="Q123" s="10" t="s">
        <v>31</v>
      </c>
      <c r="R123" s="4" t="s">
        <v>234</v>
      </c>
      <c r="S123" s="4" t="s">
        <v>235</v>
      </c>
      <c r="T123" s="4" t="s">
        <v>672</v>
      </c>
      <c r="U123" s="4" t="str">
        <f t="shared" si="5"/>
        <v>NOT AN ADD-ON</v>
      </c>
      <c r="V123" s="4" t="str">
        <f t="shared" si="6"/>
        <v>MANAGED SERVICE PROVIDERSMSPLIMITEDNOT AN ADD-ON</v>
      </c>
    </row>
    <row r="124" spans="1:22" ht="15" thickBot="1">
      <c r="A124" s="10" t="s">
        <v>21</v>
      </c>
      <c r="B124" s="10" t="s">
        <v>22</v>
      </c>
      <c r="C124" s="10" t="s">
        <v>230</v>
      </c>
      <c r="D124" s="10" t="s">
        <v>141</v>
      </c>
      <c r="E124" s="10" t="s">
        <v>142</v>
      </c>
      <c r="F124" s="10" t="s">
        <v>143</v>
      </c>
      <c r="G124" s="11">
        <v>1780</v>
      </c>
      <c r="H124" s="163" t="s">
        <v>291</v>
      </c>
      <c r="I124" s="158" t="s">
        <v>292</v>
      </c>
      <c r="J124" s="163" t="s">
        <v>291</v>
      </c>
      <c r="K124" s="10" t="s">
        <v>30</v>
      </c>
      <c r="L124" s="10">
        <v>0</v>
      </c>
      <c r="M124" s="10">
        <f t="shared" si="4"/>
        <v>0</v>
      </c>
      <c r="N124" s="10">
        <v>5</v>
      </c>
      <c r="O124" s="12">
        <v>1.6666666666666667</v>
      </c>
      <c r="P124" s="11">
        <v>1780</v>
      </c>
      <c r="Q124" s="10" t="s">
        <v>33</v>
      </c>
      <c r="R124" s="4" t="s">
        <v>234</v>
      </c>
      <c r="S124" s="4" t="s">
        <v>235</v>
      </c>
      <c r="T124" s="4" t="s">
        <v>672</v>
      </c>
      <c r="U124" s="4" t="str">
        <f t="shared" si="5"/>
        <v>NOT AN ADD-ON</v>
      </c>
      <c r="V124" s="4" t="str">
        <f t="shared" si="6"/>
        <v>MANAGED SERVICE PROVIDERSMSPLIMITEDNOT AN ADD-ON</v>
      </c>
    </row>
    <row r="125" spans="1:22" ht="15" thickBot="1">
      <c r="A125" s="10" t="s">
        <v>21</v>
      </c>
      <c r="B125" s="10" t="s">
        <v>22</v>
      </c>
      <c r="C125" s="10" t="s">
        <v>230</v>
      </c>
      <c r="D125" s="10" t="s">
        <v>141</v>
      </c>
      <c r="E125" s="10" t="s">
        <v>142</v>
      </c>
      <c r="F125" s="10" t="s">
        <v>143</v>
      </c>
      <c r="G125" s="11">
        <v>1070</v>
      </c>
      <c r="H125" s="163" t="s">
        <v>293</v>
      </c>
      <c r="I125" s="166" t="s">
        <v>294</v>
      </c>
      <c r="J125" s="163" t="s">
        <v>291</v>
      </c>
      <c r="K125" s="10" t="s">
        <v>30</v>
      </c>
      <c r="L125" s="10">
        <v>0</v>
      </c>
      <c r="M125" s="10">
        <f t="shared" si="4"/>
        <v>0</v>
      </c>
      <c r="N125" s="10">
        <v>5</v>
      </c>
      <c r="O125" s="12">
        <v>1.6666666666666667</v>
      </c>
      <c r="P125" s="11">
        <v>1780</v>
      </c>
      <c r="Q125" s="10" t="s">
        <v>36</v>
      </c>
      <c r="R125" s="4" t="s">
        <v>234</v>
      </c>
      <c r="S125" s="4" t="s">
        <v>235</v>
      </c>
      <c r="T125" s="4" t="s">
        <v>672</v>
      </c>
      <c r="U125" s="4" t="str">
        <f t="shared" si="5"/>
        <v>NOT AN ADD-ON</v>
      </c>
      <c r="V125" s="4" t="str">
        <f t="shared" si="6"/>
        <v>MANAGED SERVICE PROVIDERSMSPLIMITEDNOT AN ADD-ON</v>
      </c>
    </row>
    <row r="126" spans="1:22" ht="29.25" customHeight="1" thickBot="1">
      <c r="A126" s="10" t="s">
        <v>21</v>
      </c>
      <c r="B126" s="10" t="s">
        <v>22</v>
      </c>
      <c r="C126" s="10" t="s">
        <v>230</v>
      </c>
      <c r="D126" s="10" t="s">
        <v>141</v>
      </c>
      <c r="E126" s="10" t="s">
        <v>142</v>
      </c>
      <c r="F126" s="10" t="s">
        <v>143</v>
      </c>
      <c r="G126" s="11">
        <v>356</v>
      </c>
      <c r="H126" s="163" t="s">
        <v>295</v>
      </c>
      <c r="I126" s="166" t="s">
        <v>296</v>
      </c>
      <c r="J126" s="163" t="s">
        <v>297</v>
      </c>
      <c r="K126" s="10" t="s">
        <v>30</v>
      </c>
      <c r="L126" s="10">
        <v>0</v>
      </c>
      <c r="M126" s="10">
        <f t="shared" si="4"/>
        <v>0</v>
      </c>
      <c r="N126" s="10">
        <v>5</v>
      </c>
      <c r="O126" s="12">
        <v>1.6666666666666667</v>
      </c>
      <c r="P126" s="11">
        <v>1780</v>
      </c>
      <c r="Q126" s="10" t="s">
        <v>31</v>
      </c>
      <c r="R126" s="4" t="s">
        <v>234</v>
      </c>
      <c r="S126" s="4" t="s">
        <v>235</v>
      </c>
      <c r="T126" s="4" t="s">
        <v>672</v>
      </c>
      <c r="U126" s="4" t="str">
        <f t="shared" si="5"/>
        <v>NOT AN ADD-ON</v>
      </c>
      <c r="V126" s="4" t="str">
        <f t="shared" si="6"/>
        <v>MANAGED SERVICE PROVIDERSMSPLIMITEDNOT AN ADD-ON</v>
      </c>
    </row>
    <row r="127" spans="1:22" ht="15" thickBot="1">
      <c r="A127" s="10" t="s">
        <v>21</v>
      </c>
      <c r="B127" s="10" t="s">
        <v>22</v>
      </c>
      <c r="C127" s="10" t="s">
        <v>230</v>
      </c>
      <c r="D127" s="10" t="s">
        <v>141</v>
      </c>
      <c r="E127" s="10" t="s">
        <v>142</v>
      </c>
      <c r="F127" s="10" t="s">
        <v>143</v>
      </c>
      <c r="G127" s="11">
        <v>1780</v>
      </c>
      <c r="H127" s="163" t="s">
        <v>297</v>
      </c>
      <c r="I127" s="166" t="s">
        <v>298</v>
      </c>
      <c r="J127" s="163" t="s">
        <v>297</v>
      </c>
      <c r="K127" s="10" t="s">
        <v>30</v>
      </c>
      <c r="L127" s="10">
        <v>0</v>
      </c>
      <c r="M127" s="10">
        <f t="shared" si="4"/>
        <v>0</v>
      </c>
      <c r="N127" s="10">
        <v>5</v>
      </c>
      <c r="O127" s="12">
        <v>1.6666666666666667</v>
      </c>
      <c r="P127" s="11">
        <v>1780</v>
      </c>
      <c r="Q127" s="10" t="s">
        <v>33</v>
      </c>
      <c r="R127" s="4" t="s">
        <v>234</v>
      </c>
      <c r="S127" s="4" t="s">
        <v>235</v>
      </c>
      <c r="T127" s="4" t="s">
        <v>672</v>
      </c>
      <c r="U127" s="4" t="str">
        <f t="shared" si="5"/>
        <v>NOT AN ADD-ON</v>
      </c>
      <c r="V127" s="4" t="str">
        <f t="shared" si="6"/>
        <v>MANAGED SERVICE PROVIDERSMSPLIMITEDNOT AN ADD-ON</v>
      </c>
    </row>
    <row r="128" spans="1:22" ht="15" thickBot="1">
      <c r="A128" s="10" t="s">
        <v>21</v>
      </c>
      <c r="B128" s="10" t="s">
        <v>22</v>
      </c>
      <c r="C128" s="10" t="s">
        <v>230</v>
      </c>
      <c r="D128" s="10" t="s">
        <v>141</v>
      </c>
      <c r="E128" s="10" t="s">
        <v>142</v>
      </c>
      <c r="F128" s="10" t="s">
        <v>143</v>
      </c>
      <c r="G128" s="11">
        <v>1070</v>
      </c>
      <c r="H128" s="163" t="s">
        <v>299</v>
      </c>
      <c r="I128" s="166" t="s">
        <v>300</v>
      </c>
      <c r="J128" s="163" t="s">
        <v>297</v>
      </c>
      <c r="K128" s="10" t="s">
        <v>30</v>
      </c>
      <c r="L128" s="10">
        <v>0</v>
      </c>
      <c r="M128" s="10">
        <f t="shared" si="4"/>
        <v>0</v>
      </c>
      <c r="N128" s="10">
        <v>5</v>
      </c>
      <c r="O128" s="12">
        <v>1.6666666666666667</v>
      </c>
      <c r="P128" s="11">
        <v>1780</v>
      </c>
      <c r="Q128" s="10" t="s">
        <v>36</v>
      </c>
      <c r="R128" s="4" t="s">
        <v>234</v>
      </c>
      <c r="S128" s="4" t="s">
        <v>235</v>
      </c>
      <c r="T128" s="4" t="s">
        <v>672</v>
      </c>
      <c r="U128" s="4" t="str">
        <f t="shared" si="5"/>
        <v>NOT AN ADD-ON</v>
      </c>
      <c r="V128" s="4" t="str">
        <f t="shared" si="6"/>
        <v>MANAGED SERVICE PROVIDERSMSPLIMITEDNOT AN ADD-ON</v>
      </c>
    </row>
    <row r="129" spans="1:22" ht="27" thickBot="1">
      <c r="A129" s="10" t="s">
        <v>21</v>
      </c>
      <c r="B129" s="10" t="s">
        <v>22</v>
      </c>
      <c r="C129" s="10" t="s">
        <v>301</v>
      </c>
      <c r="D129" s="10" t="s">
        <v>141</v>
      </c>
      <c r="E129" s="10" t="s">
        <v>142</v>
      </c>
      <c r="F129" s="10" t="s">
        <v>143</v>
      </c>
      <c r="G129" s="11">
        <v>1380</v>
      </c>
      <c r="H129" s="163" t="s">
        <v>302</v>
      </c>
      <c r="I129" s="166" t="s">
        <v>303</v>
      </c>
      <c r="J129" s="163" t="s">
        <v>304</v>
      </c>
      <c r="K129" s="10" t="s">
        <v>30</v>
      </c>
      <c r="L129" s="10">
        <v>0</v>
      </c>
      <c r="M129" s="10">
        <f t="shared" si="4"/>
        <v>0</v>
      </c>
      <c r="N129" s="10">
        <v>10</v>
      </c>
      <c r="O129" s="12">
        <v>3.3333333333333335</v>
      </c>
      <c r="P129" s="11">
        <v>2020</v>
      </c>
      <c r="Q129" s="10" t="s">
        <v>48</v>
      </c>
      <c r="R129" s="4" t="s">
        <v>1285</v>
      </c>
      <c r="S129" s="4" t="s">
        <v>507</v>
      </c>
      <c r="T129" s="4" t="s">
        <v>19</v>
      </c>
      <c r="U129" s="4" t="str">
        <f t="shared" si="5"/>
        <v>NOT AN ADD-ON</v>
      </c>
      <c r="V129" s="4" t="str">
        <f t="shared" si="6"/>
        <v>SCHEDULERADD-ONAUTHORIZEDNOT AN ADD-ON</v>
      </c>
    </row>
    <row r="130" spans="1:22" ht="29.25" customHeight="1" thickBot="1">
      <c r="A130" s="10" t="s">
        <v>21</v>
      </c>
      <c r="B130" s="10" t="s">
        <v>22</v>
      </c>
      <c r="C130" s="10" t="s">
        <v>301</v>
      </c>
      <c r="D130" s="10" t="s">
        <v>141</v>
      </c>
      <c r="E130" s="10" t="s">
        <v>142</v>
      </c>
      <c r="F130" s="10" t="s">
        <v>143</v>
      </c>
      <c r="G130" s="11">
        <v>645</v>
      </c>
      <c r="H130" s="163" t="s">
        <v>305</v>
      </c>
      <c r="I130" s="166" t="s">
        <v>306</v>
      </c>
      <c r="J130" s="163" t="s">
        <v>304</v>
      </c>
      <c r="K130" s="10" t="s">
        <v>30</v>
      </c>
      <c r="L130" s="10">
        <v>0</v>
      </c>
      <c r="M130" s="10">
        <f t="shared" si="4"/>
        <v>0</v>
      </c>
      <c r="N130" s="10">
        <v>10</v>
      </c>
      <c r="O130" s="12">
        <v>3.3333333333333335</v>
      </c>
      <c r="P130" s="11">
        <v>2020</v>
      </c>
      <c r="Q130" s="10" t="s">
        <v>48</v>
      </c>
      <c r="R130" s="4" t="s">
        <v>1285</v>
      </c>
      <c r="S130" s="4" t="s">
        <v>507</v>
      </c>
      <c r="T130" s="4" t="s">
        <v>19</v>
      </c>
      <c r="U130" s="4" t="str">
        <f t="shared" si="5"/>
        <v>NOT AN ADD-ON</v>
      </c>
      <c r="V130" s="4" t="str">
        <f t="shared" si="6"/>
        <v>SCHEDULERADD-ONAUTHORIZEDNOT AN ADD-ON</v>
      </c>
    </row>
    <row r="131" spans="1:22" ht="15" thickBot="1">
      <c r="A131" s="10" t="s">
        <v>21</v>
      </c>
      <c r="B131" s="10" t="s">
        <v>22</v>
      </c>
      <c r="C131" s="10" t="s">
        <v>301</v>
      </c>
      <c r="D131" s="10" t="s">
        <v>141</v>
      </c>
      <c r="E131" s="10" t="s">
        <v>142</v>
      </c>
      <c r="F131" s="10" t="s">
        <v>143</v>
      </c>
      <c r="G131" s="11">
        <v>402</v>
      </c>
      <c r="H131" s="163" t="s">
        <v>307</v>
      </c>
      <c r="I131" s="158" t="s">
        <v>308</v>
      </c>
      <c r="J131" s="163" t="s">
        <v>304</v>
      </c>
      <c r="K131" s="10" t="s">
        <v>30</v>
      </c>
      <c r="L131" s="10">
        <v>0</v>
      </c>
      <c r="M131" s="10">
        <f t="shared" ref="M131:M194" si="7">ROUND(IF(K131="Authorized User",L131/3,L131),2)</f>
        <v>0</v>
      </c>
      <c r="N131" s="10">
        <v>10</v>
      </c>
      <c r="O131" s="12">
        <v>3.3333333333333335</v>
      </c>
      <c r="P131" s="11">
        <v>2020</v>
      </c>
      <c r="Q131" s="10" t="s">
        <v>31</v>
      </c>
      <c r="R131" s="4" t="s">
        <v>1285</v>
      </c>
      <c r="S131" s="4" t="s">
        <v>507</v>
      </c>
      <c r="T131" s="4" t="s">
        <v>19</v>
      </c>
      <c r="U131" s="4" t="str">
        <f t="shared" ref="U131:U194" si="8">IF(ISNUMBER(SEARCH("ADD-ON",$I131)),"ADD-ON","NOT AN ADD-ON")</f>
        <v>NOT AN ADD-ON</v>
      </c>
      <c r="V131" s="4" t="str">
        <f t="shared" ref="V131:V194" si="9">CONCATENATE(R131,S131,T131,U131)</f>
        <v>SCHEDULERADD-ONAUTHORIZEDNOT AN ADD-ON</v>
      </c>
    </row>
    <row r="132" spans="1:22" ht="15" thickBot="1">
      <c r="A132" s="10" t="s">
        <v>21</v>
      </c>
      <c r="B132" s="10" t="s">
        <v>22</v>
      </c>
      <c r="C132" s="10" t="s">
        <v>301</v>
      </c>
      <c r="D132" s="10" t="s">
        <v>141</v>
      </c>
      <c r="E132" s="10" t="s">
        <v>142</v>
      </c>
      <c r="F132" s="10" t="s">
        <v>143</v>
      </c>
      <c r="G132" s="11">
        <v>2020</v>
      </c>
      <c r="H132" s="163" t="s">
        <v>304</v>
      </c>
      <c r="I132" s="158" t="s">
        <v>309</v>
      </c>
      <c r="J132" s="163" t="s">
        <v>304</v>
      </c>
      <c r="K132" s="10" t="s">
        <v>30</v>
      </c>
      <c r="L132" s="10">
        <v>0</v>
      </c>
      <c r="M132" s="10">
        <f t="shared" si="7"/>
        <v>0</v>
      </c>
      <c r="N132" s="10">
        <v>10</v>
      </c>
      <c r="O132" s="12">
        <v>3.3333333333333335</v>
      </c>
      <c r="P132" s="11">
        <v>2020</v>
      </c>
      <c r="Q132" s="10" t="s">
        <v>33</v>
      </c>
      <c r="R132" s="4" t="s">
        <v>1285</v>
      </c>
      <c r="S132" s="4" t="s">
        <v>507</v>
      </c>
      <c r="T132" s="4" t="s">
        <v>19</v>
      </c>
      <c r="U132" s="4" t="str">
        <f t="shared" si="8"/>
        <v>NOT AN ADD-ON</v>
      </c>
      <c r="V132" s="4" t="str">
        <f t="shared" si="9"/>
        <v>SCHEDULERADD-ONAUTHORIZEDNOT AN ADD-ON</v>
      </c>
    </row>
    <row r="133" spans="1:22" ht="29.25" customHeight="1" thickBot="1">
      <c r="A133" s="10" t="s">
        <v>21</v>
      </c>
      <c r="B133" s="10" t="s">
        <v>22</v>
      </c>
      <c r="C133" s="10" t="s">
        <v>301</v>
      </c>
      <c r="D133" s="10" t="s">
        <v>141</v>
      </c>
      <c r="E133" s="10" t="s">
        <v>142</v>
      </c>
      <c r="F133" s="10" t="s">
        <v>143</v>
      </c>
      <c r="G133" s="11">
        <v>1190</v>
      </c>
      <c r="H133" s="163" t="s">
        <v>310</v>
      </c>
      <c r="I133" s="158" t="s">
        <v>311</v>
      </c>
      <c r="J133" s="163" t="s">
        <v>304</v>
      </c>
      <c r="K133" s="10" t="s">
        <v>30</v>
      </c>
      <c r="L133" s="10">
        <v>0</v>
      </c>
      <c r="M133" s="10">
        <f t="shared" si="7"/>
        <v>0</v>
      </c>
      <c r="N133" s="10">
        <v>10</v>
      </c>
      <c r="O133" s="12">
        <v>3.3333333333333335</v>
      </c>
      <c r="P133" s="11">
        <v>2020</v>
      </c>
      <c r="Q133" s="10" t="s">
        <v>36</v>
      </c>
      <c r="R133" s="4" t="s">
        <v>1285</v>
      </c>
      <c r="S133" s="4" t="s">
        <v>507</v>
      </c>
      <c r="T133" s="4" t="s">
        <v>19</v>
      </c>
      <c r="U133" s="4" t="str">
        <f t="shared" si="8"/>
        <v>NOT AN ADD-ON</v>
      </c>
      <c r="V133" s="4" t="str">
        <f t="shared" si="9"/>
        <v>SCHEDULERADD-ONAUTHORIZEDNOT AN ADD-ON</v>
      </c>
    </row>
    <row r="134" spans="1:22" ht="15" thickBot="1">
      <c r="A134" s="10" t="s">
        <v>21</v>
      </c>
      <c r="B134" s="10" t="s">
        <v>22</v>
      </c>
      <c r="C134" s="10" t="s">
        <v>301</v>
      </c>
      <c r="D134" s="10" t="s">
        <v>141</v>
      </c>
      <c r="E134" s="10" t="s">
        <v>142</v>
      </c>
      <c r="F134" s="10" t="s">
        <v>143</v>
      </c>
      <c r="G134" s="11">
        <v>1220</v>
      </c>
      <c r="H134" s="163" t="s">
        <v>312</v>
      </c>
      <c r="I134" s="158" t="s">
        <v>313</v>
      </c>
      <c r="J134" s="163" t="s">
        <v>314</v>
      </c>
      <c r="K134" s="10" t="s">
        <v>40</v>
      </c>
      <c r="L134" s="10">
        <v>0</v>
      </c>
      <c r="M134" s="10">
        <f t="shared" si="7"/>
        <v>0</v>
      </c>
      <c r="N134" s="10">
        <v>10</v>
      </c>
      <c r="O134" s="12">
        <v>1</v>
      </c>
      <c r="P134" s="11">
        <v>6130</v>
      </c>
      <c r="Q134" s="10" t="s">
        <v>31</v>
      </c>
      <c r="R134" s="4" t="s">
        <v>1285</v>
      </c>
      <c r="S134" s="4" t="s">
        <v>507</v>
      </c>
      <c r="T134" s="4" t="s">
        <v>19</v>
      </c>
      <c r="U134" s="4" t="str">
        <f t="shared" si="8"/>
        <v>NOT AN ADD-ON</v>
      </c>
      <c r="V134" s="4" t="str">
        <f t="shared" si="9"/>
        <v>SCHEDULERADD-ONAUTHORIZEDNOT AN ADD-ON</v>
      </c>
    </row>
    <row r="135" spans="1:22" ht="29.25" customHeight="1" thickBot="1">
      <c r="A135" s="10" t="s">
        <v>21</v>
      </c>
      <c r="B135" s="10" t="s">
        <v>22</v>
      </c>
      <c r="C135" s="10" t="s">
        <v>301</v>
      </c>
      <c r="D135" s="10" t="s">
        <v>141</v>
      </c>
      <c r="E135" s="10" t="s">
        <v>142</v>
      </c>
      <c r="F135" s="10" t="s">
        <v>143</v>
      </c>
      <c r="G135" s="11">
        <v>6130</v>
      </c>
      <c r="H135" s="163" t="s">
        <v>314</v>
      </c>
      <c r="I135" s="158" t="s">
        <v>315</v>
      </c>
      <c r="J135" s="163" t="s">
        <v>314</v>
      </c>
      <c r="K135" s="10" t="s">
        <v>40</v>
      </c>
      <c r="L135" s="10">
        <v>0</v>
      </c>
      <c r="M135" s="10">
        <f t="shared" si="7"/>
        <v>0</v>
      </c>
      <c r="N135" s="10">
        <v>10</v>
      </c>
      <c r="O135" s="12">
        <v>1</v>
      </c>
      <c r="P135" s="11">
        <v>6130</v>
      </c>
      <c r="Q135" s="10" t="s">
        <v>33</v>
      </c>
      <c r="R135" s="4" t="s">
        <v>1285</v>
      </c>
      <c r="S135" s="4" t="s">
        <v>507</v>
      </c>
      <c r="T135" s="4" t="s">
        <v>19</v>
      </c>
      <c r="U135" s="4" t="str">
        <f t="shared" si="8"/>
        <v>NOT AN ADD-ON</v>
      </c>
      <c r="V135" s="4" t="str">
        <f t="shared" si="9"/>
        <v>SCHEDULERADD-ONAUTHORIZEDNOT AN ADD-ON</v>
      </c>
    </row>
    <row r="136" spans="1:22" ht="15" thickBot="1">
      <c r="A136" s="10" t="s">
        <v>21</v>
      </c>
      <c r="B136" s="10" t="s">
        <v>22</v>
      </c>
      <c r="C136" s="10" t="s">
        <v>301</v>
      </c>
      <c r="D136" s="10" t="s">
        <v>141</v>
      </c>
      <c r="E136" s="10" t="s">
        <v>142</v>
      </c>
      <c r="F136" s="10" t="s">
        <v>143</v>
      </c>
      <c r="G136" s="11">
        <v>3680</v>
      </c>
      <c r="H136" s="163" t="s">
        <v>316</v>
      </c>
      <c r="I136" s="158" t="s">
        <v>317</v>
      </c>
      <c r="J136" s="163" t="s">
        <v>314</v>
      </c>
      <c r="K136" s="10" t="s">
        <v>40</v>
      </c>
      <c r="L136" s="10">
        <v>0</v>
      </c>
      <c r="M136" s="10">
        <f t="shared" si="7"/>
        <v>0</v>
      </c>
      <c r="N136" s="10">
        <v>10</v>
      </c>
      <c r="O136" s="12">
        <v>1</v>
      </c>
      <c r="P136" s="11">
        <v>6130</v>
      </c>
      <c r="Q136" s="10" t="s">
        <v>36</v>
      </c>
      <c r="R136" s="4" t="s">
        <v>1285</v>
      </c>
      <c r="S136" s="4" t="s">
        <v>507</v>
      </c>
      <c r="T136" s="4" t="s">
        <v>19</v>
      </c>
      <c r="U136" s="4" t="str">
        <f t="shared" si="8"/>
        <v>NOT AN ADD-ON</v>
      </c>
      <c r="V136" s="4" t="str">
        <f t="shared" si="9"/>
        <v>SCHEDULERADD-ONAUTHORIZEDNOT AN ADD-ON</v>
      </c>
    </row>
    <row r="137" spans="1:22" ht="29.25" customHeight="1" thickBot="1">
      <c r="A137" s="10" t="s">
        <v>21</v>
      </c>
      <c r="B137" s="10" t="s">
        <v>22</v>
      </c>
      <c r="C137" s="10" t="s">
        <v>301</v>
      </c>
      <c r="D137" s="10" t="s">
        <v>141</v>
      </c>
      <c r="E137" s="10" t="s">
        <v>142</v>
      </c>
      <c r="F137" s="10" t="s">
        <v>143</v>
      </c>
      <c r="G137" s="11">
        <v>1330</v>
      </c>
      <c r="H137" s="163" t="s">
        <v>318</v>
      </c>
      <c r="I137" s="166" t="s">
        <v>319</v>
      </c>
      <c r="J137" s="163" t="s">
        <v>314</v>
      </c>
      <c r="K137" s="10" t="s">
        <v>40</v>
      </c>
      <c r="L137" s="10">
        <v>0</v>
      </c>
      <c r="M137" s="10">
        <f t="shared" si="7"/>
        <v>0</v>
      </c>
      <c r="N137" s="10">
        <v>10</v>
      </c>
      <c r="O137" s="12">
        <v>1</v>
      </c>
      <c r="P137" s="11">
        <v>6130</v>
      </c>
      <c r="Q137" s="10" t="s">
        <v>48</v>
      </c>
      <c r="R137" s="4" t="s">
        <v>1285</v>
      </c>
      <c r="S137" s="4" t="s">
        <v>507</v>
      </c>
      <c r="T137" s="4" t="s">
        <v>19</v>
      </c>
      <c r="U137" s="4" t="str">
        <f t="shared" si="8"/>
        <v>NOT AN ADD-ON</v>
      </c>
      <c r="V137" s="4" t="str">
        <f t="shared" si="9"/>
        <v>SCHEDULERADD-ONAUTHORIZEDNOT AN ADD-ON</v>
      </c>
    </row>
    <row r="138" spans="1:22" ht="15" thickBot="1">
      <c r="A138" s="10" t="s">
        <v>21</v>
      </c>
      <c r="B138" s="10" t="s">
        <v>22</v>
      </c>
      <c r="C138" s="10" t="s">
        <v>301</v>
      </c>
      <c r="D138" s="10" t="s">
        <v>141</v>
      </c>
      <c r="E138" s="10" t="s">
        <v>142</v>
      </c>
      <c r="F138" s="10" t="s">
        <v>143</v>
      </c>
      <c r="G138" s="11">
        <v>1220</v>
      </c>
      <c r="H138" s="163" t="s">
        <v>320</v>
      </c>
      <c r="I138" s="158" t="s">
        <v>321</v>
      </c>
      <c r="J138" s="163" t="s">
        <v>322</v>
      </c>
      <c r="K138" s="10" t="s">
        <v>40</v>
      </c>
      <c r="L138" s="10">
        <v>0</v>
      </c>
      <c r="M138" s="10">
        <f t="shared" si="7"/>
        <v>0</v>
      </c>
      <c r="N138" s="10">
        <v>10</v>
      </c>
      <c r="O138" s="12">
        <v>1</v>
      </c>
      <c r="P138" s="11">
        <v>6130</v>
      </c>
      <c r="Q138" s="10" t="s">
        <v>31</v>
      </c>
      <c r="R138" s="4" t="s">
        <v>1285</v>
      </c>
      <c r="S138" s="4" t="s">
        <v>507</v>
      </c>
      <c r="T138" s="4" t="s">
        <v>19</v>
      </c>
      <c r="U138" s="4" t="str">
        <f t="shared" si="8"/>
        <v>NOT AN ADD-ON</v>
      </c>
      <c r="V138" s="4" t="str">
        <f t="shared" si="9"/>
        <v>SCHEDULERADD-ONAUTHORIZEDNOT AN ADD-ON</v>
      </c>
    </row>
    <row r="139" spans="1:22" ht="15" thickBot="1">
      <c r="A139" s="10" t="s">
        <v>21</v>
      </c>
      <c r="B139" s="10" t="s">
        <v>22</v>
      </c>
      <c r="C139" s="10" t="s">
        <v>301</v>
      </c>
      <c r="D139" s="10" t="s">
        <v>141</v>
      </c>
      <c r="E139" s="10" t="s">
        <v>142</v>
      </c>
      <c r="F139" s="10" t="s">
        <v>143</v>
      </c>
      <c r="G139" s="11">
        <v>6130</v>
      </c>
      <c r="H139" s="163" t="s">
        <v>322</v>
      </c>
      <c r="I139" s="158" t="s">
        <v>323</v>
      </c>
      <c r="J139" s="163" t="s">
        <v>322</v>
      </c>
      <c r="K139" s="10" t="s">
        <v>40</v>
      </c>
      <c r="L139" s="10">
        <v>0</v>
      </c>
      <c r="M139" s="10">
        <f t="shared" si="7"/>
        <v>0</v>
      </c>
      <c r="N139" s="10">
        <v>10</v>
      </c>
      <c r="O139" s="12">
        <v>1</v>
      </c>
      <c r="P139" s="11">
        <v>6130</v>
      </c>
      <c r="Q139" s="10" t="s">
        <v>33</v>
      </c>
      <c r="R139" s="4" t="s">
        <v>1285</v>
      </c>
      <c r="S139" s="4" t="s">
        <v>507</v>
      </c>
      <c r="T139" s="4" t="s">
        <v>19</v>
      </c>
      <c r="U139" s="4" t="str">
        <f t="shared" si="8"/>
        <v>NOT AN ADD-ON</v>
      </c>
      <c r="V139" s="4" t="str">
        <f t="shared" si="9"/>
        <v>SCHEDULERADD-ONAUTHORIZEDNOT AN ADD-ON</v>
      </c>
    </row>
    <row r="140" spans="1:22" ht="29.25" customHeight="1" thickTop="1" thickBot="1">
      <c r="A140" s="13" t="s">
        <v>21</v>
      </c>
      <c r="B140" s="13" t="s">
        <v>22</v>
      </c>
      <c r="C140" s="13" t="s">
        <v>301</v>
      </c>
      <c r="D140" s="13" t="s">
        <v>141</v>
      </c>
      <c r="E140" s="13" t="s">
        <v>142</v>
      </c>
      <c r="F140" s="13" t="s">
        <v>143</v>
      </c>
      <c r="G140" s="14">
        <v>3680</v>
      </c>
      <c r="H140" s="164" t="s">
        <v>324</v>
      </c>
      <c r="I140" s="159" t="s">
        <v>325</v>
      </c>
      <c r="J140" s="163" t="s">
        <v>322</v>
      </c>
      <c r="K140" s="13" t="s">
        <v>40</v>
      </c>
      <c r="L140" s="10">
        <v>0</v>
      </c>
      <c r="M140" s="10">
        <f t="shared" si="7"/>
        <v>0</v>
      </c>
      <c r="N140" s="10">
        <v>10</v>
      </c>
      <c r="O140" s="12">
        <v>1</v>
      </c>
      <c r="P140" s="14">
        <v>6130</v>
      </c>
      <c r="Q140" s="13" t="s">
        <v>36</v>
      </c>
      <c r="R140" s="4" t="s">
        <v>1285</v>
      </c>
      <c r="S140" s="4" t="s">
        <v>507</v>
      </c>
      <c r="T140" s="4" t="s">
        <v>19</v>
      </c>
      <c r="U140" s="4" t="str">
        <f t="shared" si="8"/>
        <v>NOT AN ADD-ON</v>
      </c>
      <c r="V140" s="4" t="str">
        <f t="shared" si="9"/>
        <v>SCHEDULERADD-ONAUTHORIZEDNOT AN ADD-ON</v>
      </c>
    </row>
    <row r="141" spans="1:22" ht="16" thickTop="1" thickBot="1">
      <c r="A141" s="10" t="s">
        <v>21</v>
      </c>
      <c r="B141" s="10" t="s">
        <v>22</v>
      </c>
      <c r="C141" s="10" t="s">
        <v>301</v>
      </c>
      <c r="D141" s="10" t="s">
        <v>141</v>
      </c>
      <c r="E141" s="10" t="s">
        <v>142</v>
      </c>
      <c r="F141" s="10" t="s">
        <v>143</v>
      </c>
      <c r="G141" s="11">
        <v>1330</v>
      </c>
      <c r="H141" s="163" t="s">
        <v>326</v>
      </c>
      <c r="I141" s="166" t="s">
        <v>327</v>
      </c>
      <c r="J141" s="163" t="s">
        <v>314</v>
      </c>
      <c r="K141" s="10" t="s">
        <v>40</v>
      </c>
      <c r="L141" s="10">
        <v>0</v>
      </c>
      <c r="M141" s="10">
        <f t="shared" si="7"/>
        <v>0</v>
      </c>
      <c r="N141" s="10">
        <v>10</v>
      </c>
      <c r="O141" s="12">
        <v>1</v>
      </c>
      <c r="P141" s="14">
        <v>6130</v>
      </c>
      <c r="Q141" s="10" t="s">
        <v>48</v>
      </c>
      <c r="R141" s="4" t="s">
        <v>1285</v>
      </c>
      <c r="S141" s="4" t="s">
        <v>507</v>
      </c>
      <c r="T141" s="4" t="s">
        <v>19</v>
      </c>
      <c r="U141" s="4" t="str">
        <f t="shared" si="8"/>
        <v>NOT AN ADD-ON</v>
      </c>
      <c r="V141" s="4" t="str">
        <f t="shared" si="9"/>
        <v>SCHEDULERADD-ONAUTHORIZEDNOT AN ADD-ON</v>
      </c>
    </row>
    <row r="142" spans="1:22" ht="29.25" customHeight="1" thickTop="1" thickBot="1">
      <c r="A142" s="10" t="s">
        <v>21</v>
      </c>
      <c r="B142" s="10" t="s">
        <v>22</v>
      </c>
      <c r="C142" s="10" t="s">
        <v>301</v>
      </c>
      <c r="D142" s="10" t="s">
        <v>141</v>
      </c>
      <c r="E142" s="10" t="s">
        <v>142</v>
      </c>
      <c r="F142" s="10" t="s">
        <v>143</v>
      </c>
      <c r="G142" s="11">
        <v>1380</v>
      </c>
      <c r="H142" s="163" t="s">
        <v>328</v>
      </c>
      <c r="I142" s="166" t="s">
        <v>329</v>
      </c>
      <c r="J142" s="163" t="s">
        <v>330</v>
      </c>
      <c r="K142" s="10" t="s">
        <v>30</v>
      </c>
      <c r="L142" s="10">
        <v>0</v>
      </c>
      <c r="M142" s="10">
        <f t="shared" si="7"/>
        <v>0</v>
      </c>
      <c r="N142" s="10">
        <v>10</v>
      </c>
      <c r="O142" s="12">
        <v>3.3333333333333335</v>
      </c>
      <c r="P142" s="14">
        <v>2020</v>
      </c>
      <c r="Q142" s="10" t="s">
        <v>48</v>
      </c>
      <c r="R142" s="4" t="s">
        <v>1285</v>
      </c>
      <c r="S142" s="4" t="s">
        <v>507</v>
      </c>
      <c r="T142" s="4" t="s">
        <v>19</v>
      </c>
      <c r="U142" s="4" t="str">
        <f t="shared" si="8"/>
        <v>NOT AN ADD-ON</v>
      </c>
      <c r="V142" s="4" t="str">
        <f t="shared" si="9"/>
        <v>SCHEDULERADD-ONAUTHORIZEDNOT AN ADD-ON</v>
      </c>
    </row>
    <row r="143" spans="1:22" ht="27" thickBot="1">
      <c r="A143" s="10" t="s">
        <v>21</v>
      </c>
      <c r="B143" s="10" t="s">
        <v>22</v>
      </c>
      <c r="C143" s="10" t="s">
        <v>301</v>
      </c>
      <c r="D143" s="10" t="s">
        <v>141</v>
      </c>
      <c r="E143" s="10" t="s">
        <v>142</v>
      </c>
      <c r="F143" s="10" t="s">
        <v>143</v>
      </c>
      <c r="G143" s="11">
        <v>645</v>
      </c>
      <c r="H143" s="163" t="s">
        <v>331</v>
      </c>
      <c r="I143" s="166" t="s">
        <v>332</v>
      </c>
      <c r="J143" s="163" t="s">
        <v>330</v>
      </c>
      <c r="K143" s="10" t="s">
        <v>30</v>
      </c>
      <c r="L143" s="10">
        <v>0</v>
      </c>
      <c r="M143" s="10">
        <f t="shared" si="7"/>
        <v>0</v>
      </c>
      <c r="N143" s="10">
        <v>10</v>
      </c>
      <c r="O143" s="12">
        <v>3.3333333333333335</v>
      </c>
      <c r="P143" s="11">
        <v>2020</v>
      </c>
      <c r="Q143" s="10" t="s">
        <v>48</v>
      </c>
      <c r="R143" s="4" t="s">
        <v>1285</v>
      </c>
      <c r="S143" s="4" t="s">
        <v>507</v>
      </c>
      <c r="T143" s="4" t="s">
        <v>19</v>
      </c>
      <c r="U143" s="4" t="str">
        <f t="shared" si="8"/>
        <v>NOT AN ADD-ON</v>
      </c>
      <c r="V143" s="4" t="str">
        <f t="shared" si="9"/>
        <v>SCHEDULERADD-ONAUTHORIZEDNOT AN ADD-ON</v>
      </c>
    </row>
    <row r="144" spans="1:22" ht="16" thickTop="1" thickBot="1">
      <c r="A144" s="10" t="s">
        <v>21</v>
      </c>
      <c r="B144" s="10" t="s">
        <v>22</v>
      </c>
      <c r="C144" s="10" t="s">
        <v>301</v>
      </c>
      <c r="D144" s="10" t="s">
        <v>141</v>
      </c>
      <c r="E144" s="10" t="s">
        <v>142</v>
      </c>
      <c r="F144" s="10" t="s">
        <v>143</v>
      </c>
      <c r="G144" s="11">
        <v>402</v>
      </c>
      <c r="H144" s="163" t="s">
        <v>333</v>
      </c>
      <c r="I144" s="158" t="s">
        <v>334</v>
      </c>
      <c r="J144" s="163" t="s">
        <v>330</v>
      </c>
      <c r="K144" s="10" t="s">
        <v>30</v>
      </c>
      <c r="L144" s="10">
        <v>0</v>
      </c>
      <c r="M144" s="10">
        <f t="shared" si="7"/>
        <v>0</v>
      </c>
      <c r="N144" s="10">
        <v>10</v>
      </c>
      <c r="O144" s="12">
        <v>3.3333333333333335</v>
      </c>
      <c r="P144" s="14">
        <v>2020</v>
      </c>
      <c r="Q144" s="10" t="s">
        <v>31</v>
      </c>
      <c r="R144" s="4" t="s">
        <v>1285</v>
      </c>
      <c r="S144" s="4" t="s">
        <v>507</v>
      </c>
      <c r="T144" s="4" t="s">
        <v>19</v>
      </c>
      <c r="U144" s="4" t="str">
        <f t="shared" si="8"/>
        <v>NOT AN ADD-ON</v>
      </c>
      <c r="V144" s="4" t="str">
        <f t="shared" si="9"/>
        <v>SCHEDULERADD-ONAUTHORIZEDNOT AN ADD-ON</v>
      </c>
    </row>
    <row r="145" spans="1:22" ht="16" thickTop="1" thickBot="1">
      <c r="A145" s="10" t="s">
        <v>21</v>
      </c>
      <c r="B145" s="10" t="s">
        <v>22</v>
      </c>
      <c r="C145" s="10" t="s">
        <v>301</v>
      </c>
      <c r="D145" s="10" t="s">
        <v>141</v>
      </c>
      <c r="E145" s="10" t="s">
        <v>142</v>
      </c>
      <c r="F145" s="10" t="s">
        <v>143</v>
      </c>
      <c r="G145" s="11">
        <v>2020</v>
      </c>
      <c r="H145" s="163" t="s">
        <v>330</v>
      </c>
      <c r="I145" s="158" t="s">
        <v>335</v>
      </c>
      <c r="J145" s="163" t="s">
        <v>330</v>
      </c>
      <c r="K145" s="10" t="s">
        <v>30</v>
      </c>
      <c r="L145" s="10">
        <v>0</v>
      </c>
      <c r="M145" s="10">
        <f t="shared" si="7"/>
        <v>0</v>
      </c>
      <c r="N145" s="10">
        <v>10</v>
      </c>
      <c r="O145" s="12">
        <v>3.3333333333333335</v>
      </c>
      <c r="P145" s="14">
        <v>2020</v>
      </c>
      <c r="Q145" s="10" t="s">
        <v>33</v>
      </c>
      <c r="R145" s="4" t="s">
        <v>1285</v>
      </c>
      <c r="S145" s="4" t="s">
        <v>507</v>
      </c>
      <c r="T145" s="4" t="s">
        <v>19</v>
      </c>
      <c r="U145" s="4" t="str">
        <f t="shared" si="8"/>
        <v>NOT AN ADD-ON</v>
      </c>
      <c r="V145" s="4" t="str">
        <f t="shared" si="9"/>
        <v>SCHEDULERADD-ONAUTHORIZEDNOT AN ADD-ON</v>
      </c>
    </row>
    <row r="146" spans="1:22" ht="16" thickTop="1" thickBot="1">
      <c r="A146" s="10" t="s">
        <v>21</v>
      </c>
      <c r="B146" s="10" t="s">
        <v>22</v>
      </c>
      <c r="C146" s="10" t="s">
        <v>301</v>
      </c>
      <c r="D146" s="10" t="s">
        <v>141</v>
      </c>
      <c r="E146" s="10" t="s">
        <v>142</v>
      </c>
      <c r="F146" s="10" t="s">
        <v>143</v>
      </c>
      <c r="G146" s="11">
        <v>1190</v>
      </c>
      <c r="H146" s="163" t="s">
        <v>336</v>
      </c>
      <c r="I146" s="158" t="s">
        <v>337</v>
      </c>
      <c r="J146" s="163" t="s">
        <v>330</v>
      </c>
      <c r="K146" s="10" t="s">
        <v>30</v>
      </c>
      <c r="L146" s="10">
        <v>0</v>
      </c>
      <c r="M146" s="10">
        <f t="shared" si="7"/>
        <v>0</v>
      </c>
      <c r="N146" s="10">
        <v>10</v>
      </c>
      <c r="O146" s="12">
        <v>3.3333333333333335</v>
      </c>
      <c r="P146" s="14">
        <v>2020</v>
      </c>
      <c r="Q146" s="10" t="s">
        <v>36</v>
      </c>
      <c r="R146" s="4" t="s">
        <v>1285</v>
      </c>
      <c r="S146" s="4" t="s">
        <v>507</v>
      </c>
      <c r="T146" s="4" t="s">
        <v>19</v>
      </c>
      <c r="U146" s="4" t="str">
        <f t="shared" si="8"/>
        <v>NOT AN ADD-ON</v>
      </c>
      <c r="V146" s="4" t="str">
        <f t="shared" si="9"/>
        <v>SCHEDULERADD-ONAUTHORIZEDNOT AN ADD-ON</v>
      </c>
    </row>
    <row r="147" spans="1:22" ht="15" thickBot="1">
      <c r="A147" s="10" t="s">
        <v>21</v>
      </c>
      <c r="B147" s="10" t="s">
        <v>22</v>
      </c>
      <c r="C147" s="10" t="s">
        <v>338</v>
      </c>
      <c r="D147" s="10" t="s">
        <v>141</v>
      </c>
      <c r="E147" s="10" t="s">
        <v>142</v>
      </c>
      <c r="F147" s="10" t="s">
        <v>339</v>
      </c>
      <c r="G147" s="11">
        <v>804</v>
      </c>
      <c r="H147" s="163" t="s">
        <v>340</v>
      </c>
      <c r="I147" s="158" t="s">
        <v>341</v>
      </c>
      <c r="J147" s="163" t="s">
        <v>342</v>
      </c>
      <c r="K147" s="10" t="s">
        <v>30</v>
      </c>
      <c r="L147" s="10">
        <v>0</v>
      </c>
      <c r="M147" s="10">
        <f t="shared" si="7"/>
        <v>0</v>
      </c>
      <c r="N147" s="10">
        <v>10</v>
      </c>
      <c r="O147" s="12">
        <v>3.3333333333333335</v>
      </c>
      <c r="P147" s="11">
        <v>4020</v>
      </c>
      <c r="Q147" s="10" t="s">
        <v>31</v>
      </c>
      <c r="R147" s="4" t="s">
        <v>1286</v>
      </c>
      <c r="S147" s="4" t="s">
        <v>507</v>
      </c>
      <c r="T147" s="4" t="s">
        <v>19</v>
      </c>
      <c r="U147" s="4" t="str">
        <f t="shared" si="8"/>
        <v>NOT AN ADD-ON</v>
      </c>
      <c r="V147" s="4" t="str">
        <f t="shared" si="9"/>
        <v>SCHEDULER PLUSADD-ONAUTHORIZEDNOT AN ADD-ON</v>
      </c>
    </row>
    <row r="148" spans="1:22" ht="15" thickBot="1">
      <c r="A148" s="10" t="s">
        <v>21</v>
      </c>
      <c r="B148" s="10" t="s">
        <v>22</v>
      </c>
      <c r="C148" s="10" t="s">
        <v>338</v>
      </c>
      <c r="D148" s="10" t="s">
        <v>141</v>
      </c>
      <c r="E148" s="10" t="s">
        <v>142</v>
      </c>
      <c r="F148" s="10" t="s">
        <v>339</v>
      </c>
      <c r="G148" s="11">
        <v>4020</v>
      </c>
      <c r="H148" s="163" t="s">
        <v>342</v>
      </c>
      <c r="I148" s="158" t="s">
        <v>343</v>
      </c>
      <c r="J148" s="163" t="s">
        <v>342</v>
      </c>
      <c r="K148" s="10" t="s">
        <v>30</v>
      </c>
      <c r="L148" s="10">
        <v>0</v>
      </c>
      <c r="M148" s="10">
        <f t="shared" si="7"/>
        <v>0</v>
      </c>
      <c r="N148" s="10">
        <v>10</v>
      </c>
      <c r="O148" s="12">
        <v>3.3333333333333335</v>
      </c>
      <c r="P148" s="11">
        <v>4020</v>
      </c>
      <c r="Q148" s="10" t="s">
        <v>33</v>
      </c>
      <c r="R148" s="4" t="s">
        <v>1286</v>
      </c>
      <c r="S148" s="4" t="s">
        <v>507</v>
      </c>
      <c r="T148" s="4" t="s">
        <v>19</v>
      </c>
      <c r="U148" s="4" t="str">
        <f t="shared" si="8"/>
        <v>NOT AN ADD-ON</v>
      </c>
      <c r="V148" s="4" t="str">
        <f t="shared" si="9"/>
        <v>SCHEDULER PLUSADD-ONAUTHORIZEDNOT AN ADD-ON</v>
      </c>
    </row>
    <row r="149" spans="1:22" ht="29.25" customHeight="1" thickBot="1">
      <c r="A149" s="10" t="s">
        <v>21</v>
      </c>
      <c r="B149" s="10" t="s">
        <v>22</v>
      </c>
      <c r="C149" s="10" t="s">
        <v>338</v>
      </c>
      <c r="D149" s="10" t="s">
        <v>141</v>
      </c>
      <c r="E149" s="10" t="s">
        <v>142</v>
      </c>
      <c r="F149" s="10" t="s">
        <v>339</v>
      </c>
      <c r="G149" s="11">
        <v>2420</v>
      </c>
      <c r="H149" s="163" t="s">
        <v>344</v>
      </c>
      <c r="I149" s="158" t="s">
        <v>345</v>
      </c>
      <c r="J149" s="163" t="s">
        <v>342</v>
      </c>
      <c r="K149" s="10" t="s">
        <v>30</v>
      </c>
      <c r="L149" s="10">
        <v>0</v>
      </c>
      <c r="M149" s="10">
        <f t="shared" si="7"/>
        <v>0</v>
      </c>
      <c r="N149" s="10">
        <v>10</v>
      </c>
      <c r="O149" s="12">
        <v>3.3333333333333335</v>
      </c>
      <c r="P149" s="11">
        <v>4020</v>
      </c>
      <c r="Q149" s="10" t="s">
        <v>36</v>
      </c>
      <c r="R149" s="4" t="s">
        <v>1286</v>
      </c>
      <c r="S149" s="4" t="s">
        <v>507</v>
      </c>
      <c r="T149" s="4" t="s">
        <v>19</v>
      </c>
      <c r="U149" s="4" t="str">
        <f t="shared" si="8"/>
        <v>NOT AN ADD-ON</v>
      </c>
      <c r="V149" s="4" t="str">
        <f t="shared" si="9"/>
        <v>SCHEDULER PLUSADD-ONAUTHORIZEDNOT AN ADD-ON</v>
      </c>
    </row>
    <row r="150" spans="1:22" ht="15" thickBot="1">
      <c r="A150" s="10" t="s">
        <v>21</v>
      </c>
      <c r="B150" s="10" t="s">
        <v>22</v>
      </c>
      <c r="C150" s="10" t="s">
        <v>338</v>
      </c>
      <c r="D150" s="10" t="s">
        <v>141</v>
      </c>
      <c r="E150" s="10" t="s">
        <v>142</v>
      </c>
      <c r="F150" s="10" t="s">
        <v>339</v>
      </c>
      <c r="G150" s="11">
        <v>804</v>
      </c>
      <c r="H150" s="163" t="s">
        <v>346</v>
      </c>
      <c r="I150" s="158" t="s">
        <v>347</v>
      </c>
      <c r="J150" s="163" t="s">
        <v>348</v>
      </c>
      <c r="K150" s="10" t="s">
        <v>30</v>
      </c>
      <c r="L150" s="10">
        <v>0</v>
      </c>
      <c r="M150" s="10">
        <f t="shared" si="7"/>
        <v>0</v>
      </c>
      <c r="N150" s="10">
        <v>10</v>
      </c>
      <c r="O150" s="12">
        <v>3.3333333333333335</v>
      </c>
      <c r="P150" s="11">
        <v>4020</v>
      </c>
      <c r="Q150" s="10" t="s">
        <v>31</v>
      </c>
      <c r="R150" s="4" t="s">
        <v>1286</v>
      </c>
      <c r="S150" s="4" t="s">
        <v>507</v>
      </c>
      <c r="T150" s="4" t="s">
        <v>19</v>
      </c>
      <c r="U150" s="4" t="str">
        <f t="shared" si="8"/>
        <v>NOT AN ADD-ON</v>
      </c>
      <c r="V150" s="4" t="str">
        <f t="shared" si="9"/>
        <v>SCHEDULER PLUSADD-ONAUTHORIZEDNOT AN ADD-ON</v>
      </c>
    </row>
    <row r="151" spans="1:22" ht="15" thickBot="1">
      <c r="A151" s="10" t="s">
        <v>21</v>
      </c>
      <c r="B151" s="10" t="s">
        <v>22</v>
      </c>
      <c r="C151" s="10" t="s">
        <v>338</v>
      </c>
      <c r="D151" s="10" t="s">
        <v>141</v>
      </c>
      <c r="E151" s="10" t="s">
        <v>142</v>
      </c>
      <c r="F151" s="10" t="s">
        <v>339</v>
      </c>
      <c r="G151" s="11">
        <v>4020</v>
      </c>
      <c r="H151" s="163" t="s">
        <v>348</v>
      </c>
      <c r="I151" s="158" t="s">
        <v>349</v>
      </c>
      <c r="J151" s="163" t="s">
        <v>348</v>
      </c>
      <c r="K151" s="10" t="s">
        <v>30</v>
      </c>
      <c r="L151" s="10">
        <v>0</v>
      </c>
      <c r="M151" s="10">
        <f t="shared" si="7"/>
        <v>0</v>
      </c>
      <c r="N151" s="10">
        <v>10</v>
      </c>
      <c r="O151" s="12">
        <v>3.3333333333333335</v>
      </c>
      <c r="P151" s="11">
        <v>4020</v>
      </c>
      <c r="Q151" s="10" t="s">
        <v>33</v>
      </c>
      <c r="R151" s="4" t="s">
        <v>1286</v>
      </c>
      <c r="S151" s="4" t="s">
        <v>507</v>
      </c>
      <c r="T151" s="4" t="s">
        <v>19</v>
      </c>
      <c r="U151" s="4" t="str">
        <f t="shared" si="8"/>
        <v>NOT AN ADD-ON</v>
      </c>
      <c r="V151" s="4" t="str">
        <f t="shared" si="9"/>
        <v>SCHEDULER PLUSADD-ONAUTHORIZEDNOT AN ADD-ON</v>
      </c>
    </row>
    <row r="152" spans="1:22" ht="29.25" customHeight="1" thickBot="1">
      <c r="A152" s="10" t="s">
        <v>21</v>
      </c>
      <c r="B152" s="10" t="s">
        <v>22</v>
      </c>
      <c r="C152" s="10" t="s">
        <v>338</v>
      </c>
      <c r="D152" s="10" t="s">
        <v>141</v>
      </c>
      <c r="E152" s="10" t="s">
        <v>142</v>
      </c>
      <c r="F152" s="10" t="s">
        <v>339</v>
      </c>
      <c r="G152" s="11">
        <v>2420</v>
      </c>
      <c r="H152" s="163" t="s">
        <v>350</v>
      </c>
      <c r="I152" s="158" t="s">
        <v>351</v>
      </c>
      <c r="J152" s="163" t="s">
        <v>348</v>
      </c>
      <c r="K152" s="10" t="s">
        <v>30</v>
      </c>
      <c r="L152" s="10">
        <v>0</v>
      </c>
      <c r="M152" s="10">
        <f t="shared" si="7"/>
        <v>0</v>
      </c>
      <c r="N152" s="10">
        <v>10</v>
      </c>
      <c r="O152" s="12">
        <v>3.3333333333333335</v>
      </c>
      <c r="P152" s="11">
        <v>4020</v>
      </c>
      <c r="Q152" s="10" t="s">
        <v>36</v>
      </c>
      <c r="R152" s="4" t="s">
        <v>1286</v>
      </c>
      <c r="S152" s="4" t="s">
        <v>507</v>
      </c>
      <c r="T152" s="4" t="s">
        <v>19</v>
      </c>
      <c r="U152" s="4" t="str">
        <f t="shared" si="8"/>
        <v>NOT AN ADD-ON</v>
      </c>
      <c r="V152" s="4" t="str">
        <f t="shared" si="9"/>
        <v>SCHEDULER PLUSADD-ONAUTHORIZEDNOT AN ADD-ON</v>
      </c>
    </row>
    <row r="153" spans="1:22" ht="27" thickBot="1">
      <c r="A153" s="10" t="s">
        <v>21</v>
      </c>
      <c r="B153" s="10" t="s">
        <v>22</v>
      </c>
      <c r="C153" s="10" t="s">
        <v>338</v>
      </c>
      <c r="D153" s="10" t="s">
        <v>141</v>
      </c>
      <c r="E153" s="10" t="s">
        <v>142</v>
      </c>
      <c r="F153" s="10" t="s">
        <v>339</v>
      </c>
      <c r="G153" s="11">
        <v>2660</v>
      </c>
      <c r="H153" s="163" t="s">
        <v>352</v>
      </c>
      <c r="I153" s="166" t="s">
        <v>353</v>
      </c>
      <c r="J153" s="163" t="s">
        <v>348</v>
      </c>
      <c r="K153" s="10" t="s">
        <v>30</v>
      </c>
      <c r="L153" s="10">
        <v>0</v>
      </c>
      <c r="M153" s="10">
        <f t="shared" si="7"/>
        <v>0</v>
      </c>
      <c r="N153" s="10">
        <v>10</v>
      </c>
      <c r="O153" s="12">
        <v>3.3333333333333335</v>
      </c>
      <c r="P153" s="11">
        <v>4020</v>
      </c>
      <c r="Q153" s="10" t="s">
        <v>48</v>
      </c>
      <c r="R153" s="4" t="s">
        <v>1286</v>
      </c>
      <c r="S153" s="4" t="s">
        <v>507</v>
      </c>
      <c r="T153" s="4" t="s">
        <v>19</v>
      </c>
      <c r="U153" s="4" t="str">
        <f t="shared" si="8"/>
        <v>NOT AN ADD-ON</v>
      </c>
      <c r="V153" s="4" t="str">
        <f t="shared" si="9"/>
        <v>SCHEDULER PLUSADD-ONAUTHORIZEDNOT AN ADD-ON</v>
      </c>
    </row>
    <row r="154" spans="1:22" ht="27" thickBot="1">
      <c r="A154" s="10" t="s">
        <v>21</v>
      </c>
      <c r="B154" s="10" t="s">
        <v>22</v>
      </c>
      <c r="C154" s="10" t="s">
        <v>338</v>
      </c>
      <c r="D154" s="10" t="s">
        <v>141</v>
      </c>
      <c r="E154" s="10" t="s">
        <v>142</v>
      </c>
      <c r="F154" s="10" t="s">
        <v>339</v>
      </c>
      <c r="G154" s="11">
        <v>2660</v>
      </c>
      <c r="H154" s="163" t="s">
        <v>354</v>
      </c>
      <c r="I154" s="166" t="s">
        <v>355</v>
      </c>
      <c r="J154" s="163" t="s">
        <v>342</v>
      </c>
      <c r="K154" s="10" t="s">
        <v>30</v>
      </c>
      <c r="L154" s="10">
        <v>0</v>
      </c>
      <c r="M154" s="10">
        <f t="shared" si="7"/>
        <v>0</v>
      </c>
      <c r="N154" s="10">
        <v>10</v>
      </c>
      <c r="O154" s="12">
        <v>3.3333333333333335</v>
      </c>
      <c r="P154" s="11">
        <v>4020</v>
      </c>
      <c r="Q154" s="10" t="s">
        <v>48</v>
      </c>
      <c r="R154" s="4" t="s">
        <v>1286</v>
      </c>
      <c r="S154" s="4" t="s">
        <v>507</v>
      </c>
      <c r="T154" s="4" t="s">
        <v>19</v>
      </c>
      <c r="U154" s="4" t="str">
        <f t="shared" si="8"/>
        <v>NOT AN ADD-ON</v>
      </c>
      <c r="V154" s="4" t="str">
        <f t="shared" si="9"/>
        <v>SCHEDULER PLUSADD-ONAUTHORIZEDNOT AN ADD-ON</v>
      </c>
    </row>
    <row r="155" spans="1:22" ht="29.25" customHeight="1" thickBot="1">
      <c r="A155" s="10" t="s">
        <v>21</v>
      </c>
      <c r="B155" s="10" t="s">
        <v>22</v>
      </c>
      <c r="C155" s="10" t="s">
        <v>338</v>
      </c>
      <c r="D155" s="10" t="s">
        <v>141</v>
      </c>
      <c r="E155" s="10" t="s">
        <v>142</v>
      </c>
      <c r="F155" s="10" t="s">
        <v>339</v>
      </c>
      <c r="G155" s="11">
        <v>2420</v>
      </c>
      <c r="H155" s="163" t="s">
        <v>356</v>
      </c>
      <c r="I155" s="158" t="s">
        <v>357</v>
      </c>
      <c r="J155" s="163" t="s">
        <v>358</v>
      </c>
      <c r="K155" s="10" t="s">
        <v>40</v>
      </c>
      <c r="L155" s="10">
        <v>0</v>
      </c>
      <c r="M155" s="10">
        <f t="shared" si="7"/>
        <v>0</v>
      </c>
      <c r="N155" s="10">
        <v>10</v>
      </c>
      <c r="O155" s="12">
        <v>1</v>
      </c>
      <c r="P155" s="11">
        <v>11900</v>
      </c>
      <c r="Q155" s="10" t="s">
        <v>31</v>
      </c>
      <c r="R155" s="4" t="s">
        <v>1286</v>
      </c>
      <c r="S155" s="4" t="s">
        <v>507</v>
      </c>
      <c r="T155" s="4" t="s">
        <v>19</v>
      </c>
      <c r="U155" s="4" t="str">
        <f t="shared" si="8"/>
        <v>NOT AN ADD-ON</v>
      </c>
      <c r="V155" s="4" t="str">
        <f t="shared" si="9"/>
        <v>SCHEDULER PLUSADD-ONAUTHORIZEDNOT AN ADD-ON</v>
      </c>
    </row>
    <row r="156" spans="1:22" ht="29.25" customHeight="1" thickBot="1">
      <c r="A156" s="10" t="s">
        <v>21</v>
      </c>
      <c r="B156" s="10" t="s">
        <v>22</v>
      </c>
      <c r="C156" s="10" t="s">
        <v>338</v>
      </c>
      <c r="D156" s="10" t="s">
        <v>141</v>
      </c>
      <c r="E156" s="10" t="s">
        <v>142</v>
      </c>
      <c r="F156" s="10" t="s">
        <v>339</v>
      </c>
      <c r="G156" s="11">
        <v>11900</v>
      </c>
      <c r="H156" s="163" t="s">
        <v>358</v>
      </c>
      <c r="I156" s="158" t="s">
        <v>359</v>
      </c>
      <c r="J156" s="163" t="s">
        <v>358</v>
      </c>
      <c r="K156" s="10" t="s">
        <v>40</v>
      </c>
      <c r="L156" s="10">
        <v>0</v>
      </c>
      <c r="M156" s="10">
        <f t="shared" si="7"/>
        <v>0</v>
      </c>
      <c r="N156" s="10">
        <v>10</v>
      </c>
      <c r="O156" s="12">
        <v>1</v>
      </c>
      <c r="P156" s="11">
        <v>11900</v>
      </c>
      <c r="Q156" s="10" t="s">
        <v>33</v>
      </c>
      <c r="R156" s="4" t="s">
        <v>1286</v>
      </c>
      <c r="S156" s="4" t="s">
        <v>507</v>
      </c>
      <c r="T156" s="4" t="s">
        <v>19</v>
      </c>
      <c r="U156" s="4" t="str">
        <f t="shared" si="8"/>
        <v>NOT AN ADD-ON</v>
      </c>
      <c r="V156" s="4" t="str">
        <f t="shared" si="9"/>
        <v>SCHEDULER PLUSADD-ONAUTHORIZEDNOT AN ADD-ON</v>
      </c>
    </row>
    <row r="157" spans="1:22" ht="15" thickBot="1">
      <c r="A157" s="10" t="s">
        <v>21</v>
      </c>
      <c r="B157" s="10" t="s">
        <v>22</v>
      </c>
      <c r="C157" s="10" t="s">
        <v>338</v>
      </c>
      <c r="D157" s="10" t="s">
        <v>141</v>
      </c>
      <c r="E157" s="10" t="s">
        <v>142</v>
      </c>
      <c r="F157" s="10" t="s">
        <v>339</v>
      </c>
      <c r="G157" s="11">
        <v>7230</v>
      </c>
      <c r="H157" s="163" t="s">
        <v>360</v>
      </c>
      <c r="I157" s="158" t="s">
        <v>361</v>
      </c>
      <c r="J157" s="163" t="s">
        <v>358</v>
      </c>
      <c r="K157" s="10" t="s">
        <v>40</v>
      </c>
      <c r="L157" s="10">
        <v>0</v>
      </c>
      <c r="M157" s="10">
        <f t="shared" si="7"/>
        <v>0</v>
      </c>
      <c r="N157" s="10">
        <v>10</v>
      </c>
      <c r="O157" s="12">
        <v>1</v>
      </c>
      <c r="P157" s="11">
        <v>11900</v>
      </c>
      <c r="Q157" s="10" t="s">
        <v>36</v>
      </c>
      <c r="R157" s="4" t="s">
        <v>1286</v>
      </c>
      <c r="S157" s="4" t="s">
        <v>507</v>
      </c>
      <c r="T157" s="4" t="s">
        <v>19</v>
      </c>
      <c r="U157" s="4" t="str">
        <f t="shared" si="8"/>
        <v>NOT AN ADD-ON</v>
      </c>
      <c r="V157" s="4" t="str">
        <f t="shared" si="9"/>
        <v>SCHEDULER PLUSADD-ONAUTHORIZEDNOT AN ADD-ON</v>
      </c>
    </row>
    <row r="158" spans="1:22" ht="29.25" customHeight="1" thickBot="1">
      <c r="A158" s="10" t="s">
        <v>21</v>
      </c>
      <c r="B158" s="10" t="s">
        <v>22</v>
      </c>
      <c r="C158" s="10" t="s">
        <v>338</v>
      </c>
      <c r="D158" s="10" t="s">
        <v>141</v>
      </c>
      <c r="E158" s="10" t="s">
        <v>142</v>
      </c>
      <c r="F158" s="10" t="s">
        <v>339</v>
      </c>
      <c r="G158" s="11">
        <v>2420</v>
      </c>
      <c r="H158" s="163" t="s">
        <v>362</v>
      </c>
      <c r="I158" s="158" t="s">
        <v>363</v>
      </c>
      <c r="J158" s="163" t="s">
        <v>364</v>
      </c>
      <c r="K158" s="10" t="s">
        <v>40</v>
      </c>
      <c r="L158" s="10">
        <v>0</v>
      </c>
      <c r="M158" s="10">
        <f t="shared" si="7"/>
        <v>0</v>
      </c>
      <c r="N158" s="10">
        <v>10</v>
      </c>
      <c r="O158" s="12">
        <v>1</v>
      </c>
      <c r="P158" s="11">
        <v>11900</v>
      </c>
      <c r="Q158" s="10" t="s">
        <v>31</v>
      </c>
      <c r="R158" s="4" t="s">
        <v>1286</v>
      </c>
      <c r="S158" s="4" t="s">
        <v>507</v>
      </c>
      <c r="T158" s="4" t="s">
        <v>19</v>
      </c>
      <c r="U158" s="4" t="str">
        <f t="shared" si="8"/>
        <v>NOT AN ADD-ON</v>
      </c>
      <c r="V158" s="4" t="str">
        <f t="shared" si="9"/>
        <v>SCHEDULER PLUSADD-ONAUTHORIZEDNOT AN ADD-ON</v>
      </c>
    </row>
    <row r="159" spans="1:22" ht="15" thickBot="1">
      <c r="A159" s="10" t="s">
        <v>21</v>
      </c>
      <c r="B159" s="10" t="s">
        <v>22</v>
      </c>
      <c r="C159" s="10" t="s">
        <v>338</v>
      </c>
      <c r="D159" s="10" t="s">
        <v>141</v>
      </c>
      <c r="E159" s="10" t="s">
        <v>142</v>
      </c>
      <c r="F159" s="10" t="s">
        <v>339</v>
      </c>
      <c r="G159" s="11">
        <v>11900</v>
      </c>
      <c r="H159" s="163" t="s">
        <v>364</v>
      </c>
      <c r="I159" s="158" t="s">
        <v>365</v>
      </c>
      <c r="J159" s="163" t="s">
        <v>364</v>
      </c>
      <c r="K159" s="10" t="s">
        <v>40</v>
      </c>
      <c r="L159" s="10">
        <v>0</v>
      </c>
      <c r="M159" s="10">
        <f t="shared" si="7"/>
        <v>0</v>
      </c>
      <c r="N159" s="10">
        <v>10</v>
      </c>
      <c r="O159" s="12">
        <v>1</v>
      </c>
      <c r="P159" s="11">
        <v>11900</v>
      </c>
      <c r="Q159" s="10" t="s">
        <v>33</v>
      </c>
      <c r="R159" s="4" t="s">
        <v>1286</v>
      </c>
      <c r="S159" s="4" t="s">
        <v>507</v>
      </c>
      <c r="T159" s="4" t="s">
        <v>19</v>
      </c>
      <c r="U159" s="4" t="str">
        <f t="shared" si="8"/>
        <v>NOT AN ADD-ON</v>
      </c>
      <c r="V159" s="4" t="str">
        <f t="shared" si="9"/>
        <v>SCHEDULER PLUSADD-ONAUTHORIZEDNOT AN ADD-ON</v>
      </c>
    </row>
    <row r="160" spans="1:22" ht="29.25" customHeight="1" thickBot="1">
      <c r="A160" s="10" t="s">
        <v>21</v>
      </c>
      <c r="B160" s="10" t="s">
        <v>22</v>
      </c>
      <c r="C160" s="10" t="s">
        <v>338</v>
      </c>
      <c r="D160" s="10" t="s">
        <v>141</v>
      </c>
      <c r="E160" s="10" t="s">
        <v>142</v>
      </c>
      <c r="F160" s="10" t="s">
        <v>339</v>
      </c>
      <c r="G160" s="11">
        <v>7230</v>
      </c>
      <c r="H160" s="163" t="s">
        <v>366</v>
      </c>
      <c r="I160" s="158" t="s">
        <v>367</v>
      </c>
      <c r="J160" s="163" t="s">
        <v>364</v>
      </c>
      <c r="K160" s="10" t="s">
        <v>40</v>
      </c>
      <c r="L160" s="10">
        <v>0</v>
      </c>
      <c r="M160" s="10">
        <f t="shared" si="7"/>
        <v>0</v>
      </c>
      <c r="N160" s="10">
        <v>10</v>
      </c>
      <c r="O160" s="12">
        <v>1</v>
      </c>
      <c r="P160" s="11">
        <v>11900</v>
      </c>
      <c r="Q160" s="10" t="s">
        <v>36</v>
      </c>
      <c r="R160" s="4" t="s">
        <v>1286</v>
      </c>
      <c r="S160" s="4" t="s">
        <v>507</v>
      </c>
      <c r="T160" s="4" t="s">
        <v>19</v>
      </c>
      <c r="U160" s="4" t="str">
        <f t="shared" si="8"/>
        <v>NOT AN ADD-ON</v>
      </c>
      <c r="V160" s="4" t="str">
        <f t="shared" si="9"/>
        <v>SCHEDULER PLUSADD-ONAUTHORIZEDNOT AN ADD-ON</v>
      </c>
    </row>
    <row r="161" spans="1:22" ht="27" thickBot="1">
      <c r="A161" s="10" t="s">
        <v>21</v>
      </c>
      <c r="B161" s="10" t="s">
        <v>22</v>
      </c>
      <c r="C161" s="10" t="s">
        <v>338</v>
      </c>
      <c r="D161" s="10" t="s">
        <v>141</v>
      </c>
      <c r="E161" s="10" t="s">
        <v>142</v>
      </c>
      <c r="F161" s="10" t="s">
        <v>339</v>
      </c>
      <c r="G161" s="11">
        <v>7870</v>
      </c>
      <c r="H161" s="163" t="s">
        <v>368</v>
      </c>
      <c r="I161" s="166" t="s">
        <v>369</v>
      </c>
      <c r="J161" s="163" t="s">
        <v>364</v>
      </c>
      <c r="K161" s="10" t="s">
        <v>40</v>
      </c>
      <c r="L161" s="10">
        <v>0</v>
      </c>
      <c r="M161" s="10">
        <f t="shared" si="7"/>
        <v>0</v>
      </c>
      <c r="N161" s="10">
        <v>10</v>
      </c>
      <c r="O161" s="12">
        <v>1</v>
      </c>
      <c r="P161" s="11">
        <v>11900</v>
      </c>
      <c r="Q161" s="10" t="s">
        <v>48</v>
      </c>
      <c r="R161" s="4" t="s">
        <v>1286</v>
      </c>
      <c r="S161" s="4" t="s">
        <v>507</v>
      </c>
      <c r="T161" s="4" t="s">
        <v>19</v>
      </c>
      <c r="U161" s="4" t="str">
        <f t="shared" si="8"/>
        <v>NOT AN ADD-ON</v>
      </c>
      <c r="V161" s="4" t="str">
        <f t="shared" si="9"/>
        <v>SCHEDULER PLUSADD-ONAUTHORIZEDNOT AN ADD-ON</v>
      </c>
    </row>
    <row r="162" spans="1:22" ht="29.25" customHeight="1" thickBot="1">
      <c r="A162" s="10" t="s">
        <v>21</v>
      </c>
      <c r="B162" s="10" t="s">
        <v>22</v>
      </c>
      <c r="C162" s="10" t="s">
        <v>338</v>
      </c>
      <c r="D162" s="10" t="s">
        <v>141</v>
      </c>
      <c r="E162" s="10" t="s">
        <v>142</v>
      </c>
      <c r="F162" s="10" t="s">
        <v>339</v>
      </c>
      <c r="G162" s="11">
        <v>7870</v>
      </c>
      <c r="H162" s="163" t="s">
        <v>370</v>
      </c>
      <c r="I162" s="166" t="s">
        <v>371</v>
      </c>
      <c r="J162" s="163" t="s">
        <v>358</v>
      </c>
      <c r="K162" s="10" t="s">
        <v>40</v>
      </c>
      <c r="L162" s="10">
        <v>0</v>
      </c>
      <c r="M162" s="10">
        <f t="shared" si="7"/>
        <v>0</v>
      </c>
      <c r="N162" s="10">
        <v>10</v>
      </c>
      <c r="O162" s="12">
        <v>1</v>
      </c>
      <c r="P162" s="11">
        <v>11900</v>
      </c>
      <c r="Q162" s="10" t="s">
        <v>48</v>
      </c>
      <c r="R162" s="4" t="s">
        <v>1286</v>
      </c>
      <c r="S162" s="4" t="s">
        <v>507</v>
      </c>
      <c r="T162" s="4" t="s">
        <v>19</v>
      </c>
      <c r="U162" s="4" t="str">
        <f t="shared" si="8"/>
        <v>NOT AN ADD-ON</v>
      </c>
      <c r="V162" s="4" t="str">
        <f t="shared" si="9"/>
        <v>SCHEDULER PLUSADD-ONAUTHORIZEDNOT AN ADD-ON</v>
      </c>
    </row>
    <row r="163" spans="1:22" ht="29.25" customHeight="1" thickBot="1">
      <c r="A163" s="10" t="s">
        <v>21</v>
      </c>
      <c r="B163" s="10" t="s">
        <v>22</v>
      </c>
      <c r="C163" s="10" t="s">
        <v>301</v>
      </c>
      <c r="D163" s="10" t="s">
        <v>141</v>
      </c>
      <c r="E163" s="10" t="s">
        <v>142</v>
      </c>
      <c r="F163" s="10" t="s">
        <v>339</v>
      </c>
      <c r="G163" s="11">
        <v>2740</v>
      </c>
      <c r="H163" s="163" t="s">
        <v>372</v>
      </c>
      <c r="I163" s="158" t="s">
        <v>373</v>
      </c>
      <c r="J163" s="163" t="s">
        <v>374</v>
      </c>
      <c r="K163" s="10" t="s">
        <v>375</v>
      </c>
      <c r="L163" s="10">
        <v>0</v>
      </c>
      <c r="M163" s="10">
        <f t="shared" si="7"/>
        <v>0</v>
      </c>
      <c r="N163" s="10">
        <v>10</v>
      </c>
      <c r="O163" s="12">
        <v>1</v>
      </c>
      <c r="P163" s="11">
        <v>13700</v>
      </c>
      <c r="Q163" s="10" t="s">
        <v>31</v>
      </c>
      <c r="R163" s="4" t="s">
        <v>1286</v>
      </c>
      <c r="S163" s="4" t="s">
        <v>507</v>
      </c>
      <c r="T163" s="4" t="s">
        <v>1382</v>
      </c>
      <c r="U163" s="4" t="str">
        <f t="shared" si="8"/>
        <v>NOT AN ADD-ON</v>
      </c>
      <c r="V163" s="4" t="str">
        <f t="shared" si="9"/>
        <v>SCHEDULER PLUSADD-ONRESOURCE VALUENOT AN ADD-ON</v>
      </c>
    </row>
    <row r="164" spans="1:22" ht="29.25" customHeight="1" thickBot="1">
      <c r="A164" s="10" t="s">
        <v>21</v>
      </c>
      <c r="B164" s="10" t="s">
        <v>22</v>
      </c>
      <c r="C164" s="10" t="s">
        <v>301</v>
      </c>
      <c r="D164" s="10" t="s">
        <v>141</v>
      </c>
      <c r="E164" s="10" t="s">
        <v>142</v>
      </c>
      <c r="F164" s="10" t="s">
        <v>339</v>
      </c>
      <c r="G164" s="11">
        <v>13700</v>
      </c>
      <c r="H164" s="163" t="s">
        <v>374</v>
      </c>
      <c r="I164" s="158" t="s">
        <v>376</v>
      </c>
      <c r="J164" s="163" t="s">
        <v>374</v>
      </c>
      <c r="K164" s="10" t="s">
        <v>375</v>
      </c>
      <c r="L164" s="10">
        <v>0</v>
      </c>
      <c r="M164" s="10">
        <f t="shared" si="7"/>
        <v>0</v>
      </c>
      <c r="N164" s="10">
        <v>10</v>
      </c>
      <c r="O164" s="12">
        <v>1</v>
      </c>
      <c r="P164" s="11">
        <v>13700</v>
      </c>
      <c r="Q164" s="10" t="s">
        <v>33</v>
      </c>
      <c r="R164" s="4" t="s">
        <v>1286</v>
      </c>
      <c r="S164" s="4" t="s">
        <v>507</v>
      </c>
      <c r="T164" s="4" t="s">
        <v>1382</v>
      </c>
      <c r="U164" s="4" t="str">
        <f t="shared" si="8"/>
        <v>NOT AN ADD-ON</v>
      </c>
      <c r="V164" s="4" t="str">
        <f t="shared" si="9"/>
        <v>SCHEDULER PLUSADD-ONRESOURCE VALUENOT AN ADD-ON</v>
      </c>
    </row>
    <row r="165" spans="1:22" ht="15" thickBot="1">
      <c r="A165" s="10" t="s">
        <v>21</v>
      </c>
      <c r="B165" s="10" t="s">
        <v>22</v>
      </c>
      <c r="C165" s="10" t="s">
        <v>301</v>
      </c>
      <c r="D165" s="10" t="s">
        <v>141</v>
      </c>
      <c r="E165" s="10" t="s">
        <v>142</v>
      </c>
      <c r="F165" s="10" t="s">
        <v>339</v>
      </c>
      <c r="G165" s="11">
        <v>8200</v>
      </c>
      <c r="H165" s="163" t="s">
        <v>377</v>
      </c>
      <c r="I165" s="158" t="s">
        <v>378</v>
      </c>
      <c r="J165" s="163" t="s">
        <v>374</v>
      </c>
      <c r="K165" s="10" t="s">
        <v>375</v>
      </c>
      <c r="L165" s="10">
        <v>0</v>
      </c>
      <c r="M165" s="10">
        <f t="shared" si="7"/>
        <v>0</v>
      </c>
      <c r="N165" s="10">
        <v>10</v>
      </c>
      <c r="O165" s="12">
        <v>1</v>
      </c>
      <c r="P165" s="11">
        <v>13700</v>
      </c>
      <c r="Q165" s="10" t="s">
        <v>36</v>
      </c>
      <c r="R165" s="4" t="s">
        <v>1286</v>
      </c>
      <c r="S165" s="4" t="s">
        <v>507</v>
      </c>
      <c r="T165" s="4" t="s">
        <v>1382</v>
      </c>
      <c r="U165" s="4" t="str">
        <f t="shared" si="8"/>
        <v>NOT AN ADD-ON</v>
      </c>
      <c r="V165" s="4" t="str">
        <f t="shared" si="9"/>
        <v>SCHEDULER PLUSADD-ONRESOURCE VALUENOT AN ADD-ON</v>
      </c>
    </row>
    <row r="166" spans="1:22" ht="29.25" customHeight="1" thickBot="1">
      <c r="A166" s="10" t="s">
        <v>21</v>
      </c>
      <c r="B166" s="10" t="s">
        <v>22</v>
      </c>
      <c r="C166" s="10" t="s">
        <v>301</v>
      </c>
      <c r="D166" s="10" t="s">
        <v>141</v>
      </c>
      <c r="E166" s="10" t="s">
        <v>142</v>
      </c>
      <c r="F166" s="10" t="s">
        <v>339</v>
      </c>
      <c r="G166" s="11">
        <v>2740</v>
      </c>
      <c r="H166" s="163" t="s">
        <v>379</v>
      </c>
      <c r="I166" s="158" t="s">
        <v>380</v>
      </c>
      <c r="J166" s="163" t="s">
        <v>381</v>
      </c>
      <c r="K166" s="10" t="s">
        <v>375</v>
      </c>
      <c r="L166" s="10">
        <v>0</v>
      </c>
      <c r="M166" s="10">
        <f t="shared" si="7"/>
        <v>0</v>
      </c>
      <c r="N166" s="10">
        <v>10</v>
      </c>
      <c r="O166" s="12">
        <v>1</v>
      </c>
      <c r="P166" s="11">
        <v>13700</v>
      </c>
      <c r="Q166" s="10" t="s">
        <v>31</v>
      </c>
      <c r="R166" s="4" t="s">
        <v>1286</v>
      </c>
      <c r="S166" s="4" t="s">
        <v>507</v>
      </c>
      <c r="T166" s="4" t="s">
        <v>1382</v>
      </c>
      <c r="U166" s="4" t="str">
        <f t="shared" si="8"/>
        <v>NOT AN ADD-ON</v>
      </c>
      <c r="V166" s="4" t="str">
        <f t="shared" si="9"/>
        <v>SCHEDULER PLUSADD-ONRESOURCE VALUENOT AN ADD-ON</v>
      </c>
    </row>
    <row r="167" spans="1:22" ht="15" thickBot="1">
      <c r="A167" s="10" t="s">
        <v>21</v>
      </c>
      <c r="B167" s="10" t="s">
        <v>22</v>
      </c>
      <c r="C167" s="10" t="s">
        <v>301</v>
      </c>
      <c r="D167" s="10" t="s">
        <v>141</v>
      </c>
      <c r="E167" s="10" t="s">
        <v>142</v>
      </c>
      <c r="F167" s="10" t="s">
        <v>339</v>
      </c>
      <c r="G167" s="11">
        <v>13700</v>
      </c>
      <c r="H167" s="163" t="s">
        <v>381</v>
      </c>
      <c r="I167" s="166" t="s">
        <v>382</v>
      </c>
      <c r="J167" s="163" t="s">
        <v>381</v>
      </c>
      <c r="K167" s="10" t="s">
        <v>375</v>
      </c>
      <c r="L167" s="10">
        <v>0</v>
      </c>
      <c r="M167" s="10">
        <f t="shared" si="7"/>
        <v>0</v>
      </c>
      <c r="N167" s="10">
        <v>10</v>
      </c>
      <c r="O167" s="12">
        <v>1</v>
      </c>
      <c r="P167" s="11">
        <v>13700</v>
      </c>
      <c r="Q167" s="10" t="s">
        <v>33</v>
      </c>
      <c r="R167" s="4" t="s">
        <v>1286</v>
      </c>
      <c r="S167" s="4" t="s">
        <v>507</v>
      </c>
      <c r="T167" s="4" t="s">
        <v>1382</v>
      </c>
      <c r="U167" s="4" t="str">
        <f t="shared" si="8"/>
        <v>NOT AN ADD-ON</v>
      </c>
      <c r="V167" s="4" t="str">
        <f t="shared" si="9"/>
        <v>SCHEDULER PLUSADD-ONRESOURCE VALUENOT AN ADD-ON</v>
      </c>
    </row>
    <row r="168" spans="1:22" ht="15" thickBot="1">
      <c r="A168" s="10" t="s">
        <v>21</v>
      </c>
      <c r="B168" s="10" t="s">
        <v>22</v>
      </c>
      <c r="C168" s="10" t="s">
        <v>301</v>
      </c>
      <c r="D168" s="10" t="s">
        <v>141</v>
      </c>
      <c r="E168" s="10" t="s">
        <v>142</v>
      </c>
      <c r="F168" s="10" t="s">
        <v>339</v>
      </c>
      <c r="G168" s="11">
        <v>8200</v>
      </c>
      <c r="H168" s="163" t="s">
        <v>383</v>
      </c>
      <c r="I168" s="166" t="s">
        <v>384</v>
      </c>
      <c r="J168" s="163" t="s">
        <v>381</v>
      </c>
      <c r="K168" s="10" t="s">
        <v>375</v>
      </c>
      <c r="L168" s="10">
        <v>0</v>
      </c>
      <c r="M168" s="10">
        <f t="shared" si="7"/>
        <v>0</v>
      </c>
      <c r="N168" s="10">
        <v>10</v>
      </c>
      <c r="O168" s="12">
        <v>1</v>
      </c>
      <c r="P168" s="11">
        <v>13700</v>
      </c>
      <c r="Q168" s="10" t="s">
        <v>36</v>
      </c>
      <c r="R168" s="4" t="s">
        <v>1286</v>
      </c>
      <c r="S168" s="4" t="s">
        <v>507</v>
      </c>
      <c r="T168" s="4" t="s">
        <v>1382</v>
      </c>
      <c r="U168" s="4" t="str">
        <f t="shared" si="8"/>
        <v>NOT AN ADD-ON</v>
      </c>
      <c r="V168" s="4" t="str">
        <f t="shared" si="9"/>
        <v>SCHEDULER PLUSADD-ONRESOURCE VALUENOT AN ADD-ON</v>
      </c>
    </row>
    <row r="169" spans="1:22" ht="29.25" customHeight="1" thickBot="1">
      <c r="A169" s="10" t="s">
        <v>21</v>
      </c>
      <c r="B169" s="10" t="s">
        <v>22</v>
      </c>
      <c r="C169" s="10" t="s">
        <v>385</v>
      </c>
      <c r="D169" s="10" t="s">
        <v>386</v>
      </c>
      <c r="E169" s="10" t="s">
        <v>387</v>
      </c>
      <c r="F169" s="10" t="s">
        <v>388</v>
      </c>
      <c r="G169" s="11">
        <v>116</v>
      </c>
      <c r="H169" s="163" t="s">
        <v>389</v>
      </c>
      <c r="I169" s="158" t="s">
        <v>390</v>
      </c>
      <c r="J169" s="163" t="s">
        <v>391</v>
      </c>
      <c r="K169" s="10" t="s">
        <v>30</v>
      </c>
      <c r="L169" s="10">
        <v>0</v>
      </c>
      <c r="M169" s="10">
        <f t="shared" si="7"/>
        <v>0</v>
      </c>
      <c r="N169" s="10">
        <v>5</v>
      </c>
      <c r="O169" s="12">
        <v>1.6666666666666667</v>
      </c>
      <c r="P169" s="11">
        <v>584</v>
      </c>
      <c r="Q169" s="10" t="s">
        <v>31</v>
      </c>
      <c r="R169" s="4" t="s">
        <v>1288</v>
      </c>
      <c r="S169" s="4" t="s">
        <v>507</v>
      </c>
      <c r="T169" s="4" t="s">
        <v>19</v>
      </c>
      <c r="U169" s="4" t="str">
        <f t="shared" si="8"/>
        <v>NOT AN ADD-ON</v>
      </c>
      <c r="V169" s="4" t="str">
        <f t="shared" si="9"/>
        <v>CALIBRATIONADD-ONAUTHORIZEDNOT AN ADD-ON</v>
      </c>
    </row>
    <row r="170" spans="1:22" ht="15" thickBot="1">
      <c r="A170" s="10" t="s">
        <v>21</v>
      </c>
      <c r="B170" s="10" t="s">
        <v>22</v>
      </c>
      <c r="C170" s="10" t="s">
        <v>385</v>
      </c>
      <c r="D170" s="10" t="s">
        <v>386</v>
      </c>
      <c r="E170" s="10" t="s">
        <v>387</v>
      </c>
      <c r="F170" s="10" t="s">
        <v>388</v>
      </c>
      <c r="G170" s="11">
        <v>584</v>
      </c>
      <c r="H170" s="163" t="s">
        <v>391</v>
      </c>
      <c r="I170" s="158" t="s">
        <v>392</v>
      </c>
      <c r="J170" s="163" t="s">
        <v>391</v>
      </c>
      <c r="K170" s="10" t="s">
        <v>30</v>
      </c>
      <c r="L170" s="10">
        <v>0</v>
      </c>
      <c r="M170" s="10">
        <f t="shared" si="7"/>
        <v>0</v>
      </c>
      <c r="N170" s="10">
        <v>5</v>
      </c>
      <c r="O170" s="12">
        <v>1.6666666666666667</v>
      </c>
      <c r="P170" s="11">
        <v>584</v>
      </c>
      <c r="Q170" s="10" t="s">
        <v>33</v>
      </c>
      <c r="R170" s="4" t="s">
        <v>1288</v>
      </c>
      <c r="S170" s="4" t="s">
        <v>507</v>
      </c>
      <c r="T170" s="4" t="s">
        <v>19</v>
      </c>
      <c r="U170" s="4" t="str">
        <f t="shared" si="8"/>
        <v>NOT AN ADD-ON</v>
      </c>
      <c r="V170" s="4" t="str">
        <f t="shared" si="9"/>
        <v>CALIBRATIONADD-ONAUTHORIZEDNOT AN ADD-ON</v>
      </c>
    </row>
    <row r="171" spans="1:22" ht="15" thickBot="1">
      <c r="A171" s="10" t="s">
        <v>21</v>
      </c>
      <c r="B171" s="10" t="s">
        <v>22</v>
      </c>
      <c r="C171" s="10" t="s">
        <v>385</v>
      </c>
      <c r="D171" s="10" t="s">
        <v>386</v>
      </c>
      <c r="E171" s="10" t="s">
        <v>387</v>
      </c>
      <c r="F171" s="10" t="s">
        <v>388</v>
      </c>
      <c r="G171" s="11">
        <v>350</v>
      </c>
      <c r="H171" s="163" t="s">
        <v>393</v>
      </c>
      <c r="I171" s="158" t="s">
        <v>394</v>
      </c>
      <c r="J171" s="163" t="s">
        <v>391</v>
      </c>
      <c r="K171" s="10" t="s">
        <v>30</v>
      </c>
      <c r="L171" s="10">
        <v>0</v>
      </c>
      <c r="M171" s="10">
        <f t="shared" si="7"/>
        <v>0</v>
      </c>
      <c r="N171" s="10">
        <v>5</v>
      </c>
      <c r="O171" s="12">
        <v>1.6666666666666667</v>
      </c>
      <c r="P171" s="11">
        <v>584</v>
      </c>
      <c r="Q171" s="10" t="s">
        <v>36</v>
      </c>
      <c r="R171" s="4" t="s">
        <v>1288</v>
      </c>
      <c r="S171" s="4" t="s">
        <v>507</v>
      </c>
      <c r="T171" s="4" t="s">
        <v>19</v>
      </c>
      <c r="U171" s="4" t="str">
        <f t="shared" si="8"/>
        <v>NOT AN ADD-ON</v>
      </c>
      <c r="V171" s="4" t="str">
        <f t="shared" si="9"/>
        <v>CALIBRATIONADD-ONAUTHORIZEDNOT AN ADD-ON</v>
      </c>
    </row>
    <row r="172" spans="1:22" ht="29.25" customHeight="1" thickBot="1">
      <c r="A172" s="10" t="s">
        <v>21</v>
      </c>
      <c r="B172" s="10" t="s">
        <v>22</v>
      </c>
      <c r="C172" s="10" t="s">
        <v>385</v>
      </c>
      <c r="D172" s="10" t="s">
        <v>386</v>
      </c>
      <c r="E172" s="10" t="s">
        <v>387</v>
      </c>
      <c r="F172" s="10" t="s">
        <v>388</v>
      </c>
      <c r="G172" s="11">
        <v>356</v>
      </c>
      <c r="H172" s="163" t="s">
        <v>395</v>
      </c>
      <c r="I172" s="158" t="s">
        <v>396</v>
      </c>
      <c r="J172" s="163" t="s">
        <v>397</v>
      </c>
      <c r="K172" s="10" t="s">
        <v>40</v>
      </c>
      <c r="L172" s="10">
        <v>0</v>
      </c>
      <c r="M172" s="10">
        <f t="shared" si="7"/>
        <v>0</v>
      </c>
      <c r="N172" s="10">
        <v>5</v>
      </c>
      <c r="O172" s="12">
        <v>1</v>
      </c>
      <c r="P172" s="11">
        <v>1780</v>
      </c>
      <c r="Q172" s="10" t="s">
        <v>31</v>
      </c>
      <c r="R172" s="4" t="s">
        <v>1288</v>
      </c>
      <c r="S172" s="4" t="s">
        <v>507</v>
      </c>
      <c r="T172" s="4" t="s">
        <v>19</v>
      </c>
      <c r="U172" s="4" t="str">
        <f t="shared" si="8"/>
        <v>NOT AN ADD-ON</v>
      </c>
      <c r="V172" s="4" t="str">
        <f t="shared" si="9"/>
        <v>CALIBRATIONADD-ONAUTHORIZEDNOT AN ADD-ON</v>
      </c>
    </row>
    <row r="173" spans="1:22" ht="29.25" customHeight="1" thickBot="1">
      <c r="A173" s="10" t="s">
        <v>21</v>
      </c>
      <c r="B173" s="10" t="s">
        <v>22</v>
      </c>
      <c r="C173" s="10" t="s">
        <v>385</v>
      </c>
      <c r="D173" s="10" t="s">
        <v>386</v>
      </c>
      <c r="E173" s="10" t="s">
        <v>387</v>
      </c>
      <c r="F173" s="10" t="s">
        <v>388</v>
      </c>
      <c r="G173" s="11">
        <v>1780</v>
      </c>
      <c r="H173" s="163" t="s">
        <v>397</v>
      </c>
      <c r="I173" s="158" t="s">
        <v>398</v>
      </c>
      <c r="J173" s="163" t="s">
        <v>397</v>
      </c>
      <c r="K173" s="10" t="s">
        <v>40</v>
      </c>
      <c r="L173" s="10">
        <v>0</v>
      </c>
      <c r="M173" s="10">
        <f t="shared" si="7"/>
        <v>0</v>
      </c>
      <c r="N173" s="10">
        <v>5</v>
      </c>
      <c r="O173" s="12">
        <v>1</v>
      </c>
      <c r="P173" s="11">
        <v>1780</v>
      </c>
      <c r="Q173" s="10" t="s">
        <v>33</v>
      </c>
      <c r="R173" s="4" t="s">
        <v>1288</v>
      </c>
      <c r="S173" s="4" t="s">
        <v>507</v>
      </c>
      <c r="T173" s="4" t="s">
        <v>19</v>
      </c>
      <c r="U173" s="4" t="str">
        <f t="shared" si="8"/>
        <v>NOT AN ADD-ON</v>
      </c>
      <c r="V173" s="4" t="str">
        <f t="shared" si="9"/>
        <v>CALIBRATIONADD-ONAUTHORIZEDNOT AN ADD-ON</v>
      </c>
    </row>
    <row r="174" spans="1:22" ht="15" thickBot="1">
      <c r="A174" s="10" t="s">
        <v>21</v>
      </c>
      <c r="B174" s="10" t="s">
        <v>22</v>
      </c>
      <c r="C174" s="10" t="s">
        <v>385</v>
      </c>
      <c r="D174" s="10" t="s">
        <v>386</v>
      </c>
      <c r="E174" s="10" t="s">
        <v>387</v>
      </c>
      <c r="F174" s="10" t="s">
        <v>388</v>
      </c>
      <c r="G174" s="11">
        <v>1070</v>
      </c>
      <c r="H174" s="163" t="s">
        <v>399</v>
      </c>
      <c r="I174" s="158" t="s">
        <v>400</v>
      </c>
      <c r="J174" s="163" t="s">
        <v>397</v>
      </c>
      <c r="K174" s="10" t="s">
        <v>40</v>
      </c>
      <c r="L174" s="10">
        <v>0</v>
      </c>
      <c r="M174" s="10">
        <f t="shared" si="7"/>
        <v>0</v>
      </c>
      <c r="N174" s="10">
        <v>5</v>
      </c>
      <c r="O174" s="12">
        <v>1</v>
      </c>
      <c r="P174" s="11">
        <v>1780</v>
      </c>
      <c r="Q174" s="10" t="s">
        <v>36</v>
      </c>
      <c r="R174" s="4" t="s">
        <v>1288</v>
      </c>
      <c r="S174" s="4" t="s">
        <v>507</v>
      </c>
      <c r="T174" s="4" t="s">
        <v>19</v>
      </c>
      <c r="U174" s="4" t="str">
        <f t="shared" si="8"/>
        <v>NOT AN ADD-ON</v>
      </c>
      <c r="V174" s="4" t="str">
        <f t="shared" si="9"/>
        <v>CALIBRATIONADD-ONAUTHORIZEDNOT AN ADD-ON</v>
      </c>
    </row>
    <row r="175" spans="1:22" ht="15" thickBot="1">
      <c r="A175" s="10" t="s">
        <v>21</v>
      </c>
      <c r="B175" s="10" t="s">
        <v>22</v>
      </c>
      <c r="C175" s="10" t="s">
        <v>385</v>
      </c>
      <c r="D175" s="10" t="s">
        <v>386</v>
      </c>
      <c r="E175" s="10" t="s">
        <v>387</v>
      </c>
      <c r="F175" s="10" t="s">
        <v>388</v>
      </c>
      <c r="G175" s="11">
        <v>356</v>
      </c>
      <c r="H175" s="163" t="s">
        <v>401</v>
      </c>
      <c r="I175" s="158" t="s">
        <v>402</v>
      </c>
      <c r="J175" s="163" t="s">
        <v>403</v>
      </c>
      <c r="K175" s="10" t="s">
        <v>40</v>
      </c>
      <c r="L175" s="10">
        <v>0</v>
      </c>
      <c r="M175" s="10">
        <f t="shared" si="7"/>
        <v>0</v>
      </c>
      <c r="N175" s="10">
        <v>5</v>
      </c>
      <c r="O175" s="12">
        <v>1</v>
      </c>
      <c r="P175" s="11">
        <v>1780</v>
      </c>
      <c r="Q175" s="10" t="s">
        <v>31</v>
      </c>
      <c r="R175" s="4" t="s">
        <v>1288</v>
      </c>
      <c r="S175" s="4" t="s">
        <v>507</v>
      </c>
      <c r="T175" s="4" t="s">
        <v>19</v>
      </c>
      <c r="U175" s="4" t="str">
        <f t="shared" si="8"/>
        <v>NOT AN ADD-ON</v>
      </c>
      <c r="V175" s="4" t="str">
        <f t="shared" si="9"/>
        <v>CALIBRATIONADD-ONAUTHORIZEDNOT AN ADD-ON</v>
      </c>
    </row>
    <row r="176" spans="1:22" ht="15" thickBot="1">
      <c r="A176" s="10" t="s">
        <v>21</v>
      </c>
      <c r="B176" s="10" t="s">
        <v>22</v>
      </c>
      <c r="C176" s="10" t="s">
        <v>385</v>
      </c>
      <c r="D176" s="10" t="s">
        <v>386</v>
      </c>
      <c r="E176" s="10" t="s">
        <v>387</v>
      </c>
      <c r="F176" s="10" t="s">
        <v>388</v>
      </c>
      <c r="G176" s="11">
        <v>1780</v>
      </c>
      <c r="H176" s="163" t="s">
        <v>403</v>
      </c>
      <c r="I176" s="158" t="s">
        <v>404</v>
      </c>
      <c r="J176" s="163" t="s">
        <v>403</v>
      </c>
      <c r="K176" s="10" t="s">
        <v>40</v>
      </c>
      <c r="L176" s="10">
        <v>0</v>
      </c>
      <c r="M176" s="10">
        <f t="shared" si="7"/>
        <v>0</v>
      </c>
      <c r="N176" s="10">
        <v>5</v>
      </c>
      <c r="O176" s="12">
        <v>1</v>
      </c>
      <c r="P176" s="11">
        <v>1780</v>
      </c>
      <c r="Q176" s="10" t="s">
        <v>33</v>
      </c>
      <c r="R176" s="4" t="s">
        <v>1288</v>
      </c>
      <c r="S176" s="4" t="s">
        <v>507</v>
      </c>
      <c r="T176" s="4" t="s">
        <v>19</v>
      </c>
      <c r="U176" s="4" t="str">
        <f t="shared" si="8"/>
        <v>NOT AN ADD-ON</v>
      </c>
      <c r="V176" s="4" t="str">
        <f t="shared" si="9"/>
        <v>CALIBRATIONADD-ONAUTHORIZEDNOT AN ADD-ON</v>
      </c>
    </row>
    <row r="177" spans="1:22" ht="29.25" customHeight="1" thickBot="1">
      <c r="A177" s="10" t="s">
        <v>21</v>
      </c>
      <c r="B177" s="10" t="s">
        <v>22</v>
      </c>
      <c r="C177" s="10" t="s">
        <v>385</v>
      </c>
      <c r="D177" s="10" t="s">
        <v>386</v>
      </c>
      <c r="E177" s="10" t="s">
        <v>387</v>
      </c>
      <c r="F177" s="10" t="s">
        <v>388</v>
      </c>
      <c r="G177" s="11">
        <v>1070</v>
      </c>
      <c r="H177" s="163" t="s">
        <v>405</v>
      </c>
      <c r="I177" s="158" t="s">
        <v>406</v>
      </c>
      <c r="J177" s="163" t="s">
        <v>403</v>
      </c>
      <c r="K177" s="10" t="s">
        <v>40</v>
      </c>
      <c r="L177" s="10">
        <v>0</v>
      </c>
      <c r="M177" s="10">
        <f t="shared" si="7"/>
        <v>0</v>
      </c>
      <c r="N177" s="10">
        <v>5</v>
      </c>
      <c r="O177" s="12">
        <v>1</v>
      </c>
      <c r="P177" s="11">
        <v>1780</v>
      </c>
      <c r="Q177" s="10" t="s">
        <v>36</v>
      </c>
      <c r="R177" s="4" t="s">
        <v>1288</v>
      </c>
      <c r="S177" s="4" t="s">
        <v>507</v>
      </c>
      <c r="T177" s="4" t="s">
        <v>19</v>
      </c>
      <c r="U177" s="4" t="str">
        <f t="shared" si="8"/>
        <v>NOT AN ADD-ON</v>
      </c>
      <c r="V177" s="4" t="str">
        <f t="shared" si="9"/>
        <v>CALIBRATIONADD-ONAUTHORIZEDNOT AN ADD-ON</v>
      </c>
    </row>
    <row r="178" spans="1:22" ht="29.25" customHeight="1" thickBot="1">
      <c r="A178" s="10" t="s">
        <v>21</v>
      </c>
      <c r="B178" s="10" t="s">
        <v>22</v>
      </c>
      <c r="C178" s="10" t="s">
        <v>385</v>
      </c>
      <c r="D178" s="10" t="s">
        <v>386</v>
      </c>
      <c r="E178" s="10" t="s">
        <v>387</v>
      </c>
      <c r="F178" s="10" t="s">
        <v>388</v>
      </c>
      <c r="G178" s="11">
        <v>383</v>
      </c>
      <c r="H178" s="163" t="s">
        <v>407</v>
      </c>
      <c r="I178" s="166" t="s">
        <v>408</v>
      </c>
      <c r="J178" s="163" t="s">
        <v>403</v>
      </c>
      <c r="K178" s="10" t="s">
        <v>40</v>
      </c>
      <c r="L178" s="10">
        <v>0</v>
      </c>
      <c r="M178" s="10">
        <f t="shared" si="7"/>
        <v>0</v>
      </c>
      <c r="N178" s="10">
        <v>5</v>
      </c>
      <c r="O178" s="12">
        <v>1</v>
      </c>
      <c r="P178" s="11">
        <v>1780</v>
      </c>
      <c r="Q178" s="10" t="s">
        <v>48</v>
      </c>
      <c r="R178" s="4" t="s">
        <v>1288</v>
      </c>
      <c r="S178" s="4" t="s">
        <v>507</v>
      </c>
      <c r="T178" s="4" t="s">
        <v>19</v>
      </c>
      <c r="U178" s="4" t="str">
        <f t="shared" si="8"/>
        <v>NOT AN ADD-ON</v>
      </c>
      <c r="V178" s="4" t="str">
        <f t="shared" si="9"/>
        <v>CALIBRATIONADD-ONAUTHORIZEDNOT AN ADD-ON</v>
      </c>
    </row>
    <row r="179" spans="1:22" ht="15" thickBot="1">
      <c r="A179" s="10" t="s">
        <v>21</v>
      </c>
      <c r="B179" s="10" t="s">
        <v>22</v>
      </c>
      <c r="C179" s="10" t="s">
        <v>385</v>
      </c>
      <c r="D179" s="10" t="s">
        <v>386</v>
      </c>
      <c r="E179" s="10" t="s">
        <v>387</v>
      </c>
      <c r="F179" s="10" t="s">
        <v>388</v>
      </c>
      <c r="G179" s="11">
        <v>383</v>
      </c>
      <c r="H179" s="163" t="s">
        <v>409</v>
      </c>
      <c r="I179" s="158" t="s">
        <v>410</v>
      </c>
      <c r="J179" s="163" t="s">
        <v>397</v>
      </c>
      <c r="K179" s="10" t="s">
        <v>40</v>
      </c>
      <c r="L179" s="10">
        <v>0</v>
      </c>
      <c r="M179" s="10">
        <f t="shared" si="7"/>
        <v>0</v>
      </c>
      <c r="N179" s="10">
        <v>5</v>
      </c>
      <c r="O179" s="12">
        <v>1</v>
      </c>
      <c r="P179" s="11">
        <v>1780</v>
      </c>
      <c r="Q179" s="10" t="s">
        <v>48</v>
      </c>
      <c r="R179" s="4" t="s">
        <v>1288</v>
      </c>
      <c r="S179" s="4" t="s">
        <v>507</v>
      </c>
      <c r="T179" s="4" t="s">
        <v>19</v>
      </c>
      <c r="U179" s="4" t="str">
        <f t="shared" si="8"/>
        <v>NOT AN ADD-ON</v>
      </c>
      <c r="V179" s="4" t="str">
        <f t="shared" si="9"/>
        <v>CALIBRATIONADD-ONAUTHORIZEDNOT AN ADD-ON</v>
      </c>
    </row>
    <row r="180" spans="1:22" ht="15" thickBot="1">
      <c r="A180" s="10" t="s">
        <v>21</v>
      </c>
      <c r="B180" s="10" t="s">
        <v>22</v>
      </c>
      <c r="C180" s="10" t="s">
        <v>385</v>
      </c>
      <c r="D180" s="10" t="s">
        <v>386</v>
      </c>
      <c r="E180" s="10" t="s">
        <v>387</v>
      </c>
      <c r="F180" s="10" t="s">
        <v>388</v>
      </c>
      <c r="G180" s="11">
        <v>116</v>
      </c>
      <c r="H180" s="163" t="s">
        <v>411</v>
      </c>
      <c r="I180" s="158" t="s">
        <v>412</v>
      </c>
      <c r="J180" s="163" t="s">
        <v>413</v>
      </c>
      <c r="K180" s="10" t="s">
        <v>30</v>
      </c>
      <c r="L180" s="10">
        <v>0</v>
      </c>
      <c r="M180" s="10">
        <f t="shared" si="7"/>
        <v>0</v>
      </c>
      <c r="N180" s="15">
        <v>5</v>
      </c>
      <c r="O180" s="16">
        <v>1.67</v>
      </c>
      <c r="P180" s="11">
        <v>584</v>
      </c>
      <c r="Q180" s="10" t="s">
        <v>31</v>
      </c>
      <c r="R180" s="4" t="s">
        <v>1288</v>
      </c>
      <c r="S180" s="4" t="s">
        <v>507</v>
      </c>
      <c r="T180" s="4" t="s">
        <v>19</v>
      </c>
      <c r="U180" s="4" t="str">
        <f t="shared" si="8"/>
        <v>NOT AN ADD-ON</v>
      </c>
      <c r="V180" s="4" t="str">
        <f t="shared" si="9"/>
        <v>CALIBRATIONADD-ONAUTHORIZEDNOT AN ADD-ON</v>
      </c>
    </row>
    <row r="181" spans="1:22" ht="15" thickBot="1">
      <c r="A181" s="10" t="s">
        <v>21</v>
      </c>
      <c r="B181" s="10" t="s">
        <v>22</v>
      </c>
      <c r="C181" s="10" t="s">
        <v>385</v>
      </c>
      <c r="D181" s="10" t="s">
        <v>386</v>
      </c>
      <c r="E181" s="10" t="s">
        <v>387</v>
      </c>
      <c r="F181" s="10" t="s">
        <v>388</v>
      </c>
      <c r="G181" s="11">
        <v>584</v>
      </c>
      <c r="H181" s="163" t="s">
        <v>413</v>
      </c>
      <c r="I181" s="158" t="s">
        <v>414</v>
      </c>
      <c r="J181" s="163" t="s">
        <v>413</v>
      </c>
      <c r="K181" s="10" t="s">
        <v>30</v>
      </c>
      <c r="L181" s="10">
        <v>0</v>
      </c>
      <c r="M181" s="10">
        <f t="shared" si="7"/>
        <v>0</v>
      </c>
      <c r="N181" s="15">
        <v>5</v>
      </c>
      <c r="O181" s="16">
        <v>1.67</v>
      </c>
      <c r="P181" s="11">
        <v>584</v>
      </c>
      <c r="Q181" s="10" t="s">
        <v>33</v>
      </c>
      <c r="R181" s="4" t="s">
        <v>1288</v>
      </c>
      <c r="S181" s="4" t="s">
        <v>507</v>
      </c>
      <c r="T181" s="4" t="s">
        <v>19</v>
      </c>
      <c r="U181" s="4" t="str">
        <f t="shared" si="8"/>
        <v>NOT AN ADD-ON</v>
      </c>
      <c r="V181" s="4" t="str">
        <f t="shared" si="9"/>
        <v>CALIBRATIONADD-ONAUTHORIZEDNOT AN ADD-ON</v>
      </c>
    </row>
    <row r="182" spans="1:22" ht="29.25" customHeight="1" thickBot="1">
      <c r="A182" s="10" t="s">
        <v>21</v>
      </c>
      <c r="B182" s="10" t="s">
        <v>22</v>
      </c>
      <c r="C182" s="10" t="s">
        <v>385</v>
      </c>
      <c r="D182" s="10" t="s">
        <v>386</v>
      </c>
      <c r="E182" s="10" t="s">
        <v>387</v>
      </c>
      <c r="F182" s="10" t="s">
        <v>388</v>
      </c>
      <c r="G182" s="11">
        <v>350</v>
      </c>
      <c r="H182" s="163" t="s">
        <v>415</v>
      </c>
      <c r="I182" s="158" t="s">
        <v>416</v>
      </c>
      <c r="J182" s="163" t="s">
        <v>413</v>
      </c>
      <c r="K182" s="10" t="s">
        <v>30</v>
      </c>
      <c r="L182" s="10">
        <v>0</v>
      </c>
      <c r="M182" s="10">
        <f t="shared" si="7"/>
        <v>0</v>
      </c>
      <c r="N182" s="15">
        <v>5</v>
      </c>
      <c r="O182" s="16">
        <v>1.67</v>
      </c>
      <c r="P182" s="11">
        <v>584</v>
      </c>
      <c r="Q182" s="10" t="s">
        <v>36</v>
      </c>
      <c r="R182" s="4" t="s">
        <v>1288</v>
      </c>
      <c r="S182" s="4" t="s">
        <v>507</v>
      </c>
      <c r="T182" s="4" t="s">
        <v>19</v>
      </c>
      <c r="U182" s="4" t="str">
        <f t="shared" si="8"/>
        <v>NOT AN ADD-ON</v>
      </c>
      <c r="V182" s="4" t="str">
        <f t="shared" si="9"/>
        <v>CALIBRATIONADD-ONAUTHORIZEDNOT AN ADD-ON</v>
      </c>
    </row>
    <row r="183" spans="1:22" ht="15" thickBot="1">
      <c r="A183" s="10" t="s">
        <v>21</v>
      </c>
      <c r="B183" s="10" t="s">
        <v>22</v>
      </c>
      <c r="C183" s="10" t="s">
        <v>417</v>
      </c>
      <c r="D183" s="10" t="s">
        <v>418</v>
      </c>
      <c r="E183" s="10" t="s">
        <v>419</v>
      </c>
      <c r="F183" s="10" t="s">
        <v>420</v>
      </c>
      <c r="G183" s="11">
        <v>32100</v>
      </c>
      <c r="H183" s="163" t="s">
        <v>421</v>
      </c>
      <c r="I183" s="158" t="s">
        <v>422</v>
      </c>
      <c r="J183" s="163" t="s">
        <v>423</v>
      </c>
      <c r="K183" s="10" t="s">
        <v>424</v>
      </c>
      <c r="L183" s="10">
        <v>80</v>
      </c>
      <c r="M183" s="10">
        <f t="shared" si="7"/>
        <v>80</v>
      </c>
      <c r="N183" s="10">
        <v>80</v>
      </c>
      <c r="O183" s="12">
        <v>1</v>
      </c>
      <c r="P183" s="11">
        <v>161000</v>
      </c>
      <c r="Q183" s="10" t="s">
        <v>31</v>
      </c>
      <c r="R183" s="4" t="s">
        <v>1296</v>
      </c>
      <c r="S183" s="4" t="s">
        <v>1295</v>
      </c>
      <c r="T183" s="4" t="s">
        <v>1295</v>
      </c>
      <c r="U183" s="4" t="str">
        <f t="shared" si="8"/>
        <v>NOT AN ADD-ON</v>
      </c>
      <c r="V183" s="4" t="str">
        <f t="shared" si="9"/>
        <v>ADAPTER FOR ORACLEADAPTERADAPTERNOT AN ADD-ON</v>
      </c>
    </row>
    <row r="184" spans="1:22" ht="29.25" customHeight="1" thickBot="1">
      <c r="A184" s="10" t="s">
        <v>21</v>
      </c>
      <c r="B184" s="10" t="s">
        <v>22</v>
      </c>
      <c r="C184" s="10" t="s">
        <v>417</v>
      </c>
      <c r="D184" s="10" t="s">
        <v>418</v>
      </c>
      <c r="E184" s="10" t="s">
        <v>419</v>
      </c>
      <c r="F184" s="10" t="s">
        <v>420</v>
      </c>
      <c r="G184" s="11">
        <v>161000</v>
      </c>
      <c r="H184" s="163" t="s">
        <v>423</v>
      </c>
      <c r="I184" s="158" t="s">
        <v>425</v>
      </c>
      <c r="J184" s="163" t="s">
        <v>423</v>
      </c>
      <c r="K184" s="10" t="s">
        <v>424</v>
      </c>
      <c r="L184" s="10">
        <v>80</v>
      </c>
      <c r="M184" s="10">
        <f t="shared" si="7"/>
        <v>80</v>
      </c>
      <c r="N184" s="10">
        <v>80</v>
      </c>
      <c r="O184" s="12">
        <v>1</v>
      </c>
      <c r="P184" s="11">
        <v>161000</v>
      </c>
      <c r="Q184" s="10" t="s">
        <v>33</v>
      </c>
      <c r="R184" s="4" t="s">
        <v>1296</v>
      </c>
      <c r="S184" s="4" t="s">
        <v>1295</v>
      </c>
      <c r="T184" s="4" t="s">
        <v>1295</v>
      </c>
      <c r="U184" s="4" t="str">
        <f t="shared" si="8"/>
        <v>NOT AN ADD-ON</v>
      </c>
      <c r="V184" s="4" t="str">
        <f t="shared" si="9"/>
        <v>ADAPTER FOR ORACLEADAPTERADAPTERNOT AN ADD-ON</v>
      </c>
    </row>
    <row r="185" spans="1:22" ht="15" thickBot="1">
      <c r="A185" s="10" t="s">
        <v>21</v>
      </c>
      <c r="B185" s="10" t="s">
        <v>22</v>
      </c>
      <c r="C185" s="10" t="s">
        <v>417</v>
      </c>
      <c r="D185" s="10" t="s">
        <v>418</v>
      </c>
      <c r="E185" s="10" t="s">
        <v>419</v>
      </c>
      <c r="F185" s="10" t="s">
        <v>420</v>
      </c>
      <c r="G185" s="11">
        <v>96300</v>
      </c>
      <c r="H185" s="163" t="s">
        <v>426</v>
      </c>
      <c r="I185" s="166" t="s">
        <v>427</v>
      </c>
      <c r="J185" s="163" t="s">
        <v>423</v>
      </c>
      <c r="K185" s="10" t="s">
        <v>424</v>
      </c>
      <c r="L185" s="10">
        <v>80</v>
      </c>
      <c r="M185" s="10">
        <f t="shared" si="7"/>
        <v>80</v>
      </c>
      <c r="N185" s="10">
        <v>80</v>
      </c>
      <c r="O185" s="12">
        <v>1</v>
      </c>
      <c r="P185" s="11">
        <v>161000</v>
      </c>
      <c r="Q185" s="10" t="s">
        <v>36</v>
      </c>
      <c r="R185" s="4" t="s">
        <v>1296</v>
      </c>
      <c r="S185" s="4" t="s">
        <v>1295</v>
      </c>
      <c r="T185" s="4" t="s">
        <v>1295</v>
      </c>
      <c r="U185" s="4" t="str">
        <f t="shared" si="8"/>
        <v>NOT AN ADD-ON</v>
      </c>
      <c r="V185" s="4" t="str">
        <f t="shared" si="9"/>
        <v>ADAPTER FOR ORACLEADAPTERADAPTERNOT AN ADD-ON</v>
      </c>
    </row>
    <row r="186" spans="1:22" ht="15" thickBot="1">
      <c r="A186" s="10" t="s">
        <v>21</v>
      </c>
      <c r="B186" s="10" t="s">
        <v>22</v>
      </c>
      <c r="C186" s="10" t="s">
        <v>428</v>
      </c>
      <c r="D186" s="10" t="s">
        <v>418</v>
      </c>
      <c r="E186" s="10" t="s">
        <v>419</v>
      </c>
      <c r="F186" s="10" t="s">
        <v>420</v>
      </c>
      <c r="G186" s="11">
        <v>32100</v>
      </c>
      <c r="H186" s="163" t="s">
        <v>429</v>
      </c>
      <c r="I186" s="158" t="s">
        <v>430</v>
      </c>
      <c r="J186" s="163" t="s">
        <v>431</v>
      </c>
      <c r="K186" s="10" t="s">
        <v>424</v>
      </c>
      <c r="L186" s="10">
        <v>80</v>
      </c>
      <c r="M186" s="10">
        <f t="shared" si="7"/>
        <v>80</v>
      </c>
      <c r="N186" s="10">
        <v>80</v>
      </c>
      <c r="O186" s="12">
        <v>1</v>
      </c>
      <c r="P186" s="11">
        <v>161000</v>
      </c>
      <c r="Q186" s="10" t="s">
        <v>31</v>
      </c>
      <c r="R186" s="4" t="s">
        <v>1296</v>
      </c>
      <c r="S186" s="4" t="s">
        <v>1295</v>
      </c>
      <c r="T186" s="4" t="s">
        <v>1295</v>
      </c>
      <c r="U186" s="4" t="str">
        <f t="shared" si="8"/>
        <v>NOT AN ADD-ON</v>
      </c>
      <c r="V186" s="4" t="str">
        <f t="shared" si="9"/>
        <v>ADAPTER FOR ORACLEADAPTERADAPTERNOT AN ADD-ON</v>
      </c>
    </row>
    <row r="187" spans="1:22" ht="29.25" customHeight="1" thickBot="1">
      <c r="A187" s="10" t="s">
        <v>21</v>
      </c>
      <c r="B187" s="10" t="s">
        <v>22</v>
      </c>
      <c r="C187" s="10" t="s">
        <v>428</v>
      </c>
      <c r="D187" s="10" t="s">
        <v>418</v>
      </c>
      <c r="E187" s="10" t="s">
        <v>419</v>
      </c>
      <c r="F187" s="10" t="s">
        <v>420</v>
      </c>
      <c r="G187" s="11">
        <v>161000</v>
      </c>
      <c r="H187" s="163" t="s">
        <v>431</v>
      </c>
      <c r="I187" s="158" t="s">
        <v>432</v>
      </c>
      <c r="J187" s="163" t="s">
        <v>431</v>
      </c>
      <c r="K187" s="10" t="s">
        <v>424</v>
      </c>
      <c r="L187" s="10">
        <v>80</v>
      </c>
      <c r="M187" s="10">
        <f t="shared" si="7"/>
        <v>80</v>
      </c>
      <c r="N187" s="10">
        <v>80</v>
      </c>
      <c r="O187" s="12">
        <v>1</v>
      </c>
      <c r="P187" s="11">
        <v>161000</v>
      </c>
      <c r="Q187" s="10" t="s">
        <v>33</v>
      </c>
      <c r="R187" s="4" t="s">
        <v>1296</v>
      </c>
      <c r="S187" s="4" t="s">
        <v>1295</v>
      </c>
      <c r="T187" s="4" t="s">
        <v>1295</v>
      </c>
      <c r="U187" s="4" t="str">
        <f t="shared" si="8"/>
        <v>NOT AN ADD-ON</v>
      </c>
      <c r="V187" s="4" t="str">
        <f t="shared" si="9"/>
        <v>ADAPTER FOR ORACLEADAPTERADAPTERNOT AN ADD-ON</v>
      </c>
    </row>
    <row r="188" spans="1:22" ht="29.25" customHeight="1" thickBot="1">
      <c r="A188" s="10" t="s">
        <v>21</v>
      </c>
      <c r="B188" s="10" t="s">
        <v>22</v>
      </c>
      <c r="C188" s="10" t="s">
        <v>428</v>
      </c>
      <c r="D188" s="10" t="s">
        <v>418</v>
      </c>
      <c r="E188" s="10" t="s">
        <v>419</v>
      </c>
      <c r="F188" s="10" t="s">
        <v>420</v>
      </c>
      <c r="G188" s="11">
        <v>96300</v>
      </c>
      <c r="H188" s="163" t="s">
        <v>433</v>
      </c>
      <c r="I188" s="158" t="s">
        <v>434</v>
      </c>
      <c r="J188" s="163" t="s">
        <v>431</v>
      </c>
      <c r="K188" s="10" t="s">
        <v>424</v>
      </c>
      <c r="L188" s="10">
        <v>80</v>
      </c>
      <c r="M188" s="10">
        <f t="shared" si="7"/>
        <v>80</v>
      </c>
      <c r="N188" s="10">
        <v>80</v>
      </c>
      <c r="O188" s="12">
        <v>1</v>
      </c>
      <c r="P188" s="11">
        <v>161000</v>
      </c>
      <c r="Q188" s="10" t="s">
        <v>36</v>
      </c>
      <c r="R188" s="4" t="s">
        <v>1296</v>
      </c>
      <c r="S188" s="4" t="s">
        <v>1295</v>
      </c>
      <c r="T188" s="4" t="s">
        <v>1295</v>
      </c>
      <c r="U188" s="4" t="str">
        <f t="shared" si="8"/>
        <v>NOT AN ADD-ON</v>
      </c>
      <c r="V188" s="4" t="str">
        <f t="shared" si="9"/>
        <v>ADAPTER FOR ORACLEADAPTERADAPTERNOT AN ADD-ON</v>
      </c>
    </row>
    <row r="189" spans="1:22" ht="29.25" customHeight="1" thickBot="1">
      <c r="A189" s="10" t="s">
        <v>21</v>
      </c>
      <c r="B189" s="10" t="s">
        <v>22</v>
      </c>
      <c r="C189" s="10" t="s">
        <v>435</v>
      </c>
      <c r="D189" s="10" t="s">
        <v>418</v>
      </c>
      <c r="E189" s="10" t="s">
        <v>419</v>
      </c>
      <c r="F189" s="10" t="s">
        <v>420</v>
      </c>
      <c r="G189" s="11">
        <v>32100</v>
      </c>
      <c r="H189" s="163" t="s">
        <v>436</v>
      </c>
      <c r="I189" s="158" t="s">
        <v>437</v>
      </c>
      <c r="J189" s="163" t="s">
        <v>438</v>
      </c>
      <c r="K189" s="10" t="s">
        <v>424</v>
      </c>
      <c r="L189" s="10">
        <v>80</v>
      </c>
      <c r="M189" s="10">
        <f t="shared" si="7"/>
        <v>80</v>
      </c>
      <c r="N189" s="10">
        <v>80</v>
      </c>
      <c r="O189" s="12">
        <v>1</v>
      </c>
      <c r="P189" s="11">
        <v>161000</v>
      </c>
      <c r="Q189" s="10" t="s">
        <v>31</v>
      </c>
      <c r="R189" s="4" t="s">
        <v>1297</v>
      </c>
      <c r="S189" s="4" t="s">
        <v>1295</v>
      </c>
      <c r="T189" s="4" t="s">
        <v>1295</v>
      </c>
      <c r="U189" s="4" t="str">
        <f t="shared" si="8"/>
        <v>NOT AN ADD-ON</v>
      </c>
      <c r="V189" s="4" t="str">
        <f t="shared" si="9"/>
        <v>ADAPTER FOR SAPADAPTERADAPTERNOT AN ADD-ON</v>
      </c>
    </row>
    <row r="190" spans="1:22" ht="15" thickBot="1">
      <c r="A190" s="10" t="s">
        <v>21</v>
      </c>
      <c r="B190" s="10" t="s">
        <v>22</v>
      </c>
      <c r="C190" s="10" t="s">
        <v>435</v>
      </c>
      <c r="D190" s="10" t="s">
        <v>418</v>
      </c>
      <c r="E190" s="10" t="s">
        <v>419</v>
      </c>
      <c r="F190" s="10" t="s">
        <v>420</v>
      </c>
      <c r="G190" s="11">
        <v>161000</v>
      </c>
      <c r="H190" s="163" t="s">
        <v>438</v>
      </c>
      <c r="I190" s="158" t="s">
        <v>439</v>
      </c>
      <c r="J190" s="163" t="s">
        <v>438</v>
      </c>
      <c r="K190" s="10" t="s">
        <v>424</v>
      </c>
      <c r="L190" s="10">
        <v>80</v>
      </c>
      <c r="M190" s="10">
        <f t="shared" si="7"/>
        <v>80</v>
      </c>
      <c r="N190" s="10">
        <v>80</v>
      </c>
      <c r="O190" s="12">
        <v>1</v>
      </c>
      <c r="P190" s="11">
        <v>161000</v>
      </c>
      <c r="Q190" s="10" t="s">
        <v>33</v>
      </c>
      <c r="R190" s="4" t="s">
        <v>1297</v>
      </c>
      <c r="S190" s="4" t="s">
        <v>1295</v>
      </c>
      <c r="T190" s="4" t="s">
        <v>1295</v>
      </c>
      <c r="U190" s="4" t="str">
        <f t="shared" si="8"/>
        <v>NOT AN ADD-ON</v>
      </c>
      <c r="V190" s="4" t="str">
        <f t="shared" si="9"/>
        <v>ADAPTER FOR SAPADAPTERADAPTERNOT AN ADD-ON</v>
      </c>
    </row>
    <row r="191" spans="1:22" ht="15" thickBot="1">
      <c r="A191" s="10" t="s">
        <v>21</v>
      </c>
      <c r="B191" s="10" t="s">
        <v>22</v>
      </c>
      <c r="C191" s="10" t="s">
        <v>435</v>
      </c>
      <c r="D191" s="10" t="s">
        <v>418</v>
      </c>
      <c r="E191" s="10" t="s">
        <v>419</v>
      </c>
      <c r="F191" s="10" t="s">
        <v>420</v>
      </c>
      <c r="G191" s="11">
        <v>96300</v>
      </c>
      <c r="H191" s="163" t="s">
        <v>440</v>
      </c>
      <c r="I191" s="158" t="s">
        <v>441</v>
      </c>
      <c r="J191" s="163" t="s">
        <v>438</v>
      </c>
      <c r="K191" s="10" t="s">
        <v>424</v>
      </c>
      <c r="L191" s="10">
        <v>80</v>
      </c>
      <c r="M191" s="10">
        <f t="shared" si="7"/>
        <v>80</v>
      </c>
      <c r="N191" s="10">
        <v>80</v>
      </c>
      <c r="O191" s="12">
        <v>1</v>
      </c>
      <c r="P191" s="11">
        <v>161000</v>
      </c>
      <c r="Q191" s="10" t="s">
        <v>36</v>
      </c>
      <c r="R191" s="4" t="s">
        <v>1297</v>
      </c>
      <c r="S191" s="4" t="s">
        <v>1295</v>
      </c>
      <c r="T191" s="4" t="s">
        <v>1295</v>
      </c>
      <c r="U191" s="4" t="str">
        <f t="shared" si="8"/>
        <v>NOT AN ADD-ON</v>
      </c>
      <c r="V191" s="4" t="str">
        <f t="shared" si="9"/>
        <v>ADAPTER FOR SAPADAPTERADAPTERNOT AN ADD-ON</v>
      </c>
    </row>
    <row r="192" spans="1:22" ht="29.25" customHeight="1" thickBot="1">
      <c r="A192" s="10" t="s">
        <v>21</v>
      </c>
      <c r="B192" s="10" t="s">
        <v>22</v>
      </c>
      <c r="C192" s="10" t="s">
        <v>435</v>
      </c>
      <c r="D192" s="10" t="s">
        <v>418</v>
      </c>
      <c r="E192" s="10" t="s">
        <v>419</v>
      </c>
      <c r="F192" s="10" t="s">
        <v>420</v>
      </c>
      <c r="G192" s="11">
        <v>32100</v>
      </c>
      <c r="H192" s="163" t="s">
        <v>442</v>
      </c>
      <c r="I192" s="158" t="s">
        <v>443</v>
      </c>
      <c r="J192" s="163" t="s">
        <v>444</v>
      </c>
      <c r="K192" s="10" t="s">
        <v>424</v>
      </c>
      <c r="L192" s="10">
        <v>80</v>
      </c>
      <c r="M192" s="10">
        <f t="shared" si="7"/>
        <v>80</v>
      </c>
      <c r="N192" s="10">
        <v>80</v>
      </c>
      <c r="O192" s="12">
        <v>1</v>
      </c>
      <c r="P192" s="11">
        <v>161000</v>
      </c>
      <c r="Q192" s="10" t="s">
        <v>31</v>
      </c>
      <c r="R192" s="4" t="s">
        <v>1297</v>
      </c>
      <c r="S192" s="4" t="s">
        <v>1295</v>
      </c>
      <c r="T192" s="4" t="s">
        <v>1295</v>
      </c>
      <c r="U192" s="4" t="str">
        <f t="shared" si="8"/>
        <v>NOT AN ADD-ON</v>
      </c>
      <c r="V192" s="4" t="str">
        <f t="shared" si="9"/>
        <v>ADAPTER FOR SAPADAPTERADAPTERNOT AN ADD-ON</v>
      </c>
    </row>
    <row r="193" spans="1:22" ht="15" thickBot="1">
      <c r="A193" s="10" t="s">
        <v>21</v>
      </c>
      <c r="B193" s="10" t="s">
        <v>22</v>
      </c>
      <c r="C193" s="10" t="s">
        <v>435</v>
      </c>
      <c r="D193" s="10" t="s">
        <v>418</v>
      </c>
      <c r="E193" s="10" t="s">
        <v>419</v>
      </c>
      <c r="F193" s="10" t="s">
        <v>420</v>
      </c>
      <c r="G193" s="11">
        <v>161000</v>
      </c>
      <c r="H193" s="163" t="s">
        <v>444</v>
      </c>
      <c r="I193" s="158" t="s">
        <v>445</v>
      </c>
      <c r="J193" s="163" t="s">
        <v>444</v>
      </c>
      <c r="K193" s="10" t="s">
        <v>424</v>
      </c>
      <c r="L193" s="10">
        <v>80</v>
      </c>
      <c r="M193" s="10">
        <f t="shared" si="7"/>
        <v>80</v>
      </c>
      <c r="N193" s="10">
        <v>80</v>
      </c>
      <c r="O193" s="12">
        <v>1</v>
      </c>
      <c r="P193" s="11">
        <v>161000</v>
      </c>
      <c r="Q193" s="10" t="s">
        <v>33</v>
      </c>
      <c r="R193" s="4" t="s">
        <v>1297</v>
      </c>
      <c r="S193" s="4" t="s">
        <v>1295</v>
      </c>
      <c r="T193" s="4" t="s">
        <v>1295</v>
      </c>
      <c r="U193" s="4" t="str">
        <f t="shared" si="8"/>
        <v>NOT AN ADD-ON</v>
      </c>
      <c r="V193" s="4" t="str">
        <f t="shared" si="9"/>
        <v>ADAPTER FOR SAPADAPTERADAPTERNOT AN ADD-ON</v>
      </c>
    </row>
    <row r="194" spans="1:22" ht="15" thickBot="1">
      <c r="A194" s="10" t="s">
        <v>21</v>
      </c>
      <c r="B194" s="10" t="s">
        <v>22</v>
      </c>
      <c r="C194" s="10" t="s">
        <v>435</v>
      </c>
      <c r="D194" s="10" t="s">
        <v>418</v>
      </c>
      <c r="E194" s="10" t="s">
        <v>419</v>
      </c>
      <c r="F194" s="10" t="s">
        <v>420</v>
      </c>
      <c r="G194" s="11">
        <v>96300</v>
      </c>
      <c r="H194" s="163" t="s">
        <v>446</v>
      </c>
      <c r="I194" s="158" t="s">
        <v>447</v>
      </c>
      <c r="J194" s="163" t="s">
        <v>444</v>
      </c>
      <c r="K194" s="10" t="s">
        <v>424</v>
      </c>
      <c r="L194" s="10">
        <v>80</v>
      </c>
      <c r="M194" s="10">
        <f t="shared" si="7"/>
        <v>80</v>
      </c>
      <c r="N194" s="10">
        <v>80</v>
      </c>
      <c r="O194" s="12">
        <v>1</v>
      </c>
      <c r="P194" s="11">
        <v>161000</v>
      </c>
      <c r="Q194" s="10" t="s">
        <v>36</v>
      </c>
      <c r="R194" s="4" t="s">
        <v>1297</v>
      </c>
      <c r="S194" s="4" t="s">
        <v>1295</v>
      </c>
      <c r="T194" s="4" t="s">
        <v>1295</v>
      </c>
      <c r="U194" s="4" t="str">
        <f t="shared" si="8"/>
        <v>NOT AN ADD-ON</v>
      </c>
      <c r="V194" s="4" t="str">
        <f t="shared" si="9"/>
        <v>ADAPTER FOR SAPADAPTERADAPTERNOT AN ADD-ON</v>
      </c>
    </row>
    <row r="195" spans="1:22" ht="29.25" customHeight="1" thickBot="1">
      <c r="A195" s="10" t="s">
        <v>21</v>
      </c>
      <c r="B195" s="10" t="s">
        <v>22</v>
      </c>
      <c r="C195" s="10" t="s">
        <v>448</v>
      </c>
      <c r="D195" s="10" t="s">
        <v>449</v>
      </c>
      <c r="E195" s="10" t="s">
        <v>450</v>
      </c>
      <c r="F195" s="10" t="s">
        <v>451</v>
      </c>
      <c r="G195" s="11">
        <v>2290</v>
      </c>
      <c r="H195" s="163" t="s">
        <v>452</v>
      </c>
      <c r="I195" s="158" t="s">
        <v>453</v>
      </c>
      <c r="J195" s="163" t="s">
        <v>454</v>
      </c>
      <c r="K195" s="10" t="s">
        <v>30</v>
      </c>
      <c r="L195" s="10">
        <v>15</v>
      </c>
      <c r="M195" s="10">
        <f t="shared" ref="M195:M258" si="10">ROUND(IF(K195="Authorized User",L195/3,L195),2)</f>
        <v>5</v>
      </c>
      <c r="N195" s="10">
        <v>15</v>
      </c>
      <c r="O195" s="12">
        <v>5</v>
      </c>
      <c r="P195" s="11">
        <v>11400</v>
      </c>
      <c r="Q195" s="10" t="s">
        <v>31</v>
      </c>
      <c r="R195" s="4" t="s">
        <v>1280</v>
      </c>
      <c r="S195" s="4" t="s">
        <v>1279</v>
      </c>
      <c r="T195" s="4" t="s">
        <v>19</v>
      </c>
      <c r="U195" s="4" t="str">
        <f t="shared" ref="U195:U218" si="11">IF(ISNUMBER(SEARCH("ADD-ON",$I195)),"ADD-ON","NOT AN ADD-ON")</f>
        <v>NOT AN ADD-ON</v>
      </c>
      <c r="V195" s="4" t="str">
        <f t="shared" ref="V195:V258" si="12">CONCATENATE(R195,S195,T195,U195)</f>
        <v>AVIATIONINDUSTRY SOLUTIONAUTHORIZEDNOT AN ADD-ON</v>
      </c>
    </row>
    <row r="196" spans="1:22" ht="29.25" customHeight="1" thickBot="1">
      <c r="A196" s="10" t="s">
        <v>21</v>
      </c>
      <c r="B196" s="10" t="s">
        <v>22</v>
      </c>
      <c r="C196" s="10" t="s">
        <v>448</v>
      </c>
      <c r="D196" s="10" t="s">
        <v>449</v>
      </c>
      <c r="E196" s="10" t="s">
        <v>450</v>
      </c>
      <c r="F196" s="10" t="s">
        <v>451</v>
      </c>
      <c r="G196" s="11">
        <v>11400</v>
      </c>
      <c r="H196" s="163" t="s">
        <v>454</v>
      </c>
      <c r="I196" s="158" t="s">
        <v>455</v>
      </c>
      <c r="J196" s="163" t="s">
        <v>454</v>
      </c>
      <c r="K196" s="10" t="s">
        <v>30</v>
      </c>
      <c r="L196" s="10">
        <v>15</v>
      </c>
      <c r="M196" s="10">
        <f t="shared" si="10"/>
        <v>5</v>
      </c>
      <c r="N196" s="10">
        <v>15</v>
      </c>
      <c r="O196" s="12">
        <v>5</v>
      </c>
      <c r="P196" s="11">
        <v>11400</v>
      </c>
      <c r="Q196" s="10" t="s">
        <v>33</v>
      </c>
      <c r="R196" s="4" t="s">
        <v>1280</v>
      </c>
      <c r="S196" s="4" t="s">
        <v>1279</v>
      </c>
      <c r="T196" s="4" t="s">
        <v>19</v>
      </c>
      <c r="U196" s="4" t="str">
        <f t="shared" si="11"/>
        <v>NOT AN ADD-ON</v>
      </c>
      <c r="V196" s="4" t="str">
        <f t="shared" si="12"/>
        <v>AVIATIONINDUSTRY SOLUTIONAUTHORIZEDNOT AN ADD-ON</v>
      </c>
    </row>
    <row r="197" spans="1:22" ht="15" thickBot="1">
      <c r="A197" s="10" t="s">
        <v>21</v>
      </c>
      <c r="B197" s="10" t="s">
        <v>22</v>
      </c>
      <c r="C197" s="10" t="s">
        <v>448</v>
      </c>
      <c r="D197" s="10" t="s">
        <v>449</v>
      </c>
      <c r="E197" s="10" t="s">
        <v>450</v>
      </c>
      <c r="F197" s="10" t="s">
        <v>451</v>
      </c>
      <c r="G197" s="11">
        <v>6880</v>
      </c>
      <c r="H197" s="163" t="s">
        <v>456</v>
      </c>
      <c r="I197" s="158" t="s">
        <v>457</v>
      </c>
      <c r="J197" s="163" t="s">
        <v>454</v>
      </c>
      <c r="K197" s="10" t="s">
        <v>30</v>
      </c>
      <c r="L197" s="10">
        <v>15</v>
      </c>
      <c r="M197" s="10">
        <f t="shared" si="10"/>
        <v>5</v>
      </c>
      <c r="N197" s="10">
        <v>15</v>
      </c>
      <c r="O197" s="12">
        <v>5</v>
      </c>
      <c r="P197" s="11">
        <v>11400</v>
      </c>
      <c r="Q197" s="10" t="s">
        <v>36</v>
      </c>
      <c r="R197" s="4" t="s">
        <v>1280</v>
      </c>
      <c r="S197" s="4" t="s">
        <v>1279</v>
      </c>
      <c r="T197" s="4" t="s">
        <v>19</v>
      </c>
      <c r="U197" s="4" t="str">
        <f t="shared" si="11"/>
        <v>NOT AN ADD-ON</v>
      </c>
      <c r="V197" s="4" t="str">
        <f t="shared" si="12"/>
        <v>AVIATIONINDUSTRY SOLUTIONAUTHORIZEDNOT AN ADD-ON</v>
      </c>
    </row>
    <row r="198" spans="1:22" ht="15" thickBot="1">
      <c r="A198" s="10" t="s">
        <v>21</v>
      </c>
      <c r="B198" s="10" t="s">
        <v>22</v>
      </c>
      <c r="C198" s="10" t="s">
        <v>448</v>
      </c>
      <c r="D198" s="10" t="s">
        <v>449</v>
      </c>
      <c r="E198" s="10" t="s">
        <v>450</v>
      </c>
      <c r="F198" s="10" t="s">
        <v>451</v>
      </c>
      <c r="G198" s="11">
        <v>6310</v>
      </c>
      <c r="H198" s="163" t="s">
        <v>458</v>
      </c>
      <c r="I198" s="158" t="s">
        <v>459</v>
      </c>
      <c r="J198" s="163" t="s">
        <v>460</v>
      </c>
      <c r="K198" s="10" t="s">
        <v>40</v>
      </c>
      <c r="L198" s="10">
        <v>15</v>
      </c>
      <c r="M198" s="10">
        <f t="shared" si="10"/>
        <v>15</v>
      </c>
      <c r="N198" s="10">
        <v>15</v>
      </c>
      <c r="O198" s="12">
        <v>1</v>
      </c>
      <c r="P198" s="11">
        <v>31600</v>
      </c>
      <c r="Q198" s="10" t="s">
        <v>31</v>
      </c>
      <c r="R198" s="4" t="s">
        <v>1280</v>
      </c>
      <c r="S198" s="4" t="s">
        <v>1279</v>
      </c>
      <c r="T198" s="4" t="s">
        <v>19</v>
      </c>
      <c r="U198" s="4" t="str">
        <f t="shared" si="11"/>
        <v>NOT AN ADD-ON</v>
      </c>
      <c r="V198" s="4" t="str">
        <f t="shared" si="12"/>
        <v>AVIATIONINDUSTRY SOLUTIONAUTHORIZEDNOT AN ADD-ON</v>
      </c>
    </row>
    <row r="199" spans="1:22" ht="15" thickBot="1">
      <c r="A199" s="10" t="s">
        <v>21</v>
      </c>
      <c r="B199" s="10" t="s">
        <v>22</v>
      </c>
      <c r="C199" s="10" t="s">
        <v>448</v>
      </c>
      <c r="D199" s="10" t="s">
        <v>449</v>
      </c>
      <c r="E199" s="10" t="s">
        <v>450</v>
      </c>
      <c r="F199" s="10" t="s">
        <v>451</v>
      </c>
      <c r="G199" s="11">
        <v>31600</v>
      </c>
      <c r="H199" s="163" t="s">
        <v>460</v>
      </c>
      <c r="I199" s="158" t="s">
        <v>461</v>
      </c>
      <c r="J199" s="163" t="s">
        <v>460</v>
      </c>
      <c r="K199" s="10" t="s">
        <v>40</v>
      </c>
      <c r="L199" s="10">
        <v>15</v>
      </c>
      <c r="M199" s="10">
        <f t="shared" si="10"/>
        <v>15</v>
      </c>
      <c r="N199" s="10">
        <v>15</v>
      </c>
      <c r="O199" s="12">
        <v>1</v>
      </c>
      <c r="P199" s="11">
        <v>31600</v>
      </c>
      <c r="Q199" s="10" t="s">
        <v>33</v>
      </c>
      <c r="R199" s="4" t="s">
        <v>1280</v>
      </c>
      <c r="S199" s="4" t="s">
        <v>1279</v>
      </c>
      <c r="T199" s="4" t="s">
        <v>19</v>
      </c>
      <c r="U199" s="4" t="str">
        <f t="shared" si="11"/>
        <v>NOT AN ADD-ON</v>
      </c>
      <c r="V199" s="4" t="str">
        <f t="shared" si="12"/>
        <v>AVIATIONINDUSTRY SOLUTIONAUTHORIZEDNOT AN ADD-ON</v>
      </c>
    </row>
    <row r="200" spans="1:22" ht="15" thickBot="1">
      <c r="A200" s="10" t="s">
        <v>21</v>
      </c>
      <c r="B200" s="10" t="s">
        <v>22</v>
      </c>
      <c r="C200" s="10" t="s">
        <v>448</v>
      </c>
      <c r="D200" s="10" t="s">
        <v>449</v>
      </c>
      <c r="E200" s="10" t="s">
        <v>450</v>
      </c>
      <c r="F200" s="10" t="s">
        <v>451</v>
      </c>
      <c r="G200" s="11">
        <v>18800</v>
      </c>
      <c r="H200" s="163" t="s">
        <v>462</v>
      </c>
      <c r="I200" s="158" t="s">
        <v>463</v>
      </c>
      <c r="J200" s="163" t="s">
        <v>460</v>
      </c>
      <c r="K200" s="10" t="s">
        <v>40</v>
      </c>
      <c r="L200" s="10">
        <v>15</v>
      </c>
      <c r="M200" s="10">
        <f t="shared" si="10"/>
        <v>15</v>
      </c>
      <c r="N200" s="10">
        <v>15</v>
      </c>
      <c r="O200" s="12">
        <v>1</v>
      </c>
      <c r="P200" s="11">
        <v>31600</v>
      </c>
      <c r="Q200" s="10" t="s">
        <v>36</v>
      </c>
      <c r="R200" s="4" t="s">
        <v>1280</v>
      </c>
      <c r="S200" s="4" t="s">
        <v>1279</v>
      </c>
      <c r="T200" s="4" t="s">
        <v>19</v>
      </c>
      <c r="U200" s="4" t="str">
        <f t="shared" si="11"/>
        <v>NOT AN ADD-ON</v>
      </c>
      <c r="V200" s="4" t="str">
        <f t="shared" si="12"/>
        <v>AVIATIONINDUSTRY SOLUTIONAUTHORIZEDNOT AN ADD-ON</v>
      </c>
    </row>
    <row r="201" spans="1:22" ht="15" thickBot="1">
      <c r="A201" s="10" t="s">
        <v>21</v>
      </c>
      <c r="B201" s="10" t="s">
        <v>22</v>
      </c>
      <c r="C201" s="10" t="s">
        <v>448</v>
      </c>
      <c r="D201" s="10" t="s">
        <v>449</v>
      </c>
      <c r="E201" s="10" t="s">
        <v>450</v>
      </c>
      <c r="F201" s="10" t="s">
        <v>451</v>
      </c>
      <c r="G201" s="11">
        <v>2290</v>
      </c>
      <c r="H201" s="163" t="s">
        <v>464</v>
      </c>
      <c r="I201" s="158" t="s">
        <v>465</v>
      </c>
      <c r="J201" s="163" t="s">
        <v>466</v>
      </c>
      <c r="K201" s="10" t="s">
        <v>30</v>
      </c>
      <c r="L201" s="10">
        <v>15</v>
      </c>
      <c r="M201" s="10">
        <f t="shared" si="10"/>
        <v>5</v>
      </c>
      <c r="N201" s="10">
        <v>15</v>
      </c>
      <c r="O201" s="12">
        <v>5</v>
      </c>
      <c r="P201" s="11">
        <v>11400</v>
      </c>
      <c r="Q201" s="10" t="s">
        <v>31</v>
      </c>
      <c r="R201" s="4" t="s">
        <v>1280</v>
      </c>
      <c r="S201" s="4" t="s">
        <v>1279</v>
      </c>
      <c r="T201" s="4" t="s">
        <v>19</v>
      </c>
      <c r="U201" s="4" t="str">
        <f t="shared" si="11"/>
        <v>NOT AN ADD-ON</v>
      </c>
      <c r="V201" s="4" t="str">
        <f t="shared" si="12"/>
        <v>AVIATIONINDUSTRY SOLUTIONAUTHORIZEDNOT AN ADD-ON</v>
      </c>
    </row>
    <row r="202" spans="1:22" ht="15" thickBot="1">
      <c r="A202" s="10" t="s">
        <v>21</v>
      </c>
      <c r="B202" s="10" t="s">
        <v>22</v>
      </c>
      <c r="C202" s="10" t="s">
        <v>448</v>
      </c>
      <c r="D202" s="10" t="s">
        <v>449</v>
      </c>
      <c r="E202" s="10" t="s">
        <v>450</v>
      </c>
      <c r="F202" s="10" t="s">
        <v>451</v>
      </c>
      <c r="G202" s="11">
        <v>11400</v>
      </c>
      <c r="H202" s="163" t="s">
        <v>466</v>
      </c>
      <c r="I202" s="158" t="s">
        <v>467</v>
      </c>
      <c r="J202" s="163" t="s">
        <v>466</v>
      </c>
      <c r="K202" s="10" t="s">
        <v>30</v>
      </c>
      <c r="L202" s="10">
        <v>15</v>
      </c>
      <c r="M202" s="10">
        <f t="shared" si="10"/>
        <v>5</v>
      </c>
      <c r="N202" s="10">
        <v>15</v>
      </c>
      <c r="O202" s="12">
        <v>5</v>
      </c>
      <c r="P202" s="11">
        <v>11400</v>
      </c>
      <c r="Q202" s="10" t="s">
        <v>33</v>
      </c>
      <c r="R202" s="4" t="s">
        <v>1280</v>
      </c>
      <c r="S202" s="4" t="s">
        <v>1279</v>
      </c>
      <c r="T202" s="4" t="s">
        <v>19</v>
      </c>
      <c r="U202" s="4" t="str">
        <f t="shared" si="11"/>
        <v>NOT AN ADD-ON</v>
      </c>
      <c r="V202" s="4" t="str">
        <f t="shared" si="12"/>
        <v>AVIATIONINDUSTRY SOLUTIONAUTHORIZEDNOT AN ADD-ON</v>
      </c>
    </row>
    <row r="203" spans="1:22" ht="15" thickBot="1">
      <c r="A203" s="10" t="s">
        <v>21</v>
      </c>
      <c r="B203" s="10" t="s">
        <v>22</v>
      </c>
      <c r="C203" s="10" t="s">
        <v>448</v>
      </c>
      <c r="D203" s="10" t="s">
        <v>449</v>
      </c>
      <c r="E203" s="10" t="s">
        <v>450</v>
      </c>
      <c r="F203" s="10" t="s">
        <v>451</v>
      </c>
      <c r="G203" s="11">
        <v>6880</v>
      </c>
      <c r="H203" s="163" t="s">
        <v>468</v>
      </c>
      <c r="I203" s="158" t="s">
        <v>469</v>
      </c>
      <c r="J203" s="163" t="s">
        <v>466</v>
      </c>
      <c r="K203" s="10" t="s">
        <v>30</v>
      </c>
      <c r="L203" s="10">
        <v>15</v>
      </c>
      <c r="M203" s="10">
        <f t="shared" si="10"/>
        <v>5</v>
      </c>
      <c r="N203" s="10">
        <v>15</v>
      </c>
      <c r="O203" s="12">
        <v>5</v>
      </c>
      <c r="P203" s="11">
        <v>11400</v>
      </c>
      <c r="Q203" s="10" t="s">
        <v>36</v>
      </c>
      <c r="R203" s="4" t="s">
        <v>1280</v>
      </c>
      <c r="S203" s="4" t="s">
        <v>1279</v>
      </c>
      <c r="T203" s="4" t="s">
        <v>19</v>
      </c>
      <c r="U203" s="4" t="str">
        <f t="shared" si="11"/>
        <v>NOT AN ADD-ON</v>
      </c>
      <c r="V203" s="4" t="str">
        <f t="shared" si="12"/>
        <v>AVIATIONINDUSTRY SOLUTIONAUTHORIZEDNOT AN ADD-ON</v>
      </c>
    </row>
    <row r="204" spans="1:22" ht="15" thickBot="1">
      <c r="A204" s="10" t="s">
        <v>21</v>
      </c>
      <c r="B204" s="10" t="s">
        <v>22</v>
      </c>
      <c r="C204" s="10" t="s">
        <v>448</v>
      </c>
      <c r="D204" s="10" t="s">
        <v>449</v>
      </c>
      <c r="E204" s="10" t="s">
        <v>450</v>
      </c>
      <c r="F204" s="10" t="s">
        <v>451</v>
      </c>
      <c r="G204" s="11">
        <v>6310</v>
      </c>
      <c r="H204" s="163" t="s">
        <v>470</v>
      </c>
      <c r="I204" s="158" t="s">
        <v>471</v>
      </c>
      <c r="J204" s="163" t="s">
        <v>472</v>
      </c>
      <c r="K204" s="10" t="s">
        <v>40</v>
      </c>
      <c r="L204" s="10">
        <v>15</v>
      </c>
      <c r="M204" s="10">
        <f t="shared" si="10"/>
        <v>15</v>
      </c>
      <c r="N204" s="10">
        <v>15</v>
      </c>
      <c r="O204" s="12">
        <v>1</v>
      </c>
      <c r="P204" s="11">
        <v>31600</v>
      </c>
      <c r="Q204" s="10" t="s">
        <v>31</v>
      </c>
      <c r="R204" s="4" t="s">
        <v>1280</v>
      </c>
      <c r="S204" s="4" t="s">
        <v>1279</v>
      </c>
      <c r="T204" s="4" t="s">
        <v>19</v>
      </c>
      <c r="U204" s="4" t="str">
        <f t="shared" si="11"/>
        <v>NOT AN ADD-ON</v>
      </c>
      <c r="V204" s="4" t="str">
        <f t="shared" si="12"/>
        <v>AVIATIONINDUSTRY SOLUTIONAUTHORIZEDNOT AN ADD-ON</v>
      </c>
    </row>
    <row r="205" spans="1:22" ht="15" thickBot="1">
      <c r="A205" s="10" t="s">
        <v>21</v>
      </c>
      <c r="B205" s="10" t="s">
        <v>22</v>
      </c>
      <c r="C205" s="10" t="s">
        <v>448</v>
      </c>
      <c r="D205" s="10" t="s">
        <v>449</v>
      </c>
      <c r="E205" s="10" t="s">
        <v>450</v>
      </c>
      <c r="F205" s="10" t="s">
        <v>451</v>
      </c>
      <c r="G205" s="11">
        <v>31600</v>
      </c>
      <c r="H205" s="163" t="s">
        <v>472</v>
      </c>
      <c r="I205" s="158" t="s">
        <v>473</v>
      </c>
      <c r="J205" s="163" t="s">
        <v>472</v>
      </c>
      <c r="K205" s="10" t="s">
        <v>40</v>
      </c>
      <c r="L205" s="10">
        <v>15</v>
      </c>
      <c r="M205" s="10">
        <f t="shared" si="10"/>
        <v>15</v>
      </c>
      <c r="N205" s="10">
        <v>15</v>
      </c>
      <c r="O205" s="12">
        <v>1</v>
      </c>
      <c r="P205" s="11">
        <v>31600</v>
      </c>
      <c r="Q205" s="10" t="s">
        <v>33</v>
      </c>
      <c r="R205" s="4" t="s">
        <v>1280</v>
      </c>
      <c r="S205" s="4" t="s">
        <v>1279</v>
      </c>
      <c r="T205" s="4" t="s">
        <v>19</v>
      </c>
      <c r="U205" s="4" t="str">
        <f t="shared" si="11"/>
        <v>NOT AN ADD-ON</v>
      </c>
      <c r="V205" s="4" t="str">
        <f t="shared" si="12"/>
        <v>AVIATIONINDUSTRY SOLUTIONAUTHORIZEDNOT AN ADD-ON</v>
      </c>
    </row>
    <row r="206" spans="1:22" ht="29.25" customHeight="1" thickBot="1">
      <c r="A206" s="10" t="s">
        <v>21</v>
      </c>
      <c r="B206" s="10" t="s">
        <v>22</v>
      </c>
      <c r="C206" s="10" t="s">
        <v>448</v>
      </c>
      <c r="D206" s="10" t="s">
        <v>449</v>
      </c>
      <c r="E206" s="10" t="s">
        <v>450</v>
      </c>
      <c r="F206" s="10" t="s">
        <v>451</v>
      </c>
      <c r="G206" s="11">
        <v>18800</v>
      </c>
      <c r="H206" s="163" t="s">
        <v>474</v>
      </c>
      <c r="I206" s="158" t="s">
        <v>475</v>
      </c>
      <c r="J206" s="163" t="s">
        <v>472</v>
      </c>
      <c r="K206" s="10" t="s">
        <v>40</v>
      </c>
      <c r="L206" s="10">
        <v>15</v>
      </c>
      <c r="M206" s="10">
        <f t="shared" si="10"/>
        <v>15</v>
      </c>
      <c r="N206" s="10">
        <v>15</v>
      </c>
      <c r="O206" s="12">
        <v>1</v>
      </c>
      <c r="P206" s="11">
        <v>31600</v>
      </c>
      <c r="Q206" s="10" t="s">
        <v>36</v>
      </c>
      <c r="R206" s="4" t="s">
        <v>1280</v>
      </c>
      <c r="S206" s="4" t="s">
        <v>1279</v>
      </c>
      <c r="T206" s="4" t="s">
        <v>19</v>
      </c>
      <c r="U206" s="4" t="str">
        <f t="shared" si="11"/>
        <v>NOT AN ADD-ON</v>
      </c>
      <c r="V206" s="4" t="str">
        <f t="shared" si="12"/>
        <v>AVIATIONINDUSTRY SOLUTIONAUTHORIZEDNOT AN ADD-ON</v>
      </c>
    </row>
    <row r="207" spans="1:22" ht="15" thickBot="1">
      <c r="A207" s="10" t="s">
        <v>21</v>
      </c>
      <c r="B207" s="10" t="s">
        <v>22</v>
      </c>
      <c r="C207" s="10" t="s">
        <v>448</v>
      </c>
      <c r="D207" s="10" t="s">
        <v>449</v>
      </c>
      <c r="E207" s="10" t="s">
        <v>450</v>
      </c>
      <c r="F207" s="10" t="s">
        <v>451</v>
      </c>
      <c r="G207" s="11">
        <v>767</v>
      </c>
      <c r="H207" s="163" t="s">
        <v>476</v>
      </c>
      <c r="I207" s="158" t="s">
        <v>477</v>
      </c>
      <c r="J207" s="163" t="s">
        <v>478</v>
      </c>
      <c r="K207" s="10" t="s">
        <v>30</v>
      </c>
      <c r="L207" s="10">
        <v>5</v>
      </c>
      <c r="M207" s="10">
        <f t="shared" si="10"/>
        <v>1.67</v>
      </c>
      <c r="N207" s="10">
        <v>5</v>
      </c>
      <c r="O207" s="12">
        <v>1.6666666666666667</v>
      </c>
      <c r="P207" s="11">
        <v>3840</v>
      </c>
      <c r="Q207" s="10" t="s">
        <v>31</v>
      </c>
      <c r="R207" s="4" t="s">
        <v>1280</v>
      </c>
      <c r="S207" s="4" t="s">
        <v>1279</v>
      </c>
      <c r="T207" s="4" t="s">
        <v>672</v>
      </c>
      <c r="U207" s="4" t="str">
        <f t="shared" si="11"/>
        <v>NOT AN ADD-ON</v>
      </c>
      <c r="V207" s="4" t="str">
        <f t="shared" si="12"/>
        <v>AVIATIONINDUSTRY SOLUTIONLIMITEDNOT AN ADD-ON</v>
      </c>
    </row>
    <row r="208" spans="1:22" ht="29.25" customHeight="1" thickBot="1">
      <c r="A208" s="10" t="s">
        <v>21</v>
      </c>
      <c r="B208" s="10" t="s">
        <v>22</v>
      </c>
      <c r="C208" s="10" t="s">
        <v>448</v>
      </c>
      <c r="D208" s="10" t="s">
        <v>449</v>
      </c>
      <c r="E208" s="10" t="s">
        <v>450</v>
      </c>
      <c r="F208" s="10" t="s">
        <v>451</v>
      </c>
      <c r="G208" s="11">
        <v>3840</v>
      </c>
      <c r="H208" s="163" t="s">
        <v>478</v>
      </c>
      <c r="I208" s="158" t="s">
        <v>479</v>
      </c>
      <c r="J208" s="163" t="s">
        <v>478</v>
      </c>
      <c r="K208" s="10" t="s">
        <v>30</v>
      </c>
      <c r="L208" s="10">
        <v>5</v>
      </c>
      <c r="M208" s="10">
        <f t="shared" si="10"/>
        <v>1.67</v>
      </c>
      <c r="N208" s="10">
        <v>5</v>
      </c>
      <c r="O208" s="12">
        <v>1.6666666666666667</v>
      </c>
      <c r="P208" s="11">
        <v>3840</v>
      </c>
      <c r="Q208" s="10" t="s">
        <v>33</v>
      </c>
      <c r="R208" s="4" t="s">
        <v>1280</v>
      </c>
      <c r="S208" s="4" t="s">
        <v>1279</v>
      </c>
      <c r="T208" s="4" t="s">
        <v>672</v>
      </c>
      <c r="U208" s="4" t="str">
        <f t="shared" si="11"/>
        <v>NOT AN ADD-ON</v>
      </c>
      <c r="V208" s="4" t="str">
        <f t="shared" si="12"/>
        <v>AVIATIONINDUSTRY SOLUTIONLIMITEDNOT AN ADD-ON</v>
      </c>
    </row>
    <row r="209" spans="1:22" ht="15" thickBot="1">
      <c r="A209" s="10" t="s">
        <v>21</v>
      </c>
      <c r="B209" s="10" t="s">
        <v>22</v>
      </c>
      <c r="C209" s="10" t="s">
        <v>448</v>
      </c>
      <c r="D209" s="10" t="s">
        <v>449</v>
      </c>
      <c r="E209" s="10" t="s">
        <v>450</v>
      </c>
      <c r="F209" s="10" t="s">
        <v>451</v>
      </c>
      <c r="G209" s="11">
        <v>2310</v>
      </c>
      <c r="H209" s="163" t="s">
        <v>480</v>
      </c>
      <c r="I209" s="158" t="s">
        <v>481</v>
      </c>
      <c r="J209" s="163" t="s">
        <v>478</v>
      </c>
      <c r="K209" s="10" t="s">
        <v>30</v>
      </c>
      <c r="L209" s="10">
        <v>5</v>
      </c>
      <c r="M209" s="10">
        <f t="shared" si="10"/>
        <v>1.67</v>
      </c>
      <c r="N209" s="10">
        <v>5</v>
      </c>
      <c r="O209" s="12">
        <v>1.6666666666666667</v>
      </c>
      <c r="P209" s="11">
        <v>3840</v>
      </c>
      <c r="Q209" s="10" t="s">
        <v>36</v>
      </c>
      <c r="R209" s="4" t="s">
        <v>1280</v>
      </c>
      <c r="S209" s="4" t="s">
        <v>1279</v>
      </c>
      <c r="T209" s="4" t="s">
        <v>672</v>
      </c>
      <c r="U209" s="4" t="str">
        <f t="shared" si="11"/>
        <v>NOT AN ADD-ON</v>
      </c>
      <c r="V209" s="4" t="str">
        <f t="shared" si="12"/>
        <v>AVIATIONINDUSTRY SOLUTIONLIMITEDNOT AN ADD-ON</v>
      </c>
    </row>
    <row r="210" spans="1:22" ht="29.25" customHeight="1" thickBot="1">
      <c r="A210" s="10" t="s">
        <v>21</v>
      </c>
      <c r="B210" s="10" t="s">
        <v>22</v>
      </c>
      <c r="C210" s="10" t="s">
        <v>448</v>
      </c>
      <c r="D210" s="10" t="s">
        <v>449</v>
      </c>
      <c r="E210" s="10" t="s">
        <v>450</v>
      </c>
      <c r="F210" s="10" t="s">
        <v>451</v>
      </c>
      <c r="G210" s="11">
        <v>2110</v>
      </c>
      <c r="H210" s="163" t="s">
        <v>482</v>
      </c>
      <c r="I210" s="158" t="s">
        <v>483</v>
      </c>
      <c r="J210" s="163" t="s">
        <v>484</v>
      </c>
      <c r="K210" s="10" t="s">
        <v>40</v>
      </c>
      <c r="L210" s="10">
        <v>5</v>
      </c>
      <c r="M210" s="10">
        <f t="shared" si="10"/>
        <v>5</v>
      </c>
      <c r="N210" s="10">
        <v>5</v>
      </c>
      <c r="O210" s="17">
        <v>1</v>
      </c>
      <c r="P210" s="11">
        <v>10500</v>
      </c>
      <c r="Q210" s="10" t="s">
        <v>31</v>
      </c>
      <c r="R210" s="4" t="s">
        <v>1280</v>
      </c>
      <c r="S210" s="4" t="s">
        <v>1279</v>
      </c>
      <c r="T210" s="4" t="s">
        <v>672</v>
      </c>
      <c r="U210" s="4" t="str">
        <f t="shared" si="11"/>
        <v>NOT AN ADD-ON</v>
      </c>
      <c r="V210" s="4" t="str">
        <f t="shared" si="12"/>
        <v>AVIATIONINDUSTRY SOLUTIONLIMITEDNOT AN ADD-ON</v>
      </c>
    </row>
    <row r="211" spans="1:22" ht="15" thickBot="1">
      <c r="A211" s="10" t="s">
        <v>21</v>
      </c>
      <c r="B211" s="10" t="s">
        <v>22</v>
      </c>
      <c r="C211" s="10" t="s">
        <v>448</v>
      </c>
      <c r="D211" s="10" t="s">
        <v>449</v>
      </c>
      <c r="E211" s="10" t="s">
        <v>450</v>
      </c>
      <c r="F211" s="10" t="s">
        <v>451</v>
      </c>
      <c r="G211" s="11">
        <v>10500</v>
      </c>
      <c r="H211" s="163" t="s">
        <v>484</v>
      </c>
      <c r="I211" s="158" t="s">
        <v>485</v>
      </c>
      <c r="J211" s="163" t="s">
        <v>484</v>
      </c>
      <c r="K211" s="10" t="s">
        <v>40</v>
      </c>
      <c r="L211" s="10">
        <v>5</v>
      </c>
      <c r="M211" s="10">
        <f t="shared" si="10"/>
        <v>5</v>
      </c>
      <c r="N211" s="10">
        <v>5</v>
      </c>
      <c r="O211" s="17">
        <v>1</v>
      </c>
      <c r="P211" s="11">
        <v>10500</v>
      </c>
      <c r="Q211" s="10" t="s">
        <v>33</v>
      </c>
      <c r="R211" s="4" t="s">
        <v>1280</v>
      </c>
      <c r="S211" s="4" t="s">
        <v>1279</v>
      </c>
      <c r="T211" s="4" t="s">
        <v>672</v>
      </c>
      <c r="U211" s="4" t="str">
        <f t="shared" si="11"/>
        <v>NOT AN ADD-ON</v>
      </c>
      <c r="V211" s="4" t="str">
        <f t="shared" si="12"/>
        <v>AVIATIONINDUSTRY SOLUTIONLIMITEDNOT AN ADD-ON</v>
      </c>
    </row>
    <row r="212" spans="1:22" ht="29.25" customHeight="1" thickBot="1">
      <c r="A212" s="10" t="s">
        <v>21</v>
      </c>
      <c r="B212" s="10" t="s">
        <v>22</v>
      </c>
      <c r="C212" s="10" t="s">
        <v>448</v>
      </c>
      <c r="D212" s="10" t="s">
        <v>449</v>
      </c>
      <c r="E212" s="10" t="s">
        <v>450</v>
      </c>
      <c r="F212" s="10" t="s">
        <v>451</v>
      </c>
      <c r="G212" s="11">
        <v>6320</v>
      </c>
      <c r="H212" s="163" t="s">
        <v>486</v>
      </c>
      <c r="I212" s="158" t="s">
        <v>487</v>
      </c>
      <c r="J212" s="163" t="s">
        <v>484</v>
      </c>
      <c r="K212" s="10" t="s">
        <v>40</v>
      </c>
      <c r="L212" s="10">
        <v>5</v>
      </c>
      <c r="M212" s="10">
        <f t="shared" si="10"/>
        <v>5</v>
      </c>
      <c r="N212" s="10">
        <v>5</v>
      </c>
      <c r="O212" s="17">
        <v>1</v>
      </c>
      <c r="P212" s="11">
        <v>10500</v>
      </c>
      <c r="Q212" s="10" t="s">
        <v>36</v>
      </c>
      <c r="R212" s="4" t="s">
        <v>1280</v>
      </c>
      <c r="S212" s="4" t="s">
        <v>1279</v>
      </c>
      <c r="T212" s="4" t="s">
        <v>672</v>
      </c>
      <c r="U212" s="4" t="str">
        <f t="shared" si="11"/>
        <v>NOT AN ADD-ON</v>
      </c>
      <c r="V212" s="4" t="str">
        <f t="shared" si="12"/>
        <v>AVIATIONINDUSTRY SOLUTIONLIMITEDNOT AN ADD-ON</v>
      </c>
    </row>
    <row r="213" spans="1:22" ht="15" thickBot="1">
      <c r="A213" s="10" t="s">
        <v>21</v>
      </c>
      <c r="B213" s="10" t="s">
        <v>22</v>
      </c>
      <c r="C213" s="10" t="s">
        <v>448</v>
      </c>
      <c r="D213" s="10" t="s">
        <v>449</v>
      </c>
      <c r="E213" s="10" t="s">
        <v>450</v>
      </c>
      <c r="F213" s="10" t="s">
        <v>451</v>
      </c>
      <c r="G213" s="11">
        <v>767</v>
      </c>
      <c r="H213" s="163" t="s">
        <v>488</v>
      </c>
      <c r="I213" s="158" t="s">
        <v>489</v>
      </c>
      <c r="J213" s="163" t="s">
        <v>490</v>
      </c>
      <c r="K213" s="10" t="s">
        <v>30</v>
      </c>
      <c r="L213" s="10">
        <v>5</v>
      </c>
      <c r="M213" s="10">
        <f t="shared" si="10"/>
        <v>1.67</v>
      </c>
      <c r="N213" s="15">
        <v>5</v>
      </c>
      <c r="O213" s="16">
        <v>1.67</v>
      </c>
      <c r="P213" s="11">
        <v>3840</v>
      </c>
      <c r="Q213" s="10" t="s">
        <v>31</v>
      </c>
      <c r="R213" s="4" t="s">
        <v>1280</v>
      </c>
      <c r="S213" s="4" t="s">
        <v>1279</v>
      </c>
      <c r="T213" s="4" t="s">
        <v>672</v>
      </c>
      <c r="U213" s="4" t="str">
        <f t="shared" si="11"/>
        <v>NOT AN ADD-ON</v>
      </c>
      <c r="V213" s="4" t="str">
        <f t="shared" si="12"/>
        <v>AVIATIONINDUSTRY SOLUTIONLIMITEDNOT AN ADD-ON</v>
      </c>
    </row>
    <row r="214" spans="1:22" ht="15" thickBot="1">
      <c r="A214" s="10" t="s">
        <v>21</v>
      </c>
      <c r="B214" s="10" t="s">
        <v>22</v>
      </c>
      <c r="C214" s="10" t="s">
        <v>448</v>
      </c>
      <c r="D214" s="10" t="s">
        <v>449</v>
      </c>
      <c r="E214" s="10" t="s">
        <v>450</v>
      </c>
      <c r="F214" s="10" t="s">
        <v>451</v>
      </c>
      <c r="G214" s="11">
        <v>3840</v>
      </c>
      <c r="H214" s="163" t="s">
        <v>490</v>
      </c>
      <c r="I214" s="158" t="s">
        <v>491</v>
      </c>
      <c r="J214" s="163" t="s">
        <v>490</v>
      </c>
      <c r="K214" s="10" t="s">
        <v>30</v>
      </c>
      <c r="L214" s="10">
        <v>5</v>
      </c>
      <c r="M214" s="10">
        <f t="shared" si="10"/>
        <v>1.67</v>
      </c>
      <c r="N214" s="15">
        <v>5</v>
      </c>
      <c r="O214" s="16">
        <v>1.67</v>
      </c>
      <c r="P214" s="11">
        <v>3840</v>
      </c>
      <c r="Q214" s="10" t="s">
        <v>33</v>
      </c>
      <c r="R214" s="4" t="s">
        <v>1280</v>
      </c>
      <c r="S214" s="4" t="s">
        <v>1279</v>
      </c>
      <c r="T214" s="4" t="s">
        <v>672</v>
      </c>
      <c r="U214" s="4" t="str">
        <f t="shared" si="11"/>
        <v>NOT AN ADD-ON</v>
      </c>
      <c r="V214" s="4" t="str">
        <f t="shared" si="12"/>
        <v>AVIATIONINDUSTRY SOLUTIONLIMITEDNOT AN ADD-ON</v>
      </c>
    </row>
    <row r="215" spans="1:22" ht="29.25" customHeight="1" thickBot="1">
      <c r="A215" s="10" t="s">
        <v>21</v>
      </c>
      <c r="B215" s="10" t="s">
        <v>22</v>
      </c>
      <c r="C215" s="10" t="s">
        <v>448</v>
      </c>
      <c r="D215" s="10" t="s">
        <v>449</v>
      </c>
      <c r="E215" s="10" t="s">
        <v>450</v>
      </c>
      <c r="F215" s="10" t="s">
        <v>451</v>
      </c>
      <c r="G215" s="11">
        <v>2310</v>
      </c>
      <c r="H215" s="163" t="s">
        <v>492</v>
      </c>
      <c r="I215" s="158" t="s">
        <v>493</v>
      </c>
      <c r="J215" s="163" t="s">
        <v>490</v>
      </c>
      <c r="K215" s="10" t="s">
        <v>30</v>
      </c>
      <c r="L215" s="10">
        <v>5</v>
      </c>
      <c r="M215" s="10">
        <f t="shared" si="10"/>
        <v>1.67</v>
      </c>
      <c r="N215" s="15">
        <v>5</v>
      </c>
      <c r="O215" s="16">
        <v>1.67</v>
      </c>
      <c r="P215" s="11">
        <v>3840</v>
      </c>
      <c r="Q215" s="10" t="s">
        <v>36</v>
      </c>
      <c r="R215" s="4" t="s">
        <v>1280</v>
      </c>
      <c r="S215" s="4" t="s">
        <v>1279</v>
      </c>
      <c r="T215" s="4" t="s">
        <v>672</v>
      </c>
      <c r="U215" s="4" t="str">
        <f t="shared" si="11"/>
        <v>NOT AN ADD-ON</v>
      </c>
      <c r="V215" s="4" t="str">
        <f t="shared" si="12"/>
        <v>AVIATIONINDUSTRY SOLUTIONLIMITEDNOT AN ADD-ON</v>
      </c>
    </row>
    <row r="216" spans="1:22" ht="15" thickBot="1">
      <c r="A216" s="10" t="s">
        <v>21</v>
      </c>
      <c r="B216" s="10" t="s">
        <v>22</v>
      </c>
      <c r="C216" s="10" t="s">
        <v>448</v>
      </c>
      <c r="D216" s="10" t="s">
        <v>449</v>
      </c>
      <c r="E216" s="10" t="s">
        <v>450</v>
      </c>
      <c r="F216" s="10" t="s">
        <v>451</v>
      </c>
      <c r="G216" s="11">
        <v>2110</v>
      </c>
      <c r="H216" s="163" t="s">
        <v>494</v>
      </c>
      <c r="I216" s="158" t="s">
        <v>495</v>
      </c>
      <c r="J216" s="163" t="s">
        <v>496</v>
      </c>
      <c r="K216" s="10" t="s">
        <v>40</v>
      </c>
      <c r="L216" s="10">
        <v>5</v>
      </c>
      <c r="M216" s="10">
        <f t="shared" si="10"/>
        <v>5</v>
      </c>
      <c r="N216" s="10">
        <v>5</v>
      </c>
      <c r="O216" s="12">
        <v>1</v>
      </c>
      <c r="P216" s="11">
        <v>10500</v>
      </c>
      <c r="Q216" s="10" t="s">
        <v>31</v>
      </c>
      <c r="R216" s="4" t="s">
        <v>1280</v>
      </c>
      <c r="S216" s="4" t="s">
        <v>1279</v>
      </c>
      <c r="T216" s="4" t="s">
        <v>672</v>
      </c>
      <c r="U216" s="4" t="str">
        <f t="shared" si="11"/>
        <v>NOT AN ADD-ON</v>
      </c>
      <c r="V216" s="4" t="str">
        <f t="shared" si="12"/>
        <v>AVIATIONINDUSTRY SOLUTIONLIMITEDNOT AN ADD-ON</v>
      </c>
    </row>
    <row r="217" spans="1:22" ht="29.25" customHeight="1" thickBot="1">
      <c r="A217" s="10" t="s">
        <v>21</v>
      </c>
      <c r="B217" s="10" t="s">
        <v>22</v>
      </c>
      <c r="C217" s="10" t="s">
        <v>448</v>
      </c>
      <c r="D217" s="10" t="s">
        <v>449</v>
      </c>
      <c r="E217" s="10" t="s">
        <v>450</v>
      </c>
      <c r="F217" s="10" t="s">
        <v>451</v>
      </c>
      <c r="G217" s="11">
        <v>10500</v>
      </c>
      <c r="H217" s="163" t="s">
        <v>496</v>
      </c>
      <c r="I217" s="158" t="s">
        <v>497</v>
      </c>
      <c r="J217" s="163" t="s">
        <v>496</v>
      </c>
      <c r="K217" s="10" t="s">
        <v>40</v>
      </c>
      <c r="L217" s="10">
        <v>5</v>
      </c>
      <c r="M217" s="10">
        <f t="shared" si="10"/>
        <v>5</v>
      </c>
      <c r="N217" s="10">
        <v>5</v>
      </c>
      <c r="O217" s="12">
        <v>1</v>
      </c>
      <c r="P217" s="11">
        <v>10500</v>
      </c>
      <c r="Q217" s="10" t="s">
        <v>33</v>
      </c>
      <c r="R217" s="4" t="s">
        <v>1280</v>
      </c>
      <c r="S217" s="4" t="s">
        <v>1279</v>
      </c>
      <c r="T217" s="4" t="s">
        <v>672</v>
      </c>
      <c r="U217" s="4" t="str">
        <f t="shared" si="11"/>
        <v>NOT AN ADD-ON</v>
      </c>
      <c r="V217" s="4" t="str">
        <f t="shared" si="12"/>
        <v>AVIATIONINDUSTRY SOLUTIONLIMITEDNOT AN ADD-ON</v>
      </c>
    </row>
    <row r="218" spans="1:22" ht="29.25" customHeight="1" thickBot="1">
      <c r="A218" s="10" t="s">
        <v>21</v>
      </c>
      <c r="B218" s="10" t="s">
        <v>22</v>
      </c>
      <c r="C218" s="10" t="s">
        <v>448</v>
      </c>
      <c r="D218" s="10" t="s">
        <v>449</v>
      </c>
      <c r="E218" s="10" t="s">
        <v>450</v>
      </c>
      <c r="F218" s="10" t="s">
        <v>451</v>
      </c>
      <c r="G218" s="11">
        <v>6320</v>
      </c>
      <c r="H218" s="163" t="s">
        <v>498</v>
      </c>
      <c r="I218" s="158" t="s">
        <v>499</v>
      </c>
      <c r="J218" s="163" t="s">
        <v>496</v>
      </c>
      <c r="K218" s="10" t="s">
        <v>40</v>
      </c>
      <c r="L218" s="10">
        <v>5</v>
      </c>
      <c r="M218" s="10">
        <f t="shared" si="10"/>
        <v>5</v>
      </c>
      <c r="N218" s="10">
        <v>5</v>
      </c>
      <c r="O218" s="12">
        <v>1</v>
      </c>
      <c r="P218" s="11">
        <v>10500</v>
      </c>
      <c r="Q218" s="10" t="s">
        <v>36</v>
      </c>
      <c r="R218" s="4" t="s">
        <v>1280</v>
      </c>
      <c r="S218" s="4" t="s">
        <v>1279</v>
      </c>
      <c r="T218" s="4" t="s">
        <v>672</v>
      </c>
      <c r="U218" s="4" t="str">
        <f t="shared" si="11"/>
        <v>NOT AN ADD-ON</v>
      </c>
      <c r="V218" s="4" t="str">
        <f t="shared" si="12"/>
        <v>AVIATIONINDUSTRY SOLUTIONLIMITEDNOT AN ADD-ON</v>
      </c>
    </row>
    <row r="219" spans="1:22" ht="29.25" customHeight="1" thickBot="1">
      <c r="A219" s="10" t="s">
        <v>21</v>
      </c>
      <c r="B219" s="10" t="s">
        <v>22</v>
      </c>
      <c r="C219" s="10" t="s">
        <v>500</v>
      </c>
      <c r="D219" s="10" t="s">
        <v>501</v>
      </c>
      <c r="E219" s="10" t="s">
        <v>502</v>
      </c>
      <c r="F219" s="10" t="s">
        <v>503</v>
      </c>
      <c r="G219" s="11">
        <v>142</v>
      </c>
      <c r="H219" s="163" t="s">
        <v>504</v>
      </c>
      <c r="I219" s="158" t="s">
        <v>505</v>
      </c>
      <c r="J219" s="163" t="s">
        <v>506</v>
      </c>
      <c r="K219" s="10" t="s">
        <v>30</v>
      </c>
      <c r="L219" s="10">
        <v>0</v>
      </c>
      <c r="M219" s="10">
        <f t="shared" si="10"/>
        <v>0</v>
      </c>
      <c r="N219" s="15">
        <v>5</v>
      </c>
      <c r="O219" s="16">
        <v>1.67</v>
      </c>
      <c r="P219" s="11">
        <v>712</v>
      </c>
      <c r="Q219" s="10" t="s">
        <v>31</v>
      </c>
      <c r="R219" s="4" t="s">
        <v>1292</v>
      </c>
      <c r="S219" s="4" t="s">
        <v>1292</v>
      </c>
      <c r="T219" s="4" t="s">
        <v>19</v>
      </c>
      <c r="U219" s="4" t="s">
        <v>507</v>
      </c>
      <c r="V219" s="4" t="str">
        <f t="shared" si="12"/>
        <v>LIFE SCIENCESLIFE SCIENCESAUTHORIZEDADD-ON</v>
      </c>
    </row>
    <row r="220" spans="1:22" ht="29.25" customHeight="1" thickBot="1">
      <c r="A220" s="10" t="s">
        <v>21</v>
      </c>
      <c r="B220" s="10" t="s">
        <v>22</v>
      </c>
      <c r="C220" s="10" t="s">
        <v>500</v>
      </c>
      <c r="D220" s="10" t="s">
        <v>501</v>
      </c>
      <c r="E220" s="10" t="s">
        <v>502</v>
      </c>
      <c r="F220" s="10" t="s">
        <v>503</v>
      </c>
      <c r="G220" s="11">
        <v>712</v>
      </c>
      <c r="H220" s="163" t="s">
        <v>506</v>
      </c>
      <c r="I220" s="158" t="s">
        <v>508</v>
      </c>
      <c r="J220" s="163" t="s">
        <v>506</v>
      </c>
      <c r="K220" s="10" t="s">
        <v>30</v>
      </c>
      <c r="L220" s="10">
        <v>0</v>
      </c>
      <c r="M220" s="10">
        <f t="shared" si="10"/>
        <v>0</v>
      </c>
      <c r="N220" s="15">
        <v>5</v>
      </c>
      <c r="O220" s="16">
        <v>1.67</v>
      </c>
      <c r="P220" s="11">
        <v>712</v>
      </c>
      <c r="Q220" s="10" t="s">
        <v>33</v>
      </c>
      <c r="R220" s="4" t="s">
        <v>1292</v>
      </c>
      <c r="S220" s="4" t="s">
        <v>1292</v>
      </c>
      <c r="T220" s="4" t="s">
        <v>19</v>
      </c>
      <c r="U220" s="4" t="s">
        <v>507</v>
      </c>
      <c r="V220" s="4" t="str">
        <f t="shared" si="12"/>
        <v>LIFE SCIENCESLIFE SCIENCESAUTHORIZEDADD-ON</v>
      </c>
    </row>
    <row r="221" spans="1:22" ht="15" thickBot="1">
      <c r="A221" s="10" t="s">
        <v>21</v>
      </c>
      <c r="B221" s="10" t="s">
        <v>22</v>
      </c>
      <c r="C221" s="10" t="s">
        <v>500</v>
      </c>
      <c r="D221" s="10" t="s">
        <v>501</v>
      </c>
      <c r="E221" s="10" t="s">
        <v>502</v>
      </c>
      <c r="F221" s="10" t="s">
        <v>503</v>
      </c>
      <c r="G221" s="11">
        <v>427</v>
      </c>
      <c r="H221" s="163" t="s">
        <v>509</v>
      </c>
      <c r="I221" s="158" t="s">
        <v>510</v>
      </c>
      <c r="J221" s="163" t="s">
        <v>506</v>
      </c>
      <c r="K221" s="10" t="s">
        <v>30</v>
      </c>
      <c r="L221" s="10">
        <v>0</v>
      </c>
      <c r="M221" s="10">
        <f t="shared" si="10"/>
        <v>0</v>
      </c>
      <c r="N221" s="15">
        <v>5</v>
      </c>
      <c r="O221" s="16">
        <v>1.67</v>
      </c>
      <c r="P221" s="11">
        <v>712</v>
      </c>
      <c r="Q221" s="10" t="s">
        <v>36</v>
      </c>
      <c r="R221" s="4" t="s">
        <v>1292</v>
      </c>
      <c r="S221" s="4" t="s">
        <v>1292</v>
      </c>
      <c r="T221" s="4" t="s">
        <v>19</v>
      </c>
      <c r="U221" s="4" t="s">
        <v>507</v>
      </c>
      <c r="V221" s="4" t="str">
        <f t="shared" si="12"/>
        <v>LIFE SCIENCESLIFE SCIENCESAUTHORIZEDADD-ON</v>
      </c>
    </row>
    <row r="222" spans="1:22" ht="15" thickBot="1">
      <c r="A222" s="10" t="s">
        <v>21</v>
      </c>
      <c r="B222" s="10" t="s">
        <v>22</v>
      </c>
      <c r="C222" s="10" t="s">
        <v>500</v>
      </c>
      <c r="D222" s="10" t="s">
        <v>501</v>
      </c>
      <c r="E222" s="10" t="s">
        <v>502</v>
      </c>
      <c r="F222" s="10" t="s">
        <v>503</v>
      </c>
      <c r="G222" s="11">
        <v>434</v>
      </c>
      <c r="H222" s="163" t="s">
        <v>511</v>
      </c>
      <c r="I222" s="158" t="s">
        <v>512</v>
      </c>
      <c r="J222" s="163" t="s">
        <v>513</v>
      </c>
      <c r="K222" s="10" t="s">
        <v>40</v>
      </c>
      <c r="L222" s="10">
        <v>0</v>
      </c>
      <c r="M222" s="10">
        <f t="shared" si="10"/>
        <v>0</v>
      </c>
      <c r="N222" s="10">
        <v>5</v>
      </c>
      <c r="O222" s="12">
        <v>1</v>
      </c>
      <c r="P222" s="11">
        <v>2170</v>
      </c>
      <c r="Q222" s="10" t="s">
        <v>31</v>
      </c>
      <c r="R222" s="4" t="s">
        <v>1292</v>
      </c>
      <c r="S222" s="4" t="s">
        <v>1292</v>
      </c>
      <c r="T222" s="4" t="s">
        <v>19</v>
      </c>
      <c r="U222" s="4" t="s">
        <v>507</v>
      </c>
      <c r="V222" s="4" t="str">
        <f t="shared" si="12"/>
        <v>LIFE SCIENCESLIFE SCIENCESAUTHORIZEDADD-ON</v>
      </c>
    </row>
    <row r="223" spans="1:22" ht="15" thickBot="1">
      <c r="A223" s="10" t="s">
        <v>21</v>
      </c>
      <c r="B223" s="10" t="s">
        <v>22</v>
      </c>
      <c r="C223" s="10" t="s">
        <v>500</v>
      </c>
      <c r="D223" s="10" t="s">
        <v>501</v>
      </c>
      <c r="E223" s="10" t="s">
        <v>502</v>
      </c>
      <c r="F223" s="10" t="s">
        <v>503</v>
      </c>
      <c r="G223" s="11">
        <v>2170</v>
      </c>
      <c r="H223" s="163" t="s">
        <v>513</v>
      </c>
      <c r="I223" s="158" t="s">
        <v>514</v>
      </c>
      <c r="J223" s="163" t="s">
        <v>513</v>
      </c>
      <c r="K223" s="10" t="s">
        <v>40</v>
      </c>
      <c r="L223" s="10">
        <v>0</v>
      </c>
      <c r="M223" s="10">
        <f t="shared" si="10"/>
        <v>0</v>
      </c>
      <c r="N223" s="10">
        <v>5</v>
      </c>
      <c r="O223" s="12">
        <v>1</v>
      </c>
      <c r="P223" s="11">
        <v>2170</v>
      </c>
      <c r="Q223" s="10" t="s">
        <v>33</v>
      </c>
      <c r="R223" s="4" t="s">
        <v>1292</v>
      </c>
      <c r="S223" s="4" t="s">
        <v>1292</v>
      </c>
      <c r="T223" s="4" t="s">
        <v>19</v>
      </c>
      <c r="U223" s="4" t="s">
        <v>507</v>
      </c>
      <c r="V223" s="4" t="str">
        <f t="shared" si="12"/>
        <v>LIFE SCIENCESLIFE SCIENCESAUTHORIZEDADD-ON</v>
      </c>
    </row>
    <row r="224" spans="1:22" ht="29.25" customHeight="1" thickBot="1">
      <c r="A224" s="10" t="s">
        <v>21</v>
      </c>
      <c r="B224" s="10" t="s">
        <v>22</v>
      </c>
      <c r="C224" s="10" t="s">
        <v>500</v>
      </c>
      <c r="D224" s="10" t="s">
        <v>501</v>
      </c>
      <c r="E224" s="10" t="s">
        <v>502</v>
      </c>
      <c r="F224" s="10" t="s">
        <v>503</v>
      </c>
      <c r="G224" s="11">
        <v>1310</v>
      </c>
      <c r="H224" s="163" t="s">
        <v>515</v>
      </c>
      <c r="I224" s="158" t="s">
        <v>516</v>
      </c>
      <c r="J224" s="163" t="s">
        <v>513</v>
      </c>
      <c r="K224" s="10" t="s">
        <v>40</v>
      </c>
      <c r="L224" s="10">
        <v>0</v>
      </c>
      <c r="M224" s="10">
        <f t="shared" si="10"/>
        <v>0</v>
      </c>
      <c r="N224" s="10">
        <v>5</v>
      </c>
      <c r="O224" s="12">
        <v>1</v>
      </c>
      <c r="P224" s="11">
        <v>2170</v>
      </c>
      <c r="Q224" s="10" t="s">
        <v>36</v>
      </c>
      <c r="R224" s="4" t="s">
        <v>1292</v>
      </c>
      <c r="S224" s="4" t="s">
        <v>1292</v>
      </c>
      <c r="T224" s="4" t="s">
        <v>19</v>
      </c>
      <c r="U224" s="4" t="s">
        <v>507</v>
      </c>
      <c r="V224" s="4" t="str">
        <f t="shared" si="12"/>
        <v>LIFE SCIENCESLIFE SCIENCESAUTHORIZEDADD-ON</v>
      </c>
    </row>
    <row r="225" spans="1:22" ht="15" thickBot="1">
      <c r="A225" s="10" t="s">
        <v>21</v>
      </c>
      <c r="B225" s="10" t="s">
        <v>22</v>
      </c>
      <c r="C225" s="10" t="s">
        <v>500</v>
      </c>
      <c r="D225" s="10" t="s">
        <v>501</v>
      </c>
      <c r="E225" s="10" t="s">
        <v>502</v>
      </c>
      <c r="F225" s="10" t="s">
        <v>503</v>
      </c>
      <c r="G225" s="11">
        <v>434</v>
      </c>
      <c r="H225" s="163" t="s">
        <v>517</v>
      </c>
      <c r="I225" s="158" t="s">
        <v>518</v>
      </c>
      <c r="J225" s="163" t="s">
        <v>519</v>
      </c>
      <c r="K225" s="10" t="s">
        <v>40</v>
      </c>
      <c r="L225" s="10">
        <v>0</v>
      </c>
      <c r="M225" s="10">
        <f t="shared" si="10"/>
        <v>0</v>
      </c>
      <c r="N225" s="10">
        <v>5</v>
      </c>
      <c r="O225" s="12">
        <v>1</v>
      </c>
      <c r="P225" s="11">
        <v>2170</v>
      </c>
      <c r="Q225" s="10" t="s">
        <v>31</v>
      </c>
      <c r="R225" s="4" t="s">
        <v>1292</v>
      </c>
      <c r="S225" s="4" t="s">
        <v>1292</v>
      </c>
      <c r="T225" s="4" t="s">
        <v>19</v>
      </c>
      <c r="U225" s="4" t="s">
        <v>507</v>
      </c>
      <c r="V225" s="4" t="str">
        <f t="shared" si="12"/>
        <v>LIFE SCIENCESLIFE SCIENCESAUTHORIZEDADD-ON</v>
      </c>
    </row>
    <row r="226" spans="1:22" ht="29.25" customHeight="1" thickBot="1">
      <c r="A226" s="10" t="s">
        <v>21</v>
      </c>
      <c r="B226" s="10" t="s">
        <v>22</v>
      </c>
      <c r="C226" s="10" t="s">
        <v>500</v>
      </c>
      <c r="D226" s="10" t="s">
        <v>501</v>
      </c>
      <c r="E226" s="10" t="s">
        <v>502</v>
      </c>
      <c r="F226" s="10" t="s">
        <v>503</v>
      </c>
      <c r="G226" s="11">
        <v>2170</v>
      </c>
      <c r="H226" s="163" t="s">
        <v>519</v>
      </c>
      <c r="I226" s="158" t="s">
        <v>520</v>
      </c>
      <c r="J226" s="163" t="s">
        <v>519</v>
      </c>
      <c r="K226" s="10" t="s">
        <v>40</v>
      </c>
      <c r="L226" s="10">
        <v>0</v>
      </c>
      <c r="M226" s="10">
        <f t="shared" si="10"/>
        <v>0</v>
      </c>
      <c r="N226" s="10">
        <v>5</v>
      </c>
      <c r="O226" s="12">
        <v>1</v>
      </c>
      <c r="P226" s="11">
        <v>2170</v>
      </c>
      <c r="Q226" s="10" t="s">
        <v>33</v>
      </c>
      <c r="R226" s="4" t="s">
        <v>1292</v>
      </c>
      <c r="S226" s="4" t="s">
        <v>1292</v>
      </c>
      <c r="T226" s="4" t="s">
        <v>19</v>
      </c>
      <c r="U226" s="4" t="s">
        <v>507</v>
      </c>
      <c r="V226" s="4" t="str">
        <f t="shared" si="12"/>
        <v>LIFE SCIENCESLIFE SCIENCESAUTHORIZEDADD-ON</v>
      </c>
    </row>
    <row r="227" spans="1:22" ht="15" thickBot="1">
      <c r="A227" s="10" t="s">
        <v>21</v>
      </c>
      <c r="B227" s="10" t="s">
        <v>22</v>
      </c>
      <c r="C227" s="10" t="s">
        <v>500</v>
      </c>
      <c r="D227" s="10" t="s">
        <v>501</v>
      </c>
      <c r="E227" s="10" t="s">
        <v>502</v>
      </c>
      <c r="F227" s="10" t="s">
        <v>503</v>
      </c>
      <c r="G227" s="11">
        <v>1310</v>
      </c>
      <c r="H227" s="163" t="s">
        <v>521</v>
      </c>
      <c r="I227" s="158" t="s">
        <v>522</v>
      </c>
      <c r="J227" s="163" t="s">
        <v>519</v>
      </c>
      <c r="K227" s="10" t="s">
        <v>40</v>
      </c>
      <c r="L227" s="10">
        <v>0</v>
      </c>
      <c r="M227" s="10">
        <f t="shared" si="10"/>
        <v>0</v>
      </c>
      <c r="N227" s="10">
        <v>5</v>
      </c>
      <c r="O227" s="12">
        <v>1</v>
      </c>
      <c r="P227" s="11">
        <v>2170</v>
      </c>
      <c r="Q227" s="10" t="s">
        <v>36</v>
      </c>
      <c r="R227" s="4" t="s">
        <v>1292</v>
      </c>
      <c r="S227" s="4" t="s">
        <v>1292</v>
      </c>
      <c r="T227" s="4" t="s">
        <v>19</v>
      </c>
      <c r="U227" s="4" t="s">
        <v>507</v>
      </c>
      <c r="V227" s="4" t="str">
        <f t="shared" si="12"/>
        <v>LIFE SCIENCESLIFE SCIENCESAUTHORIZEDADD-ON</v>
      </c>
    </row>
    <row r="228" spans="1:22" ht="27" thickBot="1">
      <c r="A228" s="10" t="s">
        <v>21</v>
      </c>
      <c r="B228" s="10" t="s">
        <v>22</v>
      </c>
      <c r="C228" s="10" t="s">
        <v>500</v>
      </c>
      <c r="D228" s="10" t="s">
        <v>501</v>
      </c>
      <c r="E228" s="10" t="s">
        <v>502</v>
      </c>
      <c r="F228" s="10" t="s">
        <v>503</v>
      </c>
      <c r="G228" s="11">
        <v>467</v>
      </c>
      <c r="H228" s="163" t="s">
        <v>523</v>
      </c>
      <c r="I228" s="166" t="s">
        <v>524</v>
      </c>
      <c r="J228" s="163" t="s">
        <v>519</v>
      </c>
      <c r="K228" s="10" t="s">
        <v>40</v>
      </c>
      <c r="L228" s="10">
        <v>0</v>
      </c>
      <c r="M228" s="10">
        <f t="shared" si="10"/>
        <v>0</v>
      </c>
      <c r="N228" s="10">
        <v>5</v>
      </c>
      <c r="O228" s="12">
        <v>1</v>
      </c>
      <c r="P228" s="11">
        <v>2170</v>
      </c>
      <c r="Q228" s="10" t="s">
        <v>48</v>
      </c>
      <c r="R228" s="4" t="s">
        <v>1292</v>
      </c>
      <c r="S228" s="4" t="s">
        <v>1292</v>
      </c>
      <c r="T228" s="4" t="s">
        <v>19</v>
      </c>
      <c r="U228" s="4" t="s">
        <v>507</v>
      </c>
      <c r="V228" s="4" t="str">
        <f t="shared" si="12"/>
        <v>LIFE SCIENCESLIFE SCIENCESAUTHORIZEDADD-ON</v>
      </c>
    </row>
    <row r="229" spans="1:22" ht="29.25" customHeight="1" thickBot="1">
      <c r="A229" s="10" t="s">
        <v>21</v>
      </c>
      <c r="B229" s="10" t="s">
        <v>22</v>
      </c>
      <c r="C229" s="10" t="s">
        <v>500</v>
      </c>
      <c r="D229" s="10" t="s">
        <v>501</v>
      </c>
      <c r="E229" s="10" t="s">
        <v>502</v>
      </c>
      <c r="F229" s="10" t="s">
        <v>503</v>
      </c>
      <c r="G229" s="11">
        <v>467</v>
      </c>
      <c r="H229" s="163" t="s">
        <v>525</v>
      </c>
      <c r="I229" s="166" t="s">
        <v>526</v>
      </c>
      <c r="J229" s="163" t="s">
        <v>513</v>
      </c>
      <c r="K229" s="10" t="s">
        <v>40</v>
      </c>
      <c r="L229" s="10">
        <v>0</v>
      </c>
      <c r="M229" s="10">
        <f t="shared" si="10"/>
        <v>0</v>
      </c>
      <c r="N229" s="10">
        <v>5</v>
      </c>
      <c r="O229" s="12">
        <v>1</v>
      </c>
      <c r="P229" s="11">
        <v>2170</v>
      </c>
      <c r="Q229" s="10" t="s">
        <v>48</v>
      </c>
      <c r="R229" s="4" t="s">
        <v>1292</v>
      </c>
      <c r="S229" s="4" t="s">
        <v>1292</v>
      </c>
      <c r="T229" s="4" t="s">
        <v>19</v>
      </c>
      <c r="U229" s="4" t="s">
        <v>507</v>
      </c>
      <c r="V229" s="4" t="str">
        <f t="shared" si="12"/>
        <v>LIFE SCIENCESLIFE SCIENCESAUTHORIZEDADD-ON</v>
      </c>
    </row>
    <row r="230" spans="1:22" ht="29.25" customHeight="1" thickBot="1">
      <c r="A230" s="10" t="s">
        <v>21</v>
      </c>
      <c r="B230" s="10" t="s">
        <v>22</v>
      </c>
      <c r="C230" s="10" t="s">
        <v>500</v>
      </c>
      <c r="D230" s="10" t="s">
        <v>501</v>
      </c>
      <c r="E230" s="10" t="s">
        <v>502</v>
      </c>
      <c r="F230" s="10" t="s">
        <v>503</v>
      </c>
      <c r="G230" s="11">
        <v>1920</v>
      </c>
      <c r="H230" s="163" t="s">
        <v>527</v>
      </c>
      <c r="I230" s="166" t="s">
        <v>528</v>
      </c>
      <c r="J230" s="163" t="s">
        <v>529</v>
      </c>
      <c r="K230" s="10" t="s">
        <v>30</v>
      </c>
      <c r="L230" s="10">
        <v>10</v>
      </c>
      <c r="M230" s="10">
        <f t="shared" si="10"/>
        <v>3.33</v>
      </c>
      <c r="N230" s="15">
        <v>5</v>
      </c>
      <c r="O230" s="16">
        <v>1.67</v>
      </c>
      <c r="P230" s="11">
        <v>6980</v>
      </c>
      <c r="Q230" s="10" t="s">
        <v>48</v>
      </c>
      <c r="R230" s="4" t="s">
        <v>1292</v>
      </c>
      <c r="S230" s="4" t="s">
        <v>1292</v>
      </c>
      <c r="T230" s="4" t="s">
        <v>19</v>
      </c>
      <c r="U230" s="4" t="str">
        <f t="shared" ref="U230:U245" si="13">IF(ISNUMBER(SEARCH("ADD-ON",$I230)),"ADD-ON","NOT AN ADD-ON")</f>
        <v>NOT AN ADD-ON</v>
      </c>
      <c r="V230" s="4" t="str">
        <f t="shared" si="12"/>
        <v>LIFE SCIENCESLIFE SCIENCESAUTHORIZEDNOT AN ADD-ON</v>
      </c>
    </row>
    <row r="231" spans="1:22" ht="15" thickBot="1">
      <c r="A231" s="10" t="s">
        <v>21</v>
      </c>
      <c r="B231" s="10" t="s">
        <v>22</v>
      </c>
      <c r="C231" s="10" t="s">
        <v>500</v>
      </c>
      <c r="D231" s="10" t="s">
        <v>501</v>
      </c>
      <c r="E231" s="10" t="s">
        <v>502</v>
      </c>
      <c r="F231" s="10" t="s">
        <v>503</v>
      </c>
      <c r="G231" s="11">
        <v>4710</v>
      </c>
      <c r="H231" s="163" t="s">
        <v>530</v>
      </c>
      <c r="I231" s="166" t="s">
        <v>531</v>
      </c>
      <c r="J231" s="163" t="s">
        <v>529</v>
      </c>
      <c r="K231" s="10" t="s">
        <v>30</v>
      </c>
      <c r="L231" s="10">
        <v>10</v>
      </c>
      <c r="M231" s="10">
        <f t="shared" si="10"/>
        <v>3.33</v>
      </c>
      <c r="N231" s="15">
        <v>5</v>
      </c>
      <c r="O231" s="16">
        <v>1.67</v>
      </c>
      <c r="P231" s="11">
        <v>6980</v>
      </c>
      <c r="Q231" s="10" t="s">
        <v>48</v>
      </c>
      <c r="R231" s="4" t="s">
        <v>1292</v>
      </c>
      <c r="S231" s="4" t="s">
        <v>1292</v>
      </c>
      <c r="T231" s="4" t="s">
        <v>19</v>
      </c>
      <c r="U231" s="4" t="str">
        <f t="shared" si="13"/>
        <v>NOT AN ADD-ON</v>
      </c>
      <c r="V231" s="4" t="str">
        <f t="shared" si="12"/>
        <v>LIFE SCIENCESLIFE SCIENCESAUTHORIZEDNOT AN ADD-ON</v>
      </c>
    </row>
    <row r="232" spans="1:22" ht="15" thickBot="1">
      <c r="A232" s="10" t="s">
        <v>21</v>
      </c>
      <c r="B232" s="10" t="s">
        <v>22</v>
      </c>
      <c r="C232" s="10" t="s">
        <v>500</v>
      </c>
      <c r="D232" s="10" t="s">
        <v>501</v>
      </c>
      <c r="E232" s="10" t="s">
        <v>502</v>
      </c>
      <c r="F232" s="10" t="s">
        <v>503</v>
      </c>
      <c r="G232" s="11">
        <v>4470</v>
      </c>
      <c r="H232" s="163" t="s">
        <v>532</v>
      </c>
      <c r="I232" s="166" t="s">
        <v>533</v>
      </c>
      <c r="J232" s="163" t="s">
        <v>529</v>
      </c>
      <c r="K232" s="10" t="s">
        <v>30</v>
      </c>
      <c r="L232" s="10">
        <v>10</v>
      </c>
      <c r="M232" s="10">
        <f t="shared" si="10"/>
        <v>3.33</v>
      </c>
      <c r="N232" s="15">
        <v>5</v>
      </c>
      <c r="O232" s="16">
        <v>1.67</v>
      </c>
      <c r="P232" s="11">
        <v>6980</v>
      </c>
      <c r="Q232" s="10" t="s">
        <v>48</v>
      </c>
      <c r="R232" s="4" t="s">
        <v>1292</v>
      </c>
      <c r="S232" s="4" t="s">
        <v>1292</v>
      </c>
      <c r="T232" s="4" t="s">
        <v>19</v>
      </c>
      <c r="U232" s="4" t="str">
        <f t="shared" si="13"/>
        <v>NOT AN ADD-ON</v>
      </c>
      <c r="V232" s="4" t="str">
        <f t="shared" si="12"/>
        <v>LIFE SCIENCESLIFE SCIENCESAUTHORIZEDNOT AN ADD-ON</v>
      </c>
    </row>
    <row r="233" spans="1:22" ht="29.25" customHeight="1" thickBot="1">
      <c r="A233" s="10" t="s">
        <v>21</v>
      </c>
      <c r="B233" s="10" t="s">
        <v>22</v>
      </c>
      <c r="C233" s="10" t="s">
        <v>500</v>
      </c>
      <c r="D233" s="10" t="s">
        <v>501</v>
      </c>
      <c r="E233" s="10" t="s">
        <v>502</v>
      </c>
      <c r="F233" s="10" t="s">
        <v>503</v>
      </c>
      <c r="G233" s="11">
        <v>1400</v>
      </c>
      <c r="H233" s="163" t="s">
        <v>534</v>
      </c>
      <c r="I233" s="158" t="s">
        <v>535</v>
      </c>
      <c r="J233" s="163" t="s">
        <v>529</v>
      </c>
      <c r="K233" s="10" t="s">
        <v>30</v>
      </c>
      <c r="L233" s="10">
        <v>10</v>
      </c>
      <c r="M233" s="10">
        <f t="shared" si="10"/>
        <v>3.33</v>
      </c>
      <c r="N233" s="15">
        <v>5</v>
      </c>
      <c r="O233" s="16">
        <v>1.67</v>
      </c>
      <c r="P233" s="11">
        <v>6980</v>
      </c>
      <c r="Q233" s="10" t="s">
        <v>31</v>
      </c>
      <c r="R233" s="4" t="s">
        <v>1292</v>
      </c>
      <c r="S233" s="4" t="s">
        <v>1292</v>
      </c>
      <c r="T233" s="4" t="s">
        <v>19</v>
      </c>
      <c r="U233" s="4" t="str">
        <f t="shared" si="13"/>
        <v>NOT AN ADD-ON</v>
      </c>
      <c r="V233" s="4" t="str">
        <f t="shared" si="12"/>
        <v>LIFE SCIENCESLIFE SCIENCESAUTHORIZEDNOT AN ADD-ON</v>
      </c>
    </row>
    <row r="234" spans="1:22" ht="29.25" customHeight="1" thickBot="1">
      <c r="A234" s="10" t="s">
        <v>21</v>
      </c>
      <c r="B234" s="10" t="s">
        <v>22</v>
      </c>
      <c r="C234" s="10" t="s">
        <v>500</v>
      </c>
      <c r="D234" s="10" t="s">
        <v>501</v>
      </c>
      <c r="E234" s="10" t="s">
        <v>502</v>
      </c>
      <c r="F234" s="10" t="s">
        <v>503</v>
      </c>
      <c r="G234" s="11">
        <v>6980</v>
      </c>
      <c r="H234" s="163" t="s">
        <v>529</v>
      </c>
      <c r="I234" s="158" t="s">
        <v>536</v>
      </c>
      <c r="J234" s="163" t="s">
        <v>529</v>
      </c>
      <c r="K234" s="10" t="s">
        <v>30</v>
      </c>
      <c r="L234" s="10">
        <v>10</v>
      </c>
      <c r="M234" s="10">
        <f t="shared" si="10"/>
        <v>3.33</v>
      </c>
      <c r="N234" s="15">
        <v>5</v>
      </c>
      <c r="O234" s="16">
        <v>1.67</v>
      </c>
      <c r="P234" s="11">
        <v>6980</v>
      </c>
      <c r="Q234" s="10" t="s">
        <v>33</v>
      </c>
      <c r="R234" s="4" t="s">
        <v>1292</v>
      </c>
      <c r="S234" s="4" t="s">
        <v>1292</v>
      </c>
      <c r="T234" s="4" t="s">
        <v>19</v>
      </c>
      <c r="U234" s="4" t="str">
        <f t="shared" si="13"/>
        <v>NOT AN ADD-ON</v>
      </c>
      <c r="V234" s="4" t="str">
        <f t="shared" si="12"/>
        <v>LIFE SCIENCESLIFE SCIENCESAUTHORIZEDNOT AN ADD-ON</v>
      </c>
    </row>
    <row r="235" spans="1:22" ht="15" thickBot="1">
      <c r="A235" s="10" t="s">
        <v>21</v>
      </c>
      <c r="B235" s="10" t="s">
        <v>22</v>
      </c>
      <c r="C235" s="10" t="s">
        <v>500</v>
      </c>
      <c r="D235" s="10" t="s">
        <v>501</v>
      </c>
      <c r="E235" s="10" t="s">
        <v>502</v>
      </c>
      <c r="F235" s="10" t="s">
        <v>503</v>
      </c>
      <c r="G235" s="11">
        <v>4180</v>
      </c>
      <c r="H235" s="163" t="s">
        <v>537</v>
      </c>
      <c r="I235" s="158" t="s">
        <v>538</v>
      </c>
      <c r="J235" s="163" t="s">
        <v>529</v>
      </c>
      <c r="K235" s="10" t="s">
        <v>30</v>
      </c>
      <c r="L235" s="10">
        <v>10</v>
      </c>
      <c r="M235" s="10">
        <f t="shared" si="10"/>
        <v>3.33</v>
      </c>
      <c r="N235" s="15">
        <v>5</v>
      </c>
      <c r="O235" s="16">
        <v>1.67</v>
      </c>
      <c r="P235" s="11">
        <v>6980</v>
      </c>
      <c r="Q235" s="10" t="s">
        <v>36</v>
      </c>
      <c r="R235" s="4" t="s">
        <v>1292</v>
      </c>
      <c r="S235" s="4" t="s">
        <v>1292</v>
      </c>
      <c r="T235" s="4" t="s">
        <v>19</v>
      </c>
      <c r="U235" s="4" t="str">
        <f t="shared" si="13"/>
        <v>NOT AN ADD-ON</v>
      </c>
      <c r="V235" s="4" t="str">
        <f t="shared" si="12"/>
        <v>LIFE SCIENCESLIFE SCIENCESAUTHORIZEDNOT AN ADD-ON</v>
      </c>
    </row>
    <row r="236" spans="1:22" ht="15" thickBot="1">
      <c r="A236" s="10" t="s">
        <v>21</v>
      </c>
      <c r="B236" s="10" t="s">
        <v>22</v>
      </c>
      <c r="C236" s="10" t="s">
        <v>500</v>
      </c>
      <c r="D236" s="10" t="s">
        <v>501</v>
      </c>
      <c r="E236" s="10" t="s">
        <v>502</v>
      </c>
      <c r="F236" s="10" t="s">
        <v>503</v>
      </c>
      <c r="G236" s="11">
        <v>4260</v>
      </c>
      <c r="H236" s="163" t="s">
        <v>539</v>
      </c>
      <c r="I236" s="158" t="s">
        <v>540</v>
      </c>
      <c r="J236" s="163" t="s">
        <v>541</v>
      </c>
      <c r="K236" s="10" t="s">
        <v>40</v>
      </c>
      <c r="L236" s="10">
        <v>10</v>
      </c>
      <c r="M236" s="10">
        <f t="shared" si="10"/>
        <v>10</v>
      </c>
      <c r="N236" s="15">
        <v>5</v>
      </c>
      <c r="O236" s="16">
        <v>1</v>
      </c>
      <c r="P236" s="11">
        <v>21300</v>
      </c>
      <c r="Q236" s="10" t="s">
        <v>31</v>
      </c>
      <c r="R236" s="4" t="s">
        <v>1292</v>
      </c>
      <c r="S236" s="4" t="s">
        <v>1292</v>
      </c>
      <c r="T236" s="4" t="s">
        <v>19</v>
      </c>
      <c r="U236" s="4" t="str">
        <f t="shared" si="13"/>
        <v>NOT AN ADD-ON</v>
      </c>
      <c r="V236" s="4" t="str">
        <f t="shared" si="12"/>
        <v>LIFE SCIENCESLIFE SCIENCESAUTHORIZEDNOT AN ADD-ON</v>
      </c>
    </row>
    <row r="237" spans="1:22" ht="29.25" customHeight="1" thickBot="1">
      <c r="A237" s="10" t="s">
        <v>21</v>
      </c>
      <c r="B237" s="10" t="s">
        <v>22</v>
      </c>
      <c r="C237" s="10" t="s">
        <v>500</v>
      </c>
      <c r="D237" s="10" t="s">
        <v>501</v>
      </c>
      <c r="E237" s="10" t="s">
        <v>502</v>
      </c>
      <c r="F237" s="10" t="s">
        <v>503</v>
      </c>
      <c r="G237" s="11">
        <v>21300</v>
      </c>
      <c r="H237" s="163" t="s">
        <v>541</v>
      </c>
      <c r="I237" s="158" t="s">
        <v>542</v>
      </c>
      <c r="J237" s="163" t="s">
        <v>541</v>
      </c>
      <c r="K237" s="10" t="s">
        <v>40</v>
      </c>
      <c r="L237" s="10">
        <v>10</v>
      </c>
      <c r="M237" s="10">
        <f t="shared" si="10"/>
        <v>10</v>
      </c>
      <c r="N237" s="15">
        <v>5</v>
      </c>
      <c r="O237" s="16">
        <v>1</v>
      </c>
      <c r="P237" s="11">
        <v>21300</v>
      </c>
      <c r="Q237" s="10" t="s">
        <v>33</v>
      </c>
      <c r="R237" s="4" t="s">
        <v>1292</v>
      </c>
      <c r="S237" s="4" t="s">
        <v>1292</v>
      </c>
      <c r="T237" s="4" t="s">
        <v>19</v>
      </c>
      <c r="U237" s="4" t="str">
        <f t="shared" si="13"/>
        <v>NOT AN ADD-ON</v>
      </c>
      <c r="V237" s="4" t="str">
        <f t="shared" si="12"/>
        <v>LIFE SCIENCESLIFE SCIENCESAUTHORIZEDNOT AN ADD-ON</v>
      </c>
    </row>
    <row r="238" spans="1:22" ht="15" thickBot="1">
      <c r="A238" s="10" t="s">
        <v>21</v>
      </c>
      <c r="B238" s="10" t="s">
        <v>22</v>
      </c>
      <c r="C238" s="10" t="s">
        <v>500</v>
      </c>
      <c r="D238" s="10" t="s">
        <v>501</v>
      </c>
      <c r="E238" s="10" t="s">
        <v>502</v>
      </c>
      <c r="F238" s="10" t="s">
        <v>503</v>
      </c>
      <c r="G238" s="11">
        <v>12900</v>
      </c>
      <c r="H238" s="163" t="s">
        <v>543</v>
      </c>
      <c r="I238" s="158" t="s">
        <v>544</v>
      </c>
      <c r="J238" s="163" t="s">
        <v>541</v>
      </c>
      <c r="K238" s="10" t="s">
        <v>40</v>
      </c>
      <c r="L238" s="10">
        <v>10</v>
      </c>
      <c r="M238" s="10">
        <f t="shared" si="10"/>
        <v>10</v>
      </c>
      <c r="N238" s="10">
        <v>5</v>
      </c>
      <c r="O238" s="12">
        <v>1</v>
      </c>
      <c r="P238" s="11">
        <v>21300</v>
      </c>
      <c r="Q238" s="10" t="s">
        <v>36</v>
      </c>
      <c r="R238" s="4" t="s">
        <v>1292</v>
      </c>
      <c r="S238" s="4" t="s">
        <v>1292</v>
      </c>
      <c r="T238" s="4" t="s">
        <v>19</v>
      </c>
      <c r="U238" s="4" t="str">
        <f t="shared" si="13"/>
        <v>NOT AN ADD-ON</v>
      </c>
      <c r="V238" s="4" t="str">
        <f t="shared" si="12"/>
        <v>LIFE SCIENCESLIFE SCIENCESAUTHORIZEDNOT AN ADD-ON</v>
      </c>
    </row>
    <row r="239" spans="1:22" ht="15" thickBot="1">
      <c r="A239" s="10" t="s">
        <v>21</v>
      </c>
      <c r="B239" s="10" t="s">
        <v>22</v>
      </c>
      <c r="C239" s="10" t="s">
        <v>500</v>
      </c>
      <c r="D239" s="10" t="s">
        <v>501</v>
      </c>
      <c r="E239" s="10" t="s">
        <v>502</v>
      </c>
      <c r="F239" s="10" t="s">
        <v>503</v>
      </c>
      <c r="G239" s="11">
        <v>4260</v>
      </c>
      <c r="H239" s="163" t="s">
        <v>545</v>
      </c>
      <c r="I239" s="158" t="s">
        <v>546</v>
      </c>
      <c r="J239" s="163" t="s">
        <v>547</v>
      </c>
      <c r="K239" s="10" t="s">
        <v>40</v>
      </c>
      <c r="L239" s="10">
        <v>10</v>
      </c>
      <c r="M239" s="10">
        <f t="shared" si="10"/>
        <v>10</v>
      </c>
      <c r="N239" s="10">
        <v>5</v>
      </c>
      <c r="O239" s="12">
        <v>1</v>
      </c>
      <c r="P239" s="11">
        <v>21300</v>
      </c>
      <c r="Q239" s="10" t="s">
        <v>31</v>
      </c>
      <c r="R239" s="4" t="s">
        <v>1292</v>
      </c>
      <c r="S239" s="4" t="s">
        <v>1292</v>
      </c>
      <c r="T239" s="4" t="s">
        <v>19</v>
      </c>
      <c r="U239" s="4" t="str">
        <f t="shared" si="13"/>
        <v>NOT AN ADD-ON</v>
      </c>
      <c r="V239" s="4" t="str">
        <f t="shared" si="12"/>
        <v>LIFE SCIENCESLIFE SCIENCESAUTHORIZEDNOT AN ADD-ON</v>
      </c>
    </row>
    <row r="240" spans="1:22" ht="29.25" customHeight="1" thickBot="1">
      <c r="A240" s="10" t="s">
        <v>21</v>
      </c>
      <c r="B240" s="10" t="s">
        <v>22</v>
      </c>
      <c r="C240" s="10" t="s">
        <v>500</v>
      </c>
      <c r="D240" s="10" t="s">
        <v>501</v>
      </c>
      <c r="E240" s="10" t="s">
        <v>502</v>
      </c>
      <c r="F240" s="10" t="s">
        <v>503</v>
      </c>
      <c r="G240" s="11">
        <v>21300</v>
      </c>
      <c r="H240" s="163" t="s">
        <v>547</v>
      </c>
      <c r="I240" s="158" t="s">
        <v>548</v>
      </c>
      <c r="J240" s="163" t="s">
        <v>547</v>
      </c>
      <c r="K240" s="10" t="s">
        <v>40</v>
      </c>
      <c r="L240" s="10">
        <v>10</v>
      </c>
      <c r="M240" s="10">
        <f t="shared" si="10"/>
        <v>10</v>
      </c>
      <c r="N240" s="10">
        <v>5</v>
      </c>
      <c r="O240" s="12">
        <v>1</v>
      </c>
      <c r="P240" s="11">
        <v>21300</v>
      </c>
      <c r="Q240" s="10" t="s">
        <v>33</v>
      </c>
      <c r="R240" s="4" t="s">
        <v>1292</v>
      </c>
      <c r="S240" s="4" t="s">
        <v>1292</v>
      </c>
      <c r="T240" s="4" t="s">
        <v>19</v>
      </c>
      <c r="U240" s="4" t="str">
        <f t="shared" si="13"/>
        <v>NOT AN ADD-ON</v>
      </c>
      <c r="V240" s="4" t="str">
        <f t="shared" si="12"/>
        <v>LIFE SCIENCESLIFE SCIENCESAUTHORIZEDNOT AN ADD-ON</v>
      </c>
    </row>
    <row r="241" spans="1:22" ht="15" thickBot="1">
      <c r="A241" s="10" t="s">
        <v>21</v>
      </c>
      <c r="B241" s="10" t="s">
        <v>22</v>
      </c>
      <c r="C241" s="10" t="s">
        <v>500</v>
      </c>
      <c r="D241" s="10" t="s">
        <v>501</v>
      </c>
      <c r="E241" s="10" t="s">
        <v>502</v>
      </c>
      <c r="F241" s="10" t="s">
        <v>503</v>
      </c>
      <c r="G241" s="11">
        <v>12900</v>
      </c>
      <c r="H241" s="163" t="s">
        <v>549</v>
      </c>
      <c r="I241" s="158" t="s">
        <v>550</v>
      </c>
      <c r="J241" s="163" t="s">
        <v>547</v>
      </c>
      <c r="K241" s="10" t="s">
        <v>40</v>
      </c>
      <c r="L241" s="10">
        <v>10</v>
      </c>
      <c r="M241" s="10">
        <f t="shared" si="10"/>
        <v>10</v>
      </c>
      <c r="N241" s="10">
        <v>5</v>
      </c>
      <c r="O241" s="12">
        <v>1</v>
      </c>
      <c r="P241" s="11">
        <v>21300</v>
      </c>
      <c r="Q241" s="10" t="s">
        <v>36</v>
      </c>
      <c r="R241" s="4" t="s">
        <v>1292</v>
      </c>
      <c r="S241" s="4" t="s">
        <v>1292</v>
      </c>
      <c r="T241" s="4" t="s">
        <v>19</v>
      </c>
      <c r="U241" s="4" t="str">
        <f t="shared" si="13"/>
        <v>NOT AN ADD-ON</v>
      </c>
      <c r="V241" s="4" t="str">
        <f t="shared" si="12"/>
        <v>LIFE SCIENCESLIFE SCIENCESAUTHORIZEDNOT AN ADD-ON</v>
      </c>
    </row>
    <row r="242" spans="1:22" ht="29.25" customHeight="1" thickBot="1">
      <c r="A242" s="10" t="s">
        <v>21</v>
      </c>
      <c r="B242" s="10" t="s">
        <v>22</v>
      </c>
      <c r="C242" s="10" t="s">
        <v>500</v>
      </c>
      <c r="D242" s="10" t="s">
        <v>501</v>
      </c>
      <c r="E242" s="10" t="s">
        <v>502</v>
      </c>
      <c r="F242" s="10" t="s">
        <v>503</v>
      </c>
      <c r="G242" s="11">
        <v>4580</v>
      </c>
      <c r="H242" s="163" t="s">
        <v>551</v>
      </c>
      <c r="I242" s="166" t="s">
        <v>552</v>
      </c>
      <c r="J242" s="163" t="s">
        <v>547</v>
      </c>
      <c r="K242" s="10" t="s">
        <v>40</v>
      </c>
      <c r="L242" s="10">
        <v>10</v>
      </c>
      <c r="M242" s="10">
        <f t="shared" si="10"/>
        <v>10</v>
      </c>
      <c r="N242" s="10">
        <v>5</v>
      </c>
      <c r="O242" s="12">
        <v>1</v>
      </c>
      <c r="P242" s="11">
        <v>21300</v>
      </c>
      <c r="Q242" s="10" t="s">
        <v>48</v>
      </c>
      <c r="R242" s="4" t="s">
        <v>1292</v>
      </c>
      <c r="S242" s="4" t="s">
        <v>1292</v>
      </c>
      <c r="T242" s="4" t="s">
        <v>19</v>
      </c>
      <c r="U242" s="4" t="str">
        <f t="shared" si="13"/>
        <v>NOT AN ADD-ON</v>
      </c>
      <c r="V242" s="4" t="str">
        <f t="shared" si="12"/>
        <v>LIFE SCIENCESLIFE SCIENCESAUTHORIZEDNOT AN ADD-ON</v>
      </c>
    </row>
    <row r="243" spans="1:22" ht="15" thickBot="1">
      <c r="A243" s="10" t="s">
        <v>21</v>
      </c>
      <c r="B243" s="10" t="s">
        <v>22</v>
      </c>
      <c r="C243" s="10" t="s">
        <v>500</v>
      </c>
      <c r="D243" s="10" t="s">
        <v>501</v>
      </c>
      <c r="E243" s="10" t="s">
        <v>502</v>
      </c>
      <c r="F243" s="10" t="s">
        <v>503</v>
      </c>
      <c r="G243" s="11">
        <v>5940</v>
      </c>
      <c r="H243" s="163" t="s">
        <v>553</v>
      </c>
      <c r="I243" s="166" t="s">
        <v>554</v>
      </c>
      <c r="J243" s="163" t="s">
        <v>547</v>
      </c>
      <c r="K243" s="10" t="s">
        <v>40</v>
      </c>
      <c r="L243" s="10">
        <v>10</v>
      </c>
      <c r="M243" s="10">
        <f t="shared" si="10"/>
        <v>10</v>
      </c>
      <c r="N243" s="10">
        <v>5</v>
      </c>
      <c r="O243" s="12">
        <v>1</v>
      </c>
      <c r="P243" s="11">
        <v>21300</v>
      </c>
      <c r="Q243" s="10" t="s">
        <v>48</v>
      </c>
      <c r="R243" s="4" t="s">
        <v>1292</v>
      </c>
      <c r="S243" s="4" t="s">
        <v>1292</v>
      </c>
      <c r="T243" s="4" t="s">
        <v>19</v>
      </c>
      <c r="U243" s="4" t="str">
        <f t="shared" si="13"/>
        <v>NOT AN ADD-ON</v>
      </c>
      <c r="V243" s="4" t="str">
        <f t="shared" si="12"/>
        <v>LIFE SCIENCESLIFE SCIENCESAUTHORIZEDNOT AN ADD-ON</v>
      </c>
    </row>
    <row r="244" spans="1:22" ht="15" thickBot="1">
      <c r="A244" s="10" t="s">
        <v>21</v>
      </c>
      <c r="B244" s="10" t="s">
        <v>22</v>
      </c>
      <c r="C244" s="10" t="s">
        <v>500</v>
      </c>
      <c r="D244" s="10" t="s">
        <v>501</v>
      </c>
      <c r="E244" s="10" t="s">
        <v>502</v>
      </c>
      <c r="F244" s="10" t="s">
        <v>503</v>
      </c>
      <c r="G244" s="11">
        <v>4580</v>
      </c>
      <c r="H244" s="163" t="s">
        <v>555</v>
      </c>
      <c r="I244" s="166" t="s">
        <v>556</v>
      </c>
      <c r="J244" s="163" t="s">
        <v>541</v>
      </c>
      <c r="K244" s="10" t="s">
        <v>40</v>
      </c>
      <c r="L244" s="10">
        <v>10</v>
      </c>
      <c r="M244" s="10">
        <f t="shared" si="10"/>
        <v>10</v>
      </c>
      <c r="N244" s="10">
        <v>5</v>
      </c>
      <c r="O244" s="12">
        <v>1</v>
      </c>
      <c r="P244" s="11">
        <v>21300</v>
      </c>
      <c r="Q244" s="10" t="s">
        <v>48</v>
      </c>
      <c r="R244" s="4" t="s">
        <v>1292</v>
      </c>
      <c r="S244" s="4" t="s">
        <v>1292</v>
      </c>
      <c r="T244" s="4" t="s">
        <v>19</v>
      </c>
      <c r="U244" s="4" t="str">
        <f t="shared" si="13"/>
        <v>NOT AN ADD-ON</v>
      </c>
      <c r="V244" s="4" t="str">
        <f t="shared" si="12"/>
        <v>LIFE SCIENCESLIFE SCIENCESAUTHORIZEDNOT AN ADD-ON</v>
      </c>
    </row>
    <row r="245" spans="1:22" ht="15" thickBot="1">
      <c r="A245" s="10" t="s">
        <v>21</v>
      </c>
      <c r="B245" s="10" t="s">
        <v>22</v>
      </c>
      <c r="C245" s="10" t="s">
        <v>500</v>
      </c>
      <c r="D245" s="10" t="s">
        <v>501</v>
      </c>
      <c r="E245" s="10" t="s">
        <v>502</v>
      </c>
      <c r="F245" s="10" t="s">
        <v>503</v>
      </c>
      <c r="G245" s="11">
        <v>5940</v>
      </c>
      <c r="H245" s="163" t="s">
        <v>557</v>
      </c>
      <c r="I245" s="166" t="s">
        <v>558</v>
      </c>
      <c r="J245" s="163" t="s">
        <v>541</v>
      </c>
      <c r="K245" s="10" t="s">
        <v>40</v>
      </c>
      <c r="L245" s="10">
        <v>10</v>
      </c>
      <c r="M245" s="10">
        <f t="shared" si="10"/>
        <v>10</v>
      </c>
      <c r="N245" s="10">
        <v>5</v>
      </c>
      <c r="O245" s="12">
        <v>1</v>
      </c>
      <c r="P245" s="11">
        <v>21300</v>
      </c>
      <c r="Q245" s="10" t="s">
        <v>48</v>
      </c>
      <c r="R245" s="4" t="s">
        <v>1292</v>
      </c>
      <c r="S245" s="4" t="s">
        <v>1292</v>
      </c>
      <c r="T245" s="4" t="s">
        <v>19</v>
      </c>
      <c r="U245" s="4" t="str">
        <f t="shared" si="13"/>
        <v>NOT AN ADD-ON</v>
      </c>
      <c r="V245" s="4" t="str">
        <f t="shared" si="12"/>
        <v>LIFE SCIENCESLIFE SCIENCESAUTHORIZEDNOT AN ADD-ON</v>
      </c>
    </row>
    <row r="246" spans="1:22" ht="15" thickBot="1">
      <c r="A246" s="10" t="s">
        <v>21</v>
      </c>
      <c r="B246" s="10" t="s">
        <v>22</v>
      </c>
      <c r="C246" s="10" t="s">
        <v>500</v>
      </c>
      <c r="D246" s="10" t="s">
        <v>501</v>
      </c>
      <c r="E246" s="10" t="s">
        <v>502</v>
      </c>
      <c r="F246" s="10" t="s">
        <v>503</v>
      </c>
      <c r="G246" s="11">
        <v>142</v>
      </c>
      <c r="H246" s="163" t="s">
        <v>559</v>
      </c>
      <c r="I246" s="158" t="s">
        <v>560</v>
      </c>
      <c r="J246" s="163" t="s">
        <v>561</v>
      </c>
      <c r="K246" s="10" t="s">
        <v>30</v>
      </c>
      <c r="L246" s="10">
        <v>0</v>
      </c>
      <c r="M246" s="10">
        <f t="shared" si="10"/>
        <v>0</v>
      </c>
      <c r="N246" s="10">
        <v>5</v>
      </c>
      <c r="O246" s="12">
        <v>1.6666666666666667</v>
      </c>
      <c r="P246" s="11">
        <v>712</v>
      </c>
      <c r="Q246" s="10" t="s">
        <v>31</v>
      </c>
      <c r="R246" s="4" t="s">
        <v>1292</v>
      </c>
      <c r="S246" s="4" t="s">
        <v>1292</v>
      </c>
      <c r="T246" s="4" t="s">
        <v>19</v>
      </c>
      <c r="U246" s="4" t="s">
        <v>507</v>
      </c>
      <c r="V246" s="4" t="str">
        <f t="shared" si="12"/>
        <v>LIFE SCIENCESLIFE SCIENCESAUTHORIZEDADD-ON</v>
      </c>
    </row>
    <row r="247" spans="1:22" ht="15" thickBot="1">
      <c r="A247" s="10" t="s">
        <v>21</v>
      </c>
      <c r="B247" s="10" t="s">
        <v>22</v>
      </c>
      <c r="C247" s="10" t="s">
        <v>500</v>
      </c>
      <c r="D247" s="10" t="s">
        <v>501</v>
      </c>
      <c r="E247" s="10" t="s">
        <v>502</v>
      </c>
      <c r="F247" s="10" t="s">
        <v>503</v>
      </c>
      <c r="G247" s="11">
        <v>712</v>
      </c>
      <c r="H247" s="163" t="s">
        <v>561</v>
      </c>
      <c r="I247" s="158" t="s">
        <v>562</v>
      </c>
      <c r="J247" s="163" t="s">
        <v>561</v>
      </c>
      <c r="K247" s="10" t="s">
        <v>30</v>
      </c>
      <c r="L247" s="10">
        <v>0</v>
      </c>
      <c r="M247" s="10">
        <f t="shared" si="10"/>
        <v>0</v>
      </c>
      <c r="N247" s="10">
        <v>5</v>
      </c>
      <c r="O247" s="12">
        <v>1.6666666666666667</v>
      </c>
      <c r="P247" s="11">
        <v>712</v>
      </c>
      <c r="Q247" s="10" t="s">
        <v>33</v>
      </c>
      <c r="R247" s="4" t="s">
        <v>1292</v>
      </c>
      <c r="S247" s="4" t="s">
        <v>1292</v>
      </c>
      <c r="T247" s="4" t="s">
        <v>19</v>
      </c>
      <c r="U247" s="4" t="s">
        <v>507</v>
      </c>
      <c r="V247" s="4" t="str">
        <f t="shared" si="12"/>
        <v>LIFE SCIENCESLIFE SCIENCESAUTHORIZEDADD-ON</v>
      </c>
    </row>
    <row r="248" spans="1:22" ht="15" thickBot="1">
      <c r="A248" s="10" t="s">
        <v>21</v>
      </c>
      <c r="B248" s="10" t="s">
        <v>22</v>
      </c>
      <c r="C248" s="10" t="s">
        <v>500</v>
      </c>
      <c r="D248" s="10" t="s">
        <v>501</v>
      </c>
      <c r="E248" s="10" t="s">
        <v>502</v>
      </c>
      <c r="F248" s="10" t="s">
        <v>503</v>
      </c>
      <c r="G248" s="11">
        <v>427</v>
      </c>
      <c r="H248" s="163" t="s">
        <v>563</v>
      </c>
      <c r="I248" s="158" t="s">
        <v>564</v>
      </c>
      <c r="J248" s="163" t="s">
        <v>561</v>
      </c>
      <c r="K248" s="10" t="s">
        <v>30</v>
      </c>
      <c r="L248" s="10">
        <v>0</v>
      </c>
      <c r="M248" s="10">
        <f t="shared" si="10"/>
        <v>0</v>
      </c>
      <c r="N248" s="10">
        <v>5</v>
      </c>
      <c r="O248" s="12">
        <v>1.6666666666666667</v>
      </c>
      <c r="P248" s="11">
        <v>712</v>
      </c>
      <c r="Q248" s="10" t="s">
        <v>36</v>
      </c>
      <c r="R248" s="4" t="s">
        <v>1292</v>
      </c>
      <c r="S248" s="4" t="s">
        <v>1292</v>
      </c>
      <c r="T248" s="4" t="s">
        <v>19</v>
      </c>
      <c r="U248" s="4" t="s">
        <v>507</v>
      </c>
      <c r="V248" s="4" t="str">
        <f t="shared" si="12"/>
        <v>LIFE SCIENCESLIFE SCIENCESAUTHORIZEDADD-ON</v>
      </c>
    </row>
    <row r="249" spans="1:22" ht="27" thickBot="1">
      <c r="A249" s="10" t="s">
        <v>21</v>
      </c>
      <c r="B249" s="10" t="s">
        <v>22</v>
      </c>
      <c r="C249" s="10" t="s">
        <v>500</v>
      </c>
      <c r="D249" s="10" t="s">
        <v>501</v>
      </c>
      <c r="E249" s="10" t="s">
        <v>502</v>
      </c>
      <c r="F249" s="10" t="s">
        <v>503</v>
      </c>
      <c r="G249" s="11">
        <v>1920</v>
      </c>
      <c r="H249" s="163" t="s">
        <v>565</v>
      </c>
      <c r="I249" s="166" t="s">
        <v>566</v>
      </c>
      <c r="J249" s="163" t="s">
        <v>561</v>
      </c>
      <c r="K249" s="10" t="s">
        <v>30</v>
      </c>
      <c r="L249" s="10">
        <v>10</v>
      </c>
      <c r="M249" s="10">
        <f t="shared" si="10"/>
        <v>3.33</v>
      </c>
      <c r="N249" s="10">
        <v>5</v>
      </c>
      <c r="O249" s="12">
        <v>1.6666666666666667</v>
      </c>
      <c r="P249" s="11">
        <v>712</v>
      </c>
      <c r="Q249" s="10" t="s">
        <v>48</v>
      </c>
      <c r="R249" s="4" t="s">
        <v>1292</v>
      </c>
      <c r="S249" s="4" t="s">
        <v>1292</v>
      </c>
      <c r="T249" s="4" t="s">
        <v>19</v>
      </c>
      <c r="U249" s="4" t="str">
        <f t="shared" ref="U249:U262" si="14">IF(ISNUMBER(SEARCH("ADD-ON",$I249)),"ADD-ON","NOT AN ADD-ON")</f>
        <v>NOT AN ADD-ON</v>
      </c>
      <c r="V249" s="4" t="str">
        <f t="shared" si="12"/>
        <v>LIFE SCIENCESLIFE SCIENCESAUTHORIZEDNOT AN ADD-ON</v>
      </c>
    </row>
    <row r="250" spans="1:22" ht="27" thickBot="1">
      <c r="A250" s="10" t="s">
        <v>21</v>
      </c>
      <c r="B250" s="10" t="s">
        <v>22</v>
      </c>
      <c r="C250" s="10" t="s">
        <v>500</v>
      </c>
      <c r="D250" s="10" t="s">
        <v>501</v>
      </c>
      <c r="E250" s="10" t="s">
        <v>502</v>
      </c>
      <c r="F250" s="10" t="s">
        <v>503</v>
      </c>
      <c r="G250" s="11">
        <v>4710</v>
      </c>
      <c r="H250" s="163" t="s">
        <v>567</v>
      </c>
      <c r="I250" s="166" t="s">
        <v>568</v>
      </c>
      <c r="J250" s="163" t="s">
        <v>561</v>
      </c>
      <c r="K250" s="10" t="s">
        <v>30</v>
      </c>
      <c r="L250" s="10">
        <v>10</v>
      </c>
      <c r="M250" s="10">
        <f t="shared" si="10"/>
        <v>3.33</v>
      </c>
      <c r="N250" s="10">
        <v>5</v>
      </c>
      <c r="O250" s="12">
        <v>1.6666666666666667</v>
      </c>
      <c r="P250" s="11">
        <v>712</v>
      </c>
      <c r="Q250" s="10" t="s">
        <v>48</v>
      </c>
      <c r="R250" s="4" t="s">
        <v>1292</v>
      </c>
      <c r="S250" s="4" t="s">
        <v>1292</v>
      </c>
      <c r="T250" s="4" t="s">
        <v>19</v>
      </c>
      <c r="U250" s="4" t="str">
        <f t="shared" si="14"/>
        <v>NOT AN ADD-ON</v>
      </c>
      <c r="V250" s="4" t="str">
        <f t="shared" si="12"/>
        <v>LIFE SCIENCESLIFE SCIENCESAUTHORIZEDNOT AN ADD-ON</v>
      </c>
    </row>
    <row r="251" spans="1:22" ht="29.25" customHeight="1" thickBot="1">
      <c r="A251" s="10" t="s">
        <v>21</v>
      </c>
      <c r="B251" s="10" t="s">
        <v>22</v>
      </c>
      <c r="C251" s="10" t="s">
        <v>500</v>
      </c>
      <c r="D251" s="10" t="s">
        <v>501</v>
      </c>
      <c r="E251" s="10" t="s">
        <v>502</v>
      </c>
      <c r="F251" s="10" t="s">
        <v>503</v>
      </c>
      <c r="G251" s="11">
        <v>4470</v>
      </c>
      <c r="H251" s="163" t="s">
        <v>569</v>
      </c>
      <c r="I251" s="166" t="s">
        <v>570</v>
      </c>
      <c r="J251" s="163" t="s">
        <v>561</v>
      </c>
      <c r="K251" s="10" t="s">
        <v>30</v>
      </c>
      <c r="L251" s="10">
        <v>10</v>
      </c>
      <c r="M251" s="10">
        <f t="shared" si="10"/>
        <v>3.33</v>
      </c>
      <c r="N251" s="10">
        <v>5</v>
      </c>
      <c r="O251" s="12">
        <v>1.6666666666666667</v>
      </c>
      <c r="P251" s="11">
        <v>712</v>
      </c>
      <c r="Q251" s="10" t="s">
        <v>48</v>
      </c>
      <c r="R251" s="4" t="s">
        <v>1292</v>
      </c>
      <c r="S251" s="4" t="s">
        <v>1292</v>
      </c>
      <c r="T251" s="4" t="s">
        <v>19</v>
      </c>
      <c r="U251" s="4" t="str">
        <f t="shared" si="14"/>
        <v>NOT AN ADD-ON</v>
      </c>
      <c r="V251" s="4" t="str">
        <f t="shared" si="12"/>
        <v>LIFE SCIENCESLIFE SCIENCESAUTHORIZEDNOT AN ADD-ON</v>
      </c>
    </row>
    <row r="252" spans="1:22" ht="29.25" customHeight="1" thickBot="1">
      <c r="A252" s="10" t="s">
        <v>21</v>
      </c>
      <c r="B252" s="10" t="s">
        <v>22</v>
      </c>
      <c r="C252" s="10" t="s">
        <v>500</v>
      </c>
      <c r="D252" s="10" t="s">
        <v>501</v>
      </c>
      <c r="E252" s="10" t="s">
        <v>502</v>
      </c>
      <c r="F252" s="10" t="s">
        <v>503</v>
      </c>
      <c r="G252" s="11">
        <v>1400</v>
      </c>
      <c r="H252" s="163" t="s">
        <v>571</v>
      </c>
      <c r="I252" s="158" t="s">
        <v>572</v>
      </c>
      <c r="J252" s="163" t="s">
        <v>573</v>
      </c>
      <c r="K252" s="10" t="s">
        <v>30</v>
      </c>
      <c r="L252" s="10">
        <v>10</v>
      </c>
      <c r="M252" s="10">
        <f t="shared" si="10"/>
        <v>3.33</v>
      </c>
      <c r="N252" s="10">
        <v>5</v>
      </c>
      <c r="O252" s="12">
        <v>1.6666666666666667</v>
      </c>
      <c r="P252" s="11">
        <v>6980</v>
      </c>
      <c r="Q252" s="10" t="s">
        <v>31</v>
      </c>
      <c r="R252" s="4" t="s">
        <v>1292</v>
      </c>
      <c r="S252" s="4" t="s">
        <v>1292</v>
      </c>
      <c r="T252" s="4" t="s">
        <v>19</v>
      </c>
      <c r="U252" s="4" t="str">
        <f t="shared" si="14"/>
        <v>NOT AN ADD-ON</v>
      </c>
      <c r="V252" s="4" t="str">
        <f t="shared" si="12"/>
        <v>LIFE SCIENCESLIFE SCIENCESAUTHORIZEDNOT AN ADD-ON</v>
      </c>
    </row>
    <row r="253" spans="1:22" ht="29.25" customHeight="1" thickBot="1">
      <c r="A253" s="10" t="s">
        <v>21</v>
      </c>
      <c r="B253" s="10" t="s">
        <v>22</v>
      </c>
      <c r="C253" s="10" t="s">
        <v>500</v>
      </c>
      <c r="D253" s="10" t="s">
        <v>501</v>
      </c>
      <c r="E253" s="10" t="s">
        <v>502</v>
      </c>
      <c r="F253" s="10" t="s">
        <v>503</v>
      </c>
      <c r="G253" s="11">
        <v>6980</v>
      </c>
      <c r="H253" s="163" t="s">
        <v>573</v>
      </c>
      <c r="I253" s="158" t="s">
        <v>574</v>
      </c>
      <c r="J253" s="163" t="s">
        <v>573</v>
      </c>
      <c r="K253" s="10" t="s">
        <v>30</v>
      </c>
      <c r="L253" s="10">
        <v>10</v>
      </c>
      <c r="M253" s="10">
        <f t="shared" si="10"/>
        <v>3.33</v>
      </c>
      <c r="N253" s="10">
        <v>5</v>
      </c>
      <c r="O253" s="12">
        <v>1.6666666666666667</v>
      </c>
      <c r="P253" s="11">
        <v>6980</v>
      </c>
      <c r="Q253" s="10" t="s">
        <v>33</v>
      </c>
      <c r="R253" s="4" t="s">
        <v>1292</v>
      </c>
      <c r="S253" s="4" t="s">
        <v>1292</v>
      </c>
      <c r="T253" s="4" t="s">
        <v>19</v>
      </c>
      <c r="U253" s="4" t="str">
        <f t="shared" si="14"/>
        <v>NOT AN ADD-ON</v>
      </c>
      <c r="V253" s="4" t="str">
        <f t="shared" si="12"/>
        <v>LIFE SCIENCESLIFE SCIENCESAUTHORIZEDNOT AN ADD-ON</v>
      </c>
    </row>
    <row r="254" spans="1:22" ht="29.25" customHeight="1" thickBot="1">
      <c r="A254" s="10" t="s">
        <v>21</v>
      </c>
      <c r="B254" s="10" t="s">
        <v>22</v>
      </c>
      <c r="C254" s="10" t="s">
        <v>500</v>
      </c>
      <c r="D254" s="10" t="s">
        <v>501</v>
      </c>
      <c r="E254" s="10" t="s">
        <v>502</v>
      </c>
      <c r="F254" s="10" t="s">
        <v>503</v>
      </c>
      <c r="G254" s="11">
        <v>4180</v>
      </c>
      <c r="H254" s="163" t="s">
        <v>575</v>
      </c>
      <c r="I254" s="158" t="s">
        <v>576</v>
      </c>
      <c r="J254" s="163" t="s">
        <v>573</v>
      </c>
      <c r="K254" s="10" t="s">
        <v>30</v>
      </c>
      <c r="L254" s="10">
        <v>10</v>
      </c>
      <c r="M254" s="10">
        <f t="shared" si="10"/>
        <v>3.33</v>
      </c>
      <c r="N254" s="10">
        <v>5</v>
      </c>
      <c r="O254" s="12">
        <v>1.6666666666666667</v>
      </c>
      <c r="P254" s="11">
        <v>6980</v>
      </c>
      <c r="Q254" s="10" t="s">
        <v>36</v>
      </c>
      <c r="R254" s="4" t="s">
        <v>1292</v>
      </c>
      <c r="S254" s="4" t="s">
        <v>1292</v>
      </c>
      <c r="T254" s="4" t="s">
        <v>19</v>
      </c>
      <c r="U254" s="4" t="str">
        <f t="shared" si="14"/>
        <v>NOT AN ADD-ON</v>
      </c>
      <c r="V254" s="4" t="str">
        <f t="shared" si="12"/>
        <v>LIFE SCIENCESLIFE SCIENCESAUTHORIZEDNOT AN ADD-ON</v>
      </c>
    </row>
    <row r="255" spans="1:22" ht="15" thickBot="1">
      <c r="A255" s="10" t="s">
        <v>21</v>
      </c>
      <c r="B255" s="10" t="s">
        <v>22</v>
      </c>
      <c r="C255" s="10" t="s">
        <v>500</v>
      </c>
      <c r="D255" s="10" t="s">
        <v>501</v>
      </c>
      <c r="E255" s="10" t="s">
        <v>502</v>
      </c>
      <c r="F255" s="10" t="s">
        <v>503</v>
      </c>
      <c r="G255" s="11">
        <v>953</v>
      </c>
      <c r="H255" s="163" t="s">
        <v>577</v>
      </c>
      <c r="I255" s="166" t="s">
        <v>578</v>
      </c>
      <c r="J255" s="163" t="s">
        <v>579</v>
      </c>
      <c r="K255" s="10" t="s">
        <v>30</v>
      </c>
      <c r="L255" s="10">
        <v>5</v>
      </c>
      <c r="M255" s="10">
        <f t="shared" si="10"/>
        <v>1.67</v>
      </c>
      <c r="N255" s="10">
        <v>5</v>
      </c>
      <c r="O255" s="12">
        <v>1.6666666666666667</v>
      </c>
      <c r="P255" s="11">
        <v>3480</v>
      </c>
      <c r="Q255" s="10" t="s">
        <v>48</v>
      </c>
      <c r="R255" s="4" t="s">
        <v>1292</v>
      </c>
      <c r="S255" s="4" t="s">
        <v>1292</v>
      </c>
      <c r="T255" s="4" t="s">
        <v>672</v>
      </c>
      <c r="U255" s="4" t="str">
        <f t="shared" si="14"/>
        <v>NOT AN ADD-ON</v>
      </c>
      <c r="V255" s="4" t="str">
        <f t="shared" si="12"/>
        <v>LIFE SCIENCESLIFE SCIENCESLIMITEDNOT AN ADD-ON</v>
      </c>
    </row>
    <row r="256" spans="1:22" ht="15" thickBot="1">
      <c r="A256" s="10" t="s">
        <v>21</v>
      </c>
      <c r="B256" s="10" t="s">
        <v>22</v>
      </c>
      <c r="C256" s="10" t="s">
        <v>500</v>
      </c>
      <c r="D256" s="10" t="s">
        <v>501</v>
      </c>
      <c r="E256" s="10" t="s">
        <v>502</v>
      </c>
      <c r="F256" s="10" t="s">
        <v>503</v>
      </c>
      <c r="G256" s="11">
        <v>695</v>
      </c>
      <c r="H256" s="163" t="s">
        <v>580</v>
      </c>
      <c r="I256" s="158" t="s">
        <v>581</v>
      </c>
      <c r="J256" s="163" t="s">
        <v>579</v>
      </c>
      <c r="K256" s="10" t="s">
        <v>30</v>
      </c>
      <c r="L256" s="10">
        <v>5</v>
      </c>
      <c r="M256" s="10">
        <f t="shared" si="10"/>
        <v>1.67</v>
      </c>
      <c r="N256" s="10">
        <v>5</v>
      </c>
      <c r="O256" s="12">
        <v>1.6666666666666667</v>
      </c>
      <c r="P256" s="11">
        <v>3480</v>
      </c>
      <c r="Q256" s="10" t="s">
        <v>31</v>
      </c>
      <c r="R256" s="4" t="s">
        <v>1292</v>
      </c>
      <c r="S256" s="4" t="s">
        <v>1292</v>
      </c>
      <c r="T256" s="4" t="s">
        <v>672</v>
      </c>
      <c r="U256" s="4" t="str">
        <f t="shared" si="14"/>
        <v>NOT AN ADD-ON</v>
      </c>
      <c r="V256" s="4" t="str">
        <f t="shared" si="12"/>
        <v>LIFE SCIENCESLIFE SCIENCESLIMITEDNOT AN ADD-ON</v>
      </c>
    </row>
    <row r="257" spans="1:22" ht="15" thickBot="1">
      <c r="A257" s="10" t="s">
        <v>21</v>
      </c>
      <c r="B257" s="10" t="s">
        <v>22</v>
      </c>
      <c r="C257" s="10" t="s">
        <v>500</v>
      </c>
      <c r="D257" s="10" t="s">
        <v>501</v>
      </c>
      <c r="E257" s="10" t="s">
        <v>502</v>
      </c>
      <c r="F257" s="10" t="s">
        <v>503</v>
      </c>
      <c r="G257" s="11">
        <v>3480</v>
      </c>
      <c r="H257" s="163" t="s">
        <v>579</v>
      </c>
      <c r="I257" s="158" t="s">
        <v>582</v>
      </c>
      <c r="J257" s="163" t="s">
        <v>579</v>
      </c>
      <c r="K257" s="10" t="s">
        <v>30</v>
      </c>
      <c r="L257" s="10">
        <v>5</v>
      </c>
      <c r="M257" s="10">
        <f t="shared" si="10"/>
        <v>1.67</v>
      </c>
      <c r="N257" s="10">
        <v>5</v>
      </c>
      <c r="O257" s="12">
        <v>1.6666666666666667</v>
      </c>
      <c r="P257" s="11">
        <v>3480</v>
      </c>
      <c r="Q257" s="10" t="s">
        <v>33</v>
      </c>
      <c r="R257" s="4" t="s">
        <v>1292</v>
      </c>
      <c r="S257" s="4" t="s">
        <v>1292</v>
      </c>
      <c r="T257" s="4" t="s">
        <v>672</v>
      </c>
      <c r="U257" s="4" t="str">
        <f t="shared" si="14"/>
        <v>NOT AN ADD-ON</v>
      </c>
      <c r="V257" s="4" t="str">
        <f t="shared" si="12"/>
        <v>LIFE SCIENCESLIFE SCIENCESLIMITEDNOT AN ADD-ON</v>
      </c>
    </row>
    <row r="258" spans="1:22" ht="29.25" customHeight="1" thickBot="1">
      <c r="A258" s="10" t="s">
        <v>21</v>
      </c>
      <c r="B258" s="10" t="s">
        <v>22</v>
      </c>
      <c r="C258" s="10" t="s">
        <v>500</v>
      </c>
      <c r="D258" s="10" t="s">
        <v>501</v>
      </c>
      <c r="E258" s="10" t="s">
        <v>502</v>
      </c>
      <c r="F258" s="10" t="s">
        <v>503</v>
      </c>
      <c r="G258" s="11">
        <v>2090</v>
      </c>
      <c r="H258" s="163" t="s">
        <v>583</v>
      </c>
      <c r="I258" s="158" t="s">
        <v>584</v>
      </c>
      <c r="J258" s="163" t="s">
        <v>579</v>
      </c>
      <c r="K258" s="10" t="s">
        <v>30</v>
      </c>
      <c r="L258" s="10">
        <v>5</v>
      </c>
      <c r="M258" s="10">
        <f t="shared" si="10"/>
        <v>1.67</v>
      </c>
      <c r="N258" s="10">
        <v>5</v>
      </c>
      <c r="O258" s="12">
        <v>1.6666666666666667</v>
      </c>
      <c r="P258" s="11">
        <v>3480</v>
      </c>
      <c r="Q258" s="10" t="s">
        <v>36</v>
      </c>
      <c r="R258" s="4" t="s">
        <v>1292</v>
      </c>
      <c r="S258" s="4" t="s">
        <v>1292</v>
      </c>
      <c r="T258" s="4" t="s">
        <v>672</v>
      </c>
      <c r="U258" s="4" t="str">
        <f t="shared" si="14"/>
        <v>NOT AN ADD-ON</v>
      </c>
      <c r="V258" s="4" t="str">
        <f t="shared" si="12"/>
        <v>LIFE SCIENCESLIFE SCIENCESLIMITEDNOT AN ADD-ON</v>
      </c>
    </row>
    <row r="259" spans="1:22" ht="27" thickBot="1">
      <c r="A259" s="10" t="s">
        <v>21</v>
      </c>
      <c r="B259" s="10" t="s">
        <v>22</v>
      </c>
      <c r="C259" s="10" t="s">
        <v>500</v>
      </c>
      <c r="D259" s="10" t="s">
        <v>501</v>
      </c>
      <c r="E259" s="10" t="s">
        <v>502</v>
      </c>
      <c r="F259" s="10" t="s">
        <v>503</v>
      </c>
      <c r="G259" s="11">
        <v>953</v>
      </c>
      <c r="H259" s="163" t="s">
        <v>585</v>
      </c>
      <c r="I259" s="166" t="s">
        <v>586</v>
      </c>
      <c r="J259" s="163" t="s">
        <v>587</v>
      </c>
      <c r="K259" s="10" t="s">
        <v>30</v>
      </c>
      <c r="L259" s="10">
        <v>5</v>
      </c>
      <c r="M259" s="10">
        <f t="shared" ref="M259:M322" si="15">ROUND(IF(K259="Authorized User",L259/3,L259),2)</f>
        <v>1.67</v>
      </c>
      <c r="N259" s="10">
        <v>5</v>
      </c>
      <c r="O259" s="12">
        <v>1.6666666666666667</v>
      </c>
      <c r="P259" s="11">
        <v>3480</v>
      </c>
      <c r="Q259" s="10" t="s">
        <v>48</v>
      </c>
      <c r="R259" s="4" t="s">
        <v>1292</v>
      </c>
      <c r="S259" s="4" t="s">
        <v>1292</v>
      </c>
      <c r="T259" s="4" t="s">
        <v>672</v>
      </c>
      <c r="U259" s="4" t="str">
        <f t="shared" si="14"/>
        <v>NOT AN ADD-ON</v>
      </c>
      <c r="V259" s="4" t="str">
        <f t="shared" ref="V259:V322" si="16">CONCATENATE(R259,S259,T259,U259)</f>
        <v>LIFE SCIENCESLIFE SCIENCESLIMITEDNOT AN ADD-ON</v>
      </c>
    </row>
    <row r="260" spans="1:22" ht="29.25" customHeight="1" thickBot="1">
      <c r="A260" s="10" t="s">
        <v>21</v>
      </c>
      <c r="B260" s="10" t="s">
        <v>22</v>
      </c>
      <c r="C260" s="10" t="s">
        <v>500</v>
      </c>
      <c r="D260" s="10" t="s">
        <v>501</v>
      </c>
      <c r="E260" s="10" t="s">
        <v>502</v>
      </c>
      <c r="F260" s="10" t="s">
        <v>503</v>
      </c>
      <c r="G260" s="11">
        <v>695</v>
      </c>
      <c r="H260" s="163" t="s">
        <v>588</v>
      </c>
      <c r="I260" s="158" t="s">
        <v>589</v>
      </c>
      <c r="J260" s="163" t="s">
        <v>587</v>
      </c>
      <c r="K260" s="10" t="s">
        <v>30</v>
      </c>
      <c r="L260" s="10">
        <v>5</v>
      </c>
      <c r="M260" s="10">
        <f t="shared" si="15"/>
        <v>1.67</v>
      </c>
      <c r="N260" s="10">
        <v>5</v>
      </c>
      <c r="O260" s="12">
        <v>1.6666666666666667</v>
      </c>
      <c r="P260" s="11">
        <v>3480</v>
      </c>
      <c r="Q260" s="10" t="s">
        <v>31</v>
      </c>
      <c r="R260" s="4" t="s">
        <v>1292</v>
      </c>
      <c r="S260" s="4" t="s">
        <v>1292</v>
      </c>
      <c r="T260" s="4" t="s">
        <v>672</v>
      </c>
      <c r="U260" s="4" t="str">
        <f t="shared" si="14"/>
        <v>NOT AN ADD-ON</v>
      </c>
      <c r="V260" s="4" t="str">
        <f t="shared" si="16"/>
        <v>LIFE SCIENCESLIFE SCIENCESLIMITEDNOT AN ADD-ON</v>
      </c>
    </row>
    <row r="261" spans="1:22" ht="15" thickBot="1">
      <c r="A261" s="10" t="s">
        <v>21</v>
      </c>
      <c r="B261" s="10" t="s">
        <v>22</v>
      </c>
      <c r="C261" s="10" t="s">
        <v>500</v>
      </c>
      <c r="D261" s="10" t="s">
        <v>501</v>
      </c>
      <c r="E261" s="10" t="s">
        <v>502</v>
      </c>
      <c r="F261" s="10" t="s">
        <v>503</v>
      </c>
      <c r="G261" s="11">
        <v>3480</v>
      </c>
      <c r="H261" s="163" t="s">
        <v>587</v>
      </c>
      <c r="I261" s="158" t="s">
        <v>590</v>
      </c>
      <c r="J261" s="163" t="s">
        <v>587</v>
      </c>
      <c r="K261" s="10" t="s">
        <v>30</v>
      </c>
      <c r="L261" s="10">
        <v>5</v>
      </c>
      <c r="M261" s="10">
        <f t="shared" si="15"/>
        <v>1.67</v>
      </c>
      <c r="N261" s="10">
        <v>5</v>
      </c>
      <c r="O261" s="12">
        <v>1.6666666666666667</v>
      </c>
      <c r="P261" s="11">
        <v>3480</v>
      </c>
      <c r="Q261" s="10" t="s">
        <v>33</v>
      </c>
      <c r="R261" s="4" t="s">
        <v>1292</v>
      </c>
      <c r="S261" s="4" t="s">
        <v>1292</v>
      </c>
      <c r="T261" s="4" t="s">
        <v>672</v>
      </c>
      <c r="U261" s="4" t="str">
        <f t="shared" si="14"/>
        <v>NOT AN ADD-ON</v>
      </c>
      <c r="V261" s="4" t="str">
        <f t="shared" si="16"/>
        <v>LIFE SCIENCESLIFE SCIENCESLIMITEDNOT AN ADD-ON</v>
      </c>
    </row>
    <row r="262" spans="1:22" ht="15" thickBot="1">
      <c r="A262" s="10" t="s">
        <v>21</v>
      </c>
      <c r="B262" s="10" t="s">
        <v>22</v>
      </c>
      <c r="C262" s="10" t="s">
        <v>500</v>
      </c>
      <c r="D262" s="10" t="s">
        <v>501</v>
      </c>
      <c r="E262" s="10" t="s">
        <v>502</v>
      </c>
      <c r="F262" s="10" t="s">
        <v>503</v>
      </c>
      <c r="G262" s="11">
        <v>2090</v>
      </c>
      <c r="H262" s="163" t="s">
        <v>591</v>
      </c>
      <c r="I262" s="158" t="s">
        <v>592</v>
      </c>
      <c r="J262" s="163" t="s">
        <v>587</v>
      </c>
      <c r="K262" s="10" t="s">
        <v>30</v>
      </c>
      <c r="L262" s="10">
        <v>5</v>
      </c>
      <c r="M262" s="10">
        <f t="shared" si="15"/>
        <v>1.67</v>
      </c>
      <c r="N262" s="10">
        <v>5</v>
      </c>
      <c r="O262" s="12">
        <v>1.6666666666666667</v>
      </c>
      <c r="P262" s="11">
        <v>3480</v>
      </c>
      <c r="Q262" s="10" t="s">
        <v>36</v>
      </c>
      <c r="R262" s="4" t="s">
        <v>1292</v>
      </c>
      <c r="S262" s="4" t="s">
        <v>1292</v>
      </c>
      <c r="T262" s="4" t="s">
        <v>672</v>
      </c>
      <c r="U262" s="4" t="str">
        <f t="shared" si="14"/>
        <v>NOT AN ADD-ON</v>
      </c>
      <c r="V262" s="4" t="str">
        <f t="shared" si="16"/>
        <v>LIFE SCIENCESLIFE SCIENCESLIMITEDNOT AN ADD-ON</v>
      </c>
    </row>
    <row r="263" spans="1:22" ht="15" thickBot="1">
      <c r="A263" s="10" t="s">
        <v>21</v>
      </c>
      <c r="B263" s="10" t="s">
        <v>22</v>
      </c>
      <c r="C263" s="10" t="s">
        <v>593</v>
      </c>
      <c r="D263" s="10" t="s">
        <v>594</v>
      </c>
      <c r="E263" s="10" t="s">
        <v>595</v>
      </c>
      <c r="F263" s="10" t="s">
        <v>596</v>
      </c>
      <c r="G263" s="11">
        <v>431</v>
      </c>
      <c r="H263" s="163" t="s">
        <v>597</v>
      </c>
      <c r="I263" s="158" t="s">
        <v>598</v>
      </c>
      <c r="J263" s="163" t="s">
        <v>599</v>
      </c>
      <c r="K263" s="10" t="s">
        <v>30</v>
      </c>
      <c r="L263" s="10">
        <v>5</v>
      </c>
      <c r="M263" s="10">
        <f t="shared" si="15"/>
        <v>1.67</v>
      </c>
      <c r="N263" s="10">
        <v>15</v>
      </c>
      <c r="O263" s="12">
        <v>5</v>
      </c>
      <c r="P263" s="11">
        <v>2150</v>
      </c>
      <c r="Q263" s="10" t="s">
        <v>31</v>
      </c>
      <c r="R263" s="4" t="s">
        <v>1281</v>
      </c>
      <c r="S263" s="4" t="s">
        <v>1279</v>
      </c>
      <c r="T263" s="4" t="s">
        <v>19</v>
      </c>
      <c r="U263" s="4" t="s">
        <v>507</v>
      </c>
      <c r="V263" s="4" t="str">
        <f t="shared" si="16"/>
        <v>NUCLEAR POWERINDUSTRY SOLUTIONAUTHORIZEDADD-ON</v>
      </c>
    </row>
    <row r="264" spans="1:22" ht="15" thickBot="1">
      <c r="A264" s="10" t="s">
        <v>21</v>
      </c>
      <c r="B264" s="10" t="s">
        <v>22</v>
      </c>
      <c r="C264" s="10" t="s">
        <v>593</v>
      </c>
      <c r="D264" s="10" t="s">
        <v>594</v>
      </c>
      <c r="E264" s="10" t="s">
        <v>595</v>
      </c>
      <c r="F264" s="10" t="s">
        <v>596</v>
      </c>
      <c r="G264" s="11">
        <v>2150</v>
      </c>
      <c r="H264" s="163" t="s">
        <v>599</v>
      </c>
      <c r="I264" s="158" t="s">
        <v>600</v>
      </c>
      <c r="J264" s="163" t="s">
        <v>599</v>
      </c>
      <c r="K264" s="10" t="s">
        <v>30</v>
      </c>
      <c r="L264" s="10">
        <v>5</v>
      </c>
      <c r="M264" s="10">
        <f t="shared" si="15"/>
        <v>1.67</v>
      </c>
      <c r="N264" s="10">
        <v>15</v>
      </c>
      <c r="O264" s="12">
        <v>5</v>
      </c>
      <c r="P264" s="11">
        <v>2150</v>
      </c>
      <c r="Q264" s="10" t="s">
        <v>33</v>
      </c>
      <c r="R264" s="4" t="s">
        <v>1281</v>
      </c>
      <c r="S264" s="4" t="s">
        <v>1279</v>
      </c>
      <c r="T264" s="4" t="s">
        <v>19</v>
      </c>
      <c r="U264" s="4" t="s">
        <v>507</v>
      </c>
      <c r="V264" s="4" t="str">
        <f t="shared" si="16"/>
        <v>NUCLEAR POWERINDUSTRY SOLUTIONAUTHORIZEDADD-ON</v>
      </c>
    </row>
    <row r="265" spans="1:22" ht="29.25" customHeight="1" thickBot="1">
      <c r="A265" s="10" t="s">
        <v>21</v>
      </c>
      <c r="B265" s="10" t="s">
        <v>22</v>
      </c>
      <c r="C265" s="10" t="s">
        <v>593</v>
      </c>
      <c r="D265" s="10" t="s">
        <v>594</v>
      </c>
      <c r="E265" s="10" t="s">
        <v>595</v>
      </c>
      <c r="F265" s="10" t="s">
        <v>596</v>
      </c>
      <c r="G265" s="11">
        <v>1300</v>
      </c>
      <c r="H265" s="163" t="s">
        <v>601</v>
      </c>
      <c r="I265" s="158" t="s">
        <v>602</v>
      </c>
      <c r="J265" s="163" t="s">
        <v>599</v>
      </c>
      <c r="K265" s="10" t="s">
        <v>30</v>
      </c>
      <c r="L265" s="10">
        <v>5</v>
      </c>
      <c r="M265" s="10">
        <f t="shared" si="15"/>
        <v>1.67</v>
      </c>
      <c r="N265" s="10">
        <v>15</v>
      </c>
      <c r="O265" s="12">
        <v>5</v>
      </c>
      <c r="P265" s="11">
        <v>2150</v>
      </c>
      <c r="Q265" s="10" t="s">
        <v>36</v>
      </c>
      <c r="R265" s="4" t="s">
        <v>1281</v>
      </c>
      <c r="S265" s="4" t="s">
        <v>1279</v>
      </c>
      <c r="T265" s="4" t="s">
        <v>19</v>
      </c>
      <c r="U265" s="4" t="s">
        <v>507</v>
      </c>
      <c r="V265" s="4" t="str">
        <f t="shared" si="16"/>
        <v>NUCLEAR POWERINDUSTRY SOLUTIONAUTHORIZEDADD-ON</v>
      </c>
    </row>
    <row r="266" spans="1:22" ht="15" thickBot="1">
      <c r="A266" s="10" t="s">
        <v>21</v>
      </c>
      <c r="B266" s="10" t="s">
        <v>22</v>
      </c>
      <c r="C266" s="10" t="s">
        <v>593</v>
      </c>
      <c r="D266" s="10" t="s">
        <v>594</v>
      </c>
      <c r="E266" s="10" t="s">
        <v>595</v>
      </c>
      <c r="F266" s="10" t="s">
        <v>596</v>
      </c>
      <c r="G266" s="11">
        <v>1320</v>
      </c>
      <c r="H266" s="163" t="s">
        <v>603</v>
      </c>
      <c r="I266" s="158" t="s">
        <v>604</v>
      </c>
      <c r="J266" s="163" t="s">
        <v>605</v>
      </c>
      <c r="K266" s="10" t="s">
        <v>40</v>
      </c>
      <c r="L266" s="10">
        <v>5</v>
      </c>
      <c r="M266" s="10">
        <f t="shared" si="15"/>
        <v>5</v>
      </c>
      <c r="N266" s="10">
        <v>15</v>
      </c>
      <c r="O266" s="12">
        <v>1</v>
      </c>
      <c r="P266" s="11">
        <v>6570</v>
      </c>
      <c r="Q266" s="10" t="s">
        <v>31</v>
      </c>
      <c r="R266" s="4" t="s">
        <v>1281</v>
      </c>
      <c r="S266" s="4" t="s">
        <v>1279</v>
      </c>
      <c r="T266" s="4" t="s">
        <v>19</v>
      </c>
      <c r="U266" s="4" t="s">
        <v>507</v>
      </c>
      <c r="V266" s="4" t="str">
        <f t="shared" si="16"/>
        <v>NUCLEAR POWERINDUSTRY SOLUTIONAUTHORIZEDADD-ON</v>
      </c>
    </row>
    <row r="267" spans="1:22" ht="15" thickBot="1">
      <c r="A267" s="10" t="s">
        <v>21</v>
      </c>
      <c r="B267" s="10" t="s">
        <v>22</v>
      </c>
      <c r="C267" s="10" t="s">
        <v>593</v>
      </c>
      <c r="D267" s="10" t="s">
        <v>594</v>
      </c>
      <c r="E267" s="10" t="s">
        <v>595</v>
      </c>
      <c r="F267" s="10" t="s">
        <v>596</v>
      </c>
      <c r="G267" s="11">
        <v>6570</v>
      </c>
      <c r="H267" s="163" t="s">
        <v>605</v>
      </c>
      <c r="I267" s="158" t="s">
        <v>606</v>
      </c>
      <c r="J267" s="163" t="s">
        <v>605</v>
      </c>
      <c r="K267" s="10" t="s">
        <v>40</v>
      </c>
      <c r="L267" s="10">
        <v>5</v>
      </c>
      <c r="M267" s="10">
        <f t="shared" si="15"/>
        <v>5</v>
      </c>
      <c r="N267" s="10">
        <v>15</v>
      </c>
      <c r="O267" s="17">
        <v>1</v>
      </c>
      <c r="P267" s="11">
        <v>6570</v>
      </c>
      <c r="Q267" s="10" t="s">
        <v>33</v>
      </c>
      <c r="R267" s="4" t="s">
        <v>1281</v>
      </c>
      <c r="S267" s="4" t="s">
        <v>1279</v>
      </c>
      <c r="T267" s="4" t="s">
        <v>19</v>
      </c>
      <c r="U267" s="4" t="s">
        <v>507</v>
      </c>
      <c r="V267" s="4" t="str">
        <f t="shared" si="16"/>
        <v>NUCLEAR POWERINDUSTRY SOLUTIONAUTHORIZEDADD-ON</v>
      </c>
    </row>
    <row r="268" spans="1:22" ht="29.25" customHeight="1" thickBot="1">
      <c r="A268" s="10" t="s">
        <v>21</v>
      </c>
      <c r="B268" s="10" t="s">
        <v>22</v>
      </c>
      <c r="C268" s="10" t="s">
        <v>593</v>
      </c>
      <c r="D268" s="10" t="s">
        <v>594</v>
      </c>
      <c r="E268" s="10" t="s">
        <v>595</v>
      </c>
      <c r="F268" s="10" t="s">
        <v>596</v>
      </c>
      <c r="G268" s="11">
        <v>3940</v>
      </c>
      <c r="H268" s="163" t="s">
        <v>607</v>
      </c>
      <c r="I268" s="158" t="s">
        <v>608</v>
      </c>
      <c r="J268" s="163" t="s">
        <v>605</v>
      </c>
      <c r="K268" s="10" t="s">
        <v>40</v>
      </c>
      <c r="L268" s="10">
        <v>5</v>
      </c>
      <c r="M268" s="10">
        <f t="shared" si="15"/>
        <v>5</v>
      </c>
      <c r="N268" s="10">
        <v>15</v>
      </c>
      <c r="O268" s="17">
        <v>1</v>
      </c>
      <c r="P268" s="11">
        <v>6570</v>
      </c>
      <c r="Q268" s="10" t="s">
        <v>36</v>
      </c>
      <c r="R268" s="4" t="s">
        <v>1281</v>
      </c>
      <c r="S268" s="4" t="s">
        <v>1279</v>
      </c>
      <c r="T268" s="4" t="s">
        <v>19</v>
      </c>
      <c r="U268" s="4" t="s">
        <v>507</v>
      </c>
      <c r="V268" s="4" t="str">
        <f t="shared" si="16"/>
        <v>NUCLEAR POWERINDUSTRY SOLUTIONAUTHORIZEDADD-ON</v>
      </c>
    </row>
    <row r="269" spans="1:22" ht="27" thickBot="1">
      <c r="A269" s="10" t="s">
        <v>21</v>
      </c>
      <c r="B269" s="10" t="s">
        <v>22</v>
      </c>
      <c r="C269" s="10" t="s">
        <v>593</v>
      </c>
      <c r="D269" s="10" t="s">
        <v>594</v>
      </c>
      <c r="E269" s="10" t="s">
        <v>595</v>
      </c>
      <c r="F269" s="10" t="s">
        <v>596</v>
      </c>
      <c r="G269" s="11">
        <v>1410</v>
      </c>
      <c r="H269" s="163" t="s">
        <v>609</v>
      </c>
      <c r="I269" s="166" t="s">
        <v>610</v>
      </c>
      <c r="J269" s="163" t="s">
        <v>611</v>
      </c>
      <c r="K269" s="10" t="s">
        <v>40</v>
      </c>
      <c r="L269" s="10">
        <v>5</v>
      </c>
      <c r="M269" s="10">
        <f t="shared" si="15"/>
        <v>5</v>
      </c>
      <c r="N269" s="10">
        <v>15</v>
      </c>
      <c r="O269" s="17">
        <v>1</v>
      </c>
      <c r="P269" s="11">
        <v>6570</v>
      </c>
      <c r="Q269" s="10" t="s">
        <v>48</v>
      </c>
      <c r="R269" s="4" t="s">
        <v>1281</v>
      </c>
      <c r="S269" s="4" t="s">
        <v>1279</v>
      </c>
      <c r="T269" s="4" t="s">
        <v>19</v>
      </c>
      <c r="U269" s="4" t="s">
        <v>507</v>
      </c>
      <c r="V269" s="4" t="str">
        <f t="shared" si="16"/>
        <v>NUCLEAR POWERINDUSTRY SOLUTIONAUTHORIZEDADD-ON</v>
      </c>
    </row>
    <row r="270" spans="1:22" ht="27" thickBot="1">
      <c r="A270" s="10" t="s">
        <v>21</v>
      </c>
      <c r="B270" s="10" t="s">
        <v>22</v>
      </c>
      <c r="C270" s="10" t="s">
        <v>593</v>
      </c>
      <c r="D270" s="10" t="s">
        <v>594</v>
      </c>
      <c r="E270" s="10" t="s">
        <v>595</v>
      </c>
      <c r="F270" s="10" t="s">
        <v>596</v>
      </c>
      <c r="G270" s="11">
        <v>1410</v>
      </c>
      <c r="H270" s="163" t="s">
        <v>612</v>
      </c>
      <c r="I270" s="166" t="s">
        <v>613</v>
      </c>
      <c r="J270" s="163" t="s">
        <v>605</v>
      </c>
      <c r="K270" s="10" t="s">
        <v>40</v>
      </c>
      <c r="L270" s="10">
        <v>5</v>
      </c>
      <c r="M270" s="10">
        <f t="shared" si="15"/>
        <v>5</v>
      </c>
      <c r="N270" s="10">
        <v>15</v>
      </c>
      <c r="O270" s="12">
        <v>1</v>
      </c>
      <c r="P270" s="11">
        <v>6570</v>
      </c>
      <c r="Q270" s="10" t="s">
        <v>48</v>
      </c>
      <c r="R270" s="4" t="s">
        <v>1281</v>
      </c>
      <c r="S270" s="4" t="s">
        <v>1279</v>
      </c>
      <c r="T270" s="4" t="s">
        <v>19</v>
      </c>
      <c r="U270" s="4" t="s">
        <v>507</v>
      </c>
      <c r="V270" s="4" t="str">
        <f t="shared" si="16"/>
        <v>NUCLEAR POWERINDUSTRY SOLUTIONAUTHORIZEDADD-ON</v>
      </c>
    </row>
    <row r="271" spans="1:22" ht="29.25" customHeight="1" thickBot="1">
      <c r="A271" s="10" t="s">
        <v>21</v>
      </c>
      <c r="B271" s="10" t="s">
        <v>22</v>
      </c>
      <c r="C271" s="10" t="s">
        <v>593</v>
      </c>
      <c r="D271" s="10" t="s">
        <v>594</v>
      </c>
      <c r="E271" s="10" t="s">
        <v>595</v>
      </c>
      <c r="F271" s="10" t="s">
        <v>596</v>
      </c>
      <c r="G271" s="11">
        <v>1320</v>
      </c>
      <c r="H271" s="163" t="s">
        <v>614</v>
      </c>
      <c r="I271" s="158" t="s">
        <v>615</v>
      </c>
      <c r="J271" s="163" t="s">
        <v>611</v>
      </c>
      <c r="K271" s="10" t="s">
        <v>40</v>
      </c>
      <c r="L271" s="10">
        <v>5</v>
      </c>
      <c r="M271" s="10">
        <f t="shared" si="15"/>
        <v>5</v>
      </c>
      <c r="N271" s="10">
        <v>15</v>
      </c>
      <c r="O271" s="12">
        <v>1</v>
      </c>
      <c r="P271" s="11">
        <v>6570</v>
      </c>
      <c r="Q271" s="10" t="s">
        <v>31</v>
      </c>
      <c r="R271" s="4" t="s">
        <v>1281</v>
      </c>
      <c r="S271" s="4" t="s">
        <v>1279</v>
      </c>
      <c r="T271" s="4" t="s">
        <v>19</v>
      </c>
      <c r="U271" s="4" t="s">
        <v>507</v>
      </c>
      <c r="V271" s="4" t="str">
        <f t="shared" si="16"/>
        <v>NUCLEAR POWERINDUSTRY SOLUTIONAUTHORIZEDADD-ON</v>
      </c>
    </row>
    <row r="272" spans="1:22" ht="15" thickBot="1">
      <c r="A272" s="10" t="s">
        <v>21</v>
      </c>
      <c r="B272" s="10" t="s">
        <v>22</v>
      </c>
      <c r="C272" s="10" t="s">
        <v>593</v>
      </c>
      <c r="D272" s="10" t="s">
        <v>594</v>
      </c>
      <c r="E272" s="10" t="s">
        <v>595</v>
      </c>
      <c r="F272" s="10" t="s">
        <v>596</v>
      </c>
      <c r="G272" s="11">
        <v>6570</v>
      </c>
      <c r="H272" s="163" t="s">
        <v>611</v>
      </c>
      <c r="I272" s="158" t="s">
        <v>616</v>
      </c>
      <c r="J272" s="163" t="s">
        <v>611</v>
      </c>
      <c r="K272" s="10" t="s">
        <v>40</v>
      </c>
      <c r="L272" s="10">
        <v>5</v>
      </c>
      <c r="M272" s="10">
        <f t="shared" si="15"/>
        <v>5</v>
      </c>
      <c r="N272" s="10">
        <v>15</v>
      </c>
      <c r="O272" s="12">
        <v>1</v>
      </c>
      <c r="P272" s="11">
        <v>6570</v>
      </c>
      <c r="Q272" s="10" t="s">
        <v>33</v>
      </c>
      <c r="R272" s="4" t="s">
        <v>1281</v>
      </c>
      <c r="S272" s="4" t="s">
        <v>1279</v>
      </c>
      <c r="T272" s="4" t="s">
        <v>19</v>
      </c>
      <c r="U272" s="4" t="s">
        <v>507</v>
      </c>
      <c r="V272" s="4" t="str">
        <f t="shared" si="16"/>
        <v>NUCLEAR POWERINDUSTRY SOLUTIONAUTHORIZEDADD-ON</v>
      </c>
    </row>
    <row r="273" spans="1:22" ht="29.25" customHeight="1" thickBot="1">
      <c r="A273" s="10" t="s">
        <v>21</v>
      </c>
      <c r="B273" s="10" t="s">
        <v>22</v>
      </c>
      <c r="C273" s="10" t="s">
        <v>593</v>
      </c>
      <c r="D273" s="10" t="s">
        <v>594</v>
      </c>
      <c r="E273" s="10" t="s">
        <v>595</v>
      </c>
      <c r="F273" s="10" t="s">
        <v>596</v>
      </c>
      <c r="G273" s="11">
        <v>3940</v>
      </c>
      <c r="H273" s="163" t="s">
        <v>617</v>
      </c>
      <c r="I273" s="158" t="s">
        <v>618</v>
      </c>
      <c r="J273" s="163" t="s">
        <v>611</v>
      </c>
      <c r="K273" s="10" t="s">
        <v>40</v>
      </c>
      <c r="L273" s="10">
        <v>5</v>
      </c>
      <c r="M273" s="10">
        <f t="shared" si="15"/>
        <v>5</v>
      </c>
      <c r="N273" s="10">
        <v>15</v>
      </c>
      <c r="O273" s="17">
        <v>1</v>
      </c>
      <c r="P273" s="11">
        <v>6570</v>
      </c>
      <c r="Q273" s="10" t="s">
        <v>36</v>
      </c>
      <c r="R273" s="4" t="s">
        <v>1281</v>
      </c>
      <c r="S273" s="4" t="s">
        <v>1279</v>
      </c>
      <c r="T273" s="4" t="s">
        <v>19</v>
      </c>
      <c r="U273" s="4" t="s">
        <v>507</v>
      </c>
      <c r="V273" s="4" t="str">
        <f t="shared" si="16"/>
        <v>NUCLEAR POWERINDUSTRY SOLUTIONAUTHORIZEDADD-ON</v>
      </c>
    </row>
    <row r="274" spans="1:22" ht="15" thickBot="1">
      <c r="A274" s="10" t="s">
        <v>21</v>
      </c>
      <c r="B274" s="10" t="s">
        <v>22</v>
      </c>
      <c r="C274" s="10" t="s">
        <v>593</v>
      </c>
      <c r="D274" s="10" t="s">
        <v>594</v>
      </c>
      <c r="E274" s="10" t="s">
        <v>595</v>
      </c>
      <c r="F274" s="10" t="s">
        <v>596</v>
      </c>
      <c r="G274" s="11">
        <v>2680</v>
      </c>
      <c r="H274" s="163" t="s">
        <v>619</v>
      </c>
      <c r="I274" s="166" t="s">
        <v>620</v>
      </c>
      <c r="J274" s="163" t="s">
        <v>621</v>
      </c>
      <c r="K274" s="10" t="s">
        <v>30</v>
      </c>
      <c r="L274" s="10">
        <v>15</v>
      </c>
      <c r="M274" s="10">
        <f t="shared" si="15"/>
        <v>5</v>
      </c>
      <c r="N274" s="10">
        <v>15</v>
      </c>
      <c r="O274" s="17">
        <v>5</v>
      </c>
      <c r="P274" s="11">
        <v>7660</v>
      </c>
      <c r="Q274" s="10" t="s">
        <v>48</v>
      </c>
      <c r="R274" s="4" t="s">
        <v>1281</v>
      </c>
      <c r="S274" s="4" t="s">
        <v>1279</v>
      </c>
      <c r="T274" s="4" t="s">
        <v>19</v>
      </c>
      <c r="U274" s="4" t="str">
        <f t="shared" ref="U274:U289" si="17">IF(ISNUMBER(SEARCH("ADD-ON",$I274)),"ADD-ON","NOT AN ADD-ON")</f>
        <v>NOT AN ADD-ON</v>
      </c>
      <c r="V274" s="4" t="str">
        <f t="shared" si="16"/>
        <v>NUCLEAR POWERINDUSTRY SOLUTIONAUTHORIZEDNOT AN ADD-ON</v>
      </c>
    </row>
    <row r="275" spans="1:22" ht="15" thickBot="1">
      <c r="A275" s="10" t="s">
        <v>21</v>
      </c>
      <c r="B275" s="10" t="s">
        <v>22</v>
      </c>
      <c r="C275" s="10" t="s">
        <v>593</v>
      </c>
      <c r="D275" s="10" t="s">
        <v>594</v>
      </c>
      <c r="E275" s="10" t="s">
        <v>595</v>
      </c>
      <c r="F275" s="10" t="s">
        <v>596</v>
      </c>
      <c r="G275" s="11">
        <v>5470</v>
      </c>
      <c r="H275" s="163" t="s">
        <v>622</v>
      </c>
      <c r="I275" s="166" t="s">
        <v>623</v>
      </c>
      <c r="J275" s="163" t="s">
        <v>621</v>
      </c>
      <c r="K275" s="10" t="s">
        <v>30</v>
      </c>
      <c r="L275" s="10">
        <v>15</v>
      </c>
      <c r="M275" s="10">
        <f t="shared" si="15"/>
        <v>5</v>
      </c>
      <c r="N275" s="10">
        <v>15</v>
      </c>
      <c r="O275" s="17">
        <v>5</v>
      </c>
      <c r="P275" s="11">
        <v>7660</v>
      </c>
      <c r="Q275" s="10" t="s">
        <v>48</v>
      </c>
      <c r="R275" s="4" t="s">
        <v>1281</v>
      </c>
      <c r="S275" s="4" t="s">
        <v>1279</v>
      </c>
      <c r="T275" s="4" t="s">
        <v>19</v>
      </c>
      <c r="U275" s="4" t="str">
        <f t="shared" si="17"/>
        <v>NOT AN ADD-ON</v>
      </c>
      <c r="V275" s="4" t="str">
        <f t="shared" si="16"/>
        <v>NUCLEAR POWERINDUSTRY SOLUTIONAUTHORIZEDNOT AN ADD-ON</v>
      </c>
    </row>
    <row r="276" spans="1:22" ht="15" thickBot="1">
      <c r="A276" s="10" t="s">
        <v>21</v>
      </c>
      <c r="B276" s="10" t="s">
        <v>22</v>
      </c>
      <c r="C276" s="10" t="s">
        <v>593</v>
      </c>
      <c r="D276" s="10" t="s">
        <v>594</v>
      </c>
      <c r="E276" s="10" t="s">
        <v>595</v>
      </c>
      <c r="F276" s="10" t="s">
        <v>596</v>
      </c>
      <c r="G276" s="11">
        <v>4900</v>
      </c>
      <c r="H276" s="163" t="s">
        <v>624</v>
      </c>
      <c r="I276" s="166" t="s">
        <v>625</v>
      </c>
      <c r="J276" s="163" t="s">
        <v>621</v>
      </c>
      <c r="K276" s="10" t="s">
        <v>30</v>
      </c>
      <c r="L276" s="10">
        <v>15</v>
      </c>
      <c r="M276" s="10">
        <f t="shared" si="15"/>
        <v>5</v>
      </c>
      <c r="N276" s="10">
        <v>15</v>
      </c>
      <c r="O276" s="12">
        <v>5</v>
      </c>
      <c r="P276" s="11">
        <v>7660</v>
      </c>
      <c r="Q276" s="10" t="s">
        <v>48</v>
      </c>
      <c r="R276" s="4" t="s">
        <v>1281</v>
      </c>
      <c r="S276" s="4" t="s">
        <v>1279</v>
      </c>
      <c r="T276" s="4" t="s">
        <v>19</v>
      </c>
      <c r="U276" s="4" t="str">
        <f t="shared" si="17"/>
        <v>NOT AN ADD-ON</v>
      </c>
      <c r="V276" s="4" t="str">
        <f t="shared" si="16"/>
        <v>NUCLEAR POWERINDUSTRY SOLUTIONAUTHORIZEDNOT AN ADD-ON</v>
      </c>
    </row>
    <row r="277" spans="1:22" ht="15" thickBot="1">
      <c r="A277" s="10" t="s">
        <v>21</v>
      </c>
      <c r="B277" s="10" t="s">
        <v>22</v>
      </c>
      <c r="C277" s="10" t="s">
        <v>593</v>
      </c>
      <c r="D277" s="10" t="s">
        <v>594</v>
      </c>
      <c r="E277" s="10" t="s">
        <v>595</v>
      </c>
      <c r="F277" s="10" t="s">
        <v>596</v>
      </c>
      <c r="G277" s="11">
        <v>1520</v>
      </c>
      <c r="H277" s="163" t="s">
        <v>626</v>
      </c>
      <c r="I277" s="158" t="s">
        <v>627</v>
      </c>
      <c r="J277" s="163" t="s">
        <v>621</v>
      </c>
      <c r="K277" s="10" t="s">
        <v>30</v>
      </c>
      <c r="L277" s="10">
        <v>15</v>
      </c>
      <c r="M277" s="10">
        <f t="shared" si="15"/>
        <v>5</v>
      </c>
      <c r="N277" s="10">
        <v>15</v>
      </c>
      <c r="O277" s="12">
        <v>5</v>
      </c>
      <c r="P277" s="11">
        <v>7660</v>
      </c>
      <c r="Q277" s="10" t="s">
        <v>31</v>
      </c>
      <c r="R277" s="4" t="s">
        <v>1281</v>
      </c>
      <c r="S277" s="4" t="s">
        <v>1279</v>
      </c>
      <c r="T277" s="4" t="s">
        <v>19</v>
      </c>
      <c r="U277" s="4" t="str">
        <f t="shared" si="17"/>
        <v>NOT AN ADD-ON</v>
      </c>
      <c r="V277" s="4" t="str">
        <f t="shared" si="16"/>
        <v>NUCLEAR POWERINDUSTRY SOLUTIONAUTHORIZEDNOT AN ADD-ON</v>
      </c>
    </row>
    <row r="278" spans="1:22" ht="15" thickBot="1">
      <c r="A278" s="10" t="s">
        <v>21</v>
      </c>
      <c r="B278" s="10" t="s">
        <v>22</v>
      </c>
      <c r="C278" s="10" t="s">
        <v>593</v>
      </c>
      <c r="D278" s="10" t="s">
        <v>594</v>
      </c>
      <c r="E278" s="10" t="s">
        <v>595</v>
      </c>
      <c r="F278" s="10" t="s">
        <v>596</v>
      </c>
      <c r="G278" s="11">
        <v>7660</v>
      </c>
      <c r="H278" s="163" t="s">
        <v>621</v>
      </c>
      <c r="I278" s="158" t="s">
        <v>628</v>
      </c>
      <c r="J278" s="163" t="s">
        <v>621</v>
      </c>
      <c r="K278" s="10" t="s">
        <v>30</v>
      </c>
      <c r="L278" s="10">
        <v>15</v>
      </c>
      <c r="M278" s="10">
        <f t="shared" si="15"/>
        <v>5</v>
      </c>
      <c r="N278" s="10">
        <v>15</v>
      </c>
      <c r="O278" s="12">
        <v>5</v>
      </c>
      <c r="P278" s="11">
        <v>7660</v>
      </c>
      <c r="Q278" s="10" t="s">
        <v>33</v>
      </c>
      <c r="R278" s="4" t="s">
        <v>1281</v>
      </c>
      <c r="S278" s="4" t="s">
        <v>1279</v>
      </c>
      <c r="T278" s="4" t="s">
        <v>19</v>
      </c>
      <c r="U278" s="4" t="str">
        <f t="shared" si="17"/>
        <v>NOT AN ADD-ON</v>
      </c>
      <c r="V278" s="4" t="str">
        <f t="shared" si="16"/>
        <v>NUCLEAR POWERINDUSTRY SOLUTIONAUTHORIZEDNOT AN ADD-ON</v>
      </c>
    </row>
    <row r="279" spans="1:22" ht="15" thickBot="1">
      <c r="A279" s="10" t="s">
        <v>21</v>
      </c>
      <c r="B279" s="10" t="s">
        <v>22</v>
      </c>
      <c r="C279" s="10" t="s">
        <v>593</v>
      </c>
      <c r="D279" s="10" t="s">
        <v>594</v>
      </c>
      <c r="E279" s="10" t="s">
        <v>595</v>
      </c>
      <c r="F279" s="10" t="s">
        <v>596</v>
      </c>
      <c r="G279" s="11">
        <v>4600</v>
      </c>
      <c r="H279" s="163" t="s">
        <v>629</v>
      </c>
      <c r="I279" s="158" t="s">
        <v>630</v>
      </c>
      <c r="J279" s="163" t="s">
        <v>621</v>
      </c>
      <c r="K279" s="10" t="s">
        <v>30</v>
      </c>
      <c r="L279" s="10">
        <v>15</v>
      </c>
      <c r="M279" s="10">
        <f t="shared" si="15"/>
        <v>5</v>
      </c>
      <c r="N279" s="10">
        <v>15</v>
      </c>
      <c r="O279" s="12">
        <v>5</v>
      </c>
      <c r="P279" s="11">
        <v>7660</v>
      </c>
      <c r="Q279" s="10" t="s">
        <v>36</v>
      </c>
      <c r="R279" s="4" t="s">
        <v>1281</v>
      </c>
      <c r="S279" s="4" t="s">
        <v>1279</v>
      </c>
      <c r="T279" s="4" t="s">
        <v>19</v>
      </c>
      <c r="U279" s="4" t="str">
        <f t="shared" si="17"/>
        <v>NOT AN ADD-ON</v>
      </c>
      <c r="V279" s="4" t="str">
        <f t="shared" si="16"/>
        <v>NUCLEAR POWERINDUSTRY SOLUTIONAUTHORIZEDNOT AN ADD-ON</v>
      </c>
    </row>
    <row r="280" spans="1:22" ht="15" thickBot="1">
      <c r="A280" s="10" t="s">
        <v>21</v>
      </c>
      <c r="B280" s="10" t="s">
        <v>22</v>
      </c>
      <c r="C280" s="10" t="s">
        <v>593</v>
      </c>
      <c r="D280" s="10" t="s">
        <v>594</v>
      </c>
      <c r="E280" s="10" t="s">
        <v>595</v>
      </c>
      <c r="F280" s="10" t="s">
        <v>596</v>
      </c>
      <c r="G280" s="11">
        <v>4680</v>
      </c>
      <c r="H280" s="163" t="s">
        <v>631</v>
      </c>
      <c r="I280" s="158" t="s">
        <v>632</v>
      </c>
      <c r="J280" s="163" t="s">
        <v>633</v>
      </c>
      <c r="K280" s="10" t="s">
        <v>40</v>
      </c>
      <c r="L280" s="10">
        <v>15</v>
      </c>
      <c r="M280" s="10">
        <f t="shared" si="15"/>
        <v>15</v>
      </c>
      <c r="N280" s="10">
        <v>15</v>
      </c>
      <c r="O280" s="12">
        <v>1</v>
      </c>
      <c r="P280" s="11">
        <v>23400</v>
      </c>
      <c r="Q280" s="10" t="s">
        <v>31</v>
      </c>
      <c r="R280" s="4" t="s">
        <v>1281</v>
      </c>
      <c r="S280" s="4" t="s">
        <v>1279</v>
      </c>
      <c r="T280" s="4" t="s">
        <v>19</v>
      </c>
      <c r="U280" s="4" t="str">
        <f t="shared" si="17"/>
        <v>NOT AN ADD-ON</v>
      </c>
      <c r="V280" s="4" t="str">
        <f t="shared" si="16"/>
        <v>NUCLEAR POWERINDUSTRY SOLUTIONAUTHORIZEDNOT AN ADD-ON</v>
      </c>
    </row>
    <row r="281" spans="1:22" ht="15" thickBot="1">
      <c r="A281" s="10" t="s">
        <v>21</v>
      </c>
      <c r="B281" s="10" t="s">
        <v>22</v>
      </c>
      <c r="C281" s="10" t="s">
        <v>593</v>
      </c>
      <c r="D281" s="10" t="s">
        <v>594</v>
      </c>
      <c r="E281" s="10" t="s">
        <v>595</v>
      </c>
      <c r="F281" s="10" t="s">
        <v>596</v>
      </c>
      <c r="G281" s="11">
        <v>23400</v>
      </c>
      <c r="H281" s="163" t="s">
        <v>633</v>
      </c>
      <c r="I281" s="158" t="s">
        <v>634</v>
      </c>
      <c r="J281" s="163" t="s">
        <v>633</v>
      </c>
      <c r="K281" s="10" t="s">
        <v>40</v>
      </c>
      <c r="L281" s="10">
        <v>15</v>
      </c>
      <c r="M281" s="10">
        <f t="shared" si="15"/>
        <v>15</v>
      </c>
      <c r="N281" s="10">
        <v>15</v>
      </c>
      <c r="O281" s="12">
        <v>1</v>
      </c>
      <c r="P281" s="11">
        <v>23400</v>
      </c>
      <c r="Q281" s="10" t="s">
        <v>33</v>
      </c>
      <c r="R281" s="4" t="s">
        <v>1281</v>
      </c>
      <c r="S281" s="4" t="s">
        <v>1279</v>
      </c>
      <c r="T281" s="4" t="s">
        <v>19</v>
      </c>
      <c r="U281" s="4" t="str">
        <f t="shared" si="17"/>
        <v>NOT AN ADD-ON</v>
      </c>
      <c r="V281" s="4" t="str">
        <f t="shared" si="16"/>
        <v>NUCLEAR POWERINDUSTRY SOLUTIONAUTHORIZEDNOT AN ADD-ON</v>
      </c>
    </row>
    <row r="282" spans="1:22" ht="29.25" customHeight="1" thickBot="1">
      <c r="A282" s="10" t="s">
        <v>21</v>
      </c>
      <c r="B282" s="10" t="s">
        <v>22</v>
      </c>
      <c r="C282" s="10" t="s">
        <v>593</v>
      </c>
      <c r="D282" s="10" t="s">
        <v>594</v>
      </c>
      <c r="E282" s="10" t="s">
        <v>595</v>
      </c>
      <c r="F282" s="10" t="s">
        <v>596</v>
      </c>
      <c r="G282" s="11">
        <v>14000</v>
      </c>
      <c r="H282" s="163" t="s">
        <v>635</v>
      </c>
      <c r="I282" s="158" t="s">
        <v>636</v>
      </c>
      <c r="J282" s="163" t="s">
        <v>633</v>
      </c>
      <c r="K282" s="10" t="s">
        <v>40</v>
      </c>
      <c r="L282" s="10">
        <v>15</v>
      </c>
      <c r="M282" s="10">
        <f t="shared" si="15"/>
        <v>15</v>
      </c>
      <c r="N282" s="10">
        <v>15</v>
      </c>
      <c r="O282" s="12">
        <v>1</v>
      </c>
      <c r="P282" s="11">
        <v>23400</v>
      </c>
      <c r="Q282" s="10" t="s">
        <v>36</v>
      </c>
      <c r="R282" s="4" t="s">
        <v>1281</v>
      </c>
      <c r="S282" s="4" t="s">
        <v>1279</v>
      </c>
      <c r="T282" s="4" t="s">
        <v>19</v>
      </c>
      <c r="U282" s="4" t="str">
        <f t="shared" si="17"/>
        <v>NOT AN ADD-ON</v>
      </c>
      <c r="V282" s="4" t="str">
        <f t="shared" si="16"/>
        <v>NUCLEAR POWERINDUSTRY SOLUTIONAUTHORIZEDNOT AN ADD-ON</v>
      </c>
    </row>
    <row r="283" spans="1:22" ht="27" thickBot="1">
      <c r="A283" s="10" t="s">
        <v>21</v>
      </c>
      <c r="B283" s="10" t="s">
        <v>22</v>
      </c>
      <c r="C283" s="10" t="s">
        <v>593</v>
      </c>
      <c r="D283" s="10" t="s">
        <v>594</v>
      </c>
      <c r="E283" s="10" t="s">
        <v>595</v>
      </c>
      <c r="F283" s="10" t="s">
        <v>596</v>
      </c>
      <c r="G283" s="11">
        <v>5030</v>
      </c>
      <c r="H283" s="163" t="s">
        <v>637</v>
      </c>
      <c r="I283" s="166" t="s">
        <v>638</v>
      </c>
      <c r="J283" s="163" t="s">
        <v>639</v>
      </c>
      <c r="K283" s="10" t="s">
        <v>40</v>
      </c>
      <c r="L283" s="10">
        <v>15</v>
      </c>
      <c r="M283" s="10">
        <f t="shared" si="15"/>
        <v>15</v>
      </c>
      <c r="N283" s="10">
        <v>15</v>
      </c>
      <c r="O283" s="12">
        <v>1</v>
      </c>
      <c r="P283" s="11">
        <v>23400</v>
      </c>
      <c r="Q283" s="10" t="s">
        <v>48</v>
      </c>
      <c r="R283" s="4" t="s">
        <v>1281</v>
      </c>
      <c r="S283" s="4" t="s">
        <v>1279</v>
      </c>
      <c r="T283" s="4" t="s">
        <v>19</v>
      </c>
      <c r="U283" s="4" t="str">
        <f t="shared" si="17"/>
        <v>NOT AN ADD-ON</v>
      </c>
      <c r="V283" s="4" t="str">
        <f t="shared" si="16"/>
        <v>NUCLEAR POWERINDUSTRY SOLUTIONAUTHORIZEDNOT AN ADD-ON</v>
      </c>
    </row>
    <row r="284" spans="1:22" ht="27" thickBot="1">
      <c r="A284" s="10" t="s">
        <v>21</v>
      </c>
      <c r="B284" s="10" t="s">
        <v>22</v>
      </c>
      <c r="C284" s="10" t="s">
        <v>593</v>
      </c>
      <c r="D284" s="10" t="s">
        <v>594</v>
      </c>
      <c r="E284" s="10" t="s">
        <v>595</v>
      </c>
      <c r="F284" s="10" t="s">
        <v>596</v>
      </c>
      <c r="G284" s="11">
        <v>8260</v>
      </c>
      <c r="H284" s="163" t="s">
        <v>640</v>
      </c>
      <c r="I284" s="166" t="s">
        <v>641</v>
      </c>
      <c r="J284" s="163" t="s">
        <v>639</v>
      </c>
      <c r="K284" s="10" t="s">
        <v>40</v>
      </c>
      <c r="L284" s="10">
        <v>15</v>
      </c>
      <c r="M284" s="10">
        <f t="shared" si="15"/>
        <v>15</v>
      </c>
      <c r="N284" s="10">
        <v>15</v>
      </c>
      <c r="O284" s="17">
        <v>1</v>
      </c>
      <c r="P284" s="11">
        <v>23400</v>
      </c>
      <c r="Q284" s="10" t="s">
        <v>48</v>
      </c>
      <c r="R284" s="4" t="s">
        <v>1281</v>
      </c>
      <c r="S284" s="4" t="s">
        <v>1279</v>
      </c>
      <c r="T284" s="4" t="s">
        <v>19</v>
      </c>
      <c r="U284" s="4" t="str">
        <f t="shared" si="17"/>
        <v>NOT AN ADD-ON</v>
      </c>
      <c r="V284" s="4" t="str">
        <f t="shared" si="16"/>
        <v>NUCLEAR POWERINDUSTRY SOLUTIONAUTHORIZEDNOT AN ADD-ON</v>
      </c>
    </row>
    <row r="285" spans="1:22" ht="15" thickBot="1">
      <c r="A285" s="10" t="s">
        <v>21</v>
      </c>
      <c r="B285" s="10" t="s">
        <v>22</v>
      </c>
      <c r="C285" s="10" t="s">
        <v>593</v>
      </c>
      <c r="D285" s="10" t="s">
        <v>594</v>
      </c>
      <c r="E285" s="10" t="s">
        <v>595</v>
      </c>
      <c r="F285" s="10" t="s">
        <v>596</v>
      </c>
      <c r="G285" s="11">
        <v>5030</v>
      </c>
      <c r="H285" s="163" t="s">
        <v>642</v>
      </c>
      <c r="I285" s="166" t="s">
        <v>643</v>
      </c>
      <c r="J285" s="163" t="s">
        <v>633</v>
      </c>
      <c r="K285" s="10" t="s">
        <v>40</v>
      </c>
      <c r="L285" s="10">
        <v>15</v>
      </c>
      <c r="M285" s="10">
        <f t="shared" si="15"/>
        <v>15</v>
      </c>
      <c r="N285" s="10">
        <v>15</v>
      </c>
      <c r="O285" s="17">
        <v>1</v>
      </c>
      <c r="P285" s="11">
        <v>23400</v>
      </c>
      <c r="Q285" s="10" t="s">
        <v>48</v>
      </c>
      <c r="R285" s="4" t="s">
        <v>1281</v>
      </c>
      <c r="S285" s="4" t="s">
        <v>1279</v>
      </c>
      <c r="T285" s="4" t="s">
        <v>19</v>
      </c>
      <c r="U285" s="4" t="str">
        <f t="shared" si="17"/>
        <v>NOT AN ADD-ON</v>
      </c>
      <c r="V285" s="4" t="str">
        <f t="shared" si="16"/>
        <v>NUCLEAR POWERINDUSTRY SOLUTIONAUTHORIZEDNOT AN ADD-ON</v>
      </c>
    </row>
    <row r="286" spans="1:22" ht="15" thickBot="1">
      <c r="A286" s="10" t="s">
        <v>21</v>
      </c>
      <c r="B286" s="10" t="s">
        <v>22</v>
      </c>
      <c r="C286" s="10" t="s">
        <v>593</v>
      </c>
      <c r="D286" s="10" t="s">
        <v>594</v>
      </c>
      <c r="E286" s="10" t="s">
        <v>595</v>
      </c>
      <c r="F286" s="10" t="s">
        <v>596</v>
      </c>
      <c r="G286" s="11">
        <v>8260</v>
      </c>
      <c r="H286" s="163" t="s">
        <v>644</v>
      </c>
      <c r="I286" s="166" t="s">
        <v>645</v>
      </c>
      <c r="J286" s="163" t="s">
        <v>633</v>
      </c>
      <c r="K286" s="10" t="s">
        <v>40</v>
      </c>
      <c r="L286" s="10">
        <v>15</v>
      </c>
      <c r="M286" s="10">
        <f t="shared" si="15"/>
        <v>15</v>
      </c>
      <c r="N286" s="10">
        <v>15</v>
      </c>
      <c r="O286" s="17">
        <v>1</v>
      </c>
      <c r="P286" s="11">
        <v>23400</v>
      </c>
      <c r="Q286" s="10" t="s">
        <v>48</v>
      </c>
      <c r="R286" s="4" t="s">
        <v>1281</v>
      </c>
      <c r="S286" s="4" t="s">
        <v>1279</v>
      </c>
      <c r="T286" s="4" t="s">
        <v>19</v>
      </c>
      <c r="U286" s="4" t="str">
        <f t="shared" si="17"/>
        <v>NOT AN ADD-ON</v>
      </c>
      <c r="V286" s="4" t="str">
        <f t="shared" si="16"/>
        <v>NUCLEAR POWERINDUSTRY SOLUTIONAUTHORIZEDNOT AN ADD-ON</v>
      </c>
    </row>
    <row r="287" spans="1:22" ht="15" thickBot="1">
      <c r="A287" s="10" t="s">
        <v>21</v>
      </c>
      <c r="B287" s="10" t="s">
        <v>22</v>
      </c>
      <c r="C287" s="10" t="s">
        <v>593</v>
      </c>
      <c r="D287" s="10" t="s">
        <v>594</v>
      </c>
      <c r="E287" s="10" t="s">
        <v>595</v>
      </c>
      <c r="F287" s="10" t="s">
        <v>596</v>
      </c>
      <c r="G287" s="11">
        <v>4680</v>
      </c>
      <c r="H287" s="163" t="s">
        <v>646</v>
      </c>
      <c r="I287" s="158" t="s">
        <v>647</v>
      </c>
      <c r="J287" s="163" t="s">
        <v>639</v>
      </c>
      <c r="K287" s="10" t="s">
        <v>40</v>
      </c>
      <c r="L287" s="10">
        <v>15</v>
      </c>
      <c r="M287" s="10">
        <f t="shared" si="15"/>
        <v>15</v>
      </c>
      <c r="N287" s="10">
        <v>15</v>
      </c>
      <c r="O287" s="17">
        <v>1</v>
      </c>
      <c r="P287" s="11">
        <v>23400</v>
      </c>
      <c r="Q287" s="10" t="s">
        <v>31</v>
      </c>
      <c r="R287" s="4" t="s">
        <v>1281</v>
      </c>
      <c r="S287" s="4" t="s">
        <v>1279</v>
      </c>
      <c r="T287" s="4" t="s">
        <v>19</v>
      </c>
      <c r="U287" s="4" t="str">
        <f t="shared" si="17"/>
        <v>NOT AN ADD-ON</v>
      </c>
      <c r="V287" s="4" t="str">
        <f t="shared" si="16"/>
        <v>NUCLEAR POWERINDUSTRY SOLUTIONAUTHORIZEDNOT AN ADD-ON</v>
      </c>
    </row>
    <row r="288" spans="1:22" ht="15" thickBot="1">
      <c r="A288" s="10" t="s">
        <v>21</v>
      </c>
      <c r="B288" s="10" t="s">
        <v>22</v>
      </c>
      <c r="C288" s="10" t="s">
        <v>593</v>
      </c>
      <c r="D288" s="10" t="s">
        <v>594</v>
      </c>
      <c r="E288" s="10" t="s">
        <v>595</v>
      </c>
      <c r="F288" s="10" t="s">
        <v>596</v>
      </c>
      <c r="G288" s="11">
        <v>23400</v>
      </c>
      <c r="H288" s="163" t="s">
        <v>639</v>
      </c>
      <c r="I288" s="158" t="s">
        <v>648</v>
      </c>
      <c r="J288" s="163" t="s">
        <v>639</v>
      </c>
      <c r="K288" s="10" t="s">
        <v>40</v>
      </c>
      <c r="L288" s="10">
        <v>15</v>
      </c>
      <c r="M288" s="10">
        <f t="shared" si="15"/>
        <v>15</v>
      </c>
      <c r="N288" s="10">
        <v>15</v>
      </c>
      <c r="O288" s="17">
        <v>1</v>
      </c>
      <c r="P288" s="11">
        <v>23400</v>
      </c>
      <c r="Q288" s="10" t="s">
        <v>33</v>
      </c>
      <c r="R288" s="4" t="s">
        <v>1281</v>
      </c>
      <c r="S288" s="4" t="s">
        <v>1279</v>
      </c>
      <c r="T288" s="4" t="s">
        <v>19</v>
      </c>
      <c r="U288" s="4" t="str">
        <f t="shared" si="17"/>
        <v>NOT AN ADD-ON</v>
      </c>
      <c r="V288" s="4" t="str">
        <f t="shared" si="16"/>
        <v>NUCLEAR POWERINDUSTRY SOLUTIONAUTHORIZEDNOT AN ADD-ON</v>
      </c>
    </row>
    <row r="289" spans="1:22" ht="15" thickBot="1">
      <c r="A289" s="10" t="s">
        <v>21</v>
      </c>
      <c r="B289" s="10" t="s">
        <v>22</v>
      </c>
      <c r="C289" s="10" t="s">
        <v>593</v>
      </c>
      <c r="D289" s="10" t="s">
        <v>594</v>
      </c>
      <c r="E289" s="10" t="s">
        <v>595</v>
      </c>
      <c r="F289" s="10" t="s">
        <v>596</v>
      </c>
      <c r="G289" s="11">
        <v>14000</v>
      </c>
      <c r="H289" s="163" t="s">
        <v>649</v>
      </c>
      <c r="I289" s="158" t="s">
        <v>650</v>
      </c>
      <c r="J289" s="163" t="s">
        <v>639</v>
      </c>
      <c r="K289" s="10" t="s">
        <v>40</v>
      </c>
      <c r="L289" s="10">
        <v>15</v>
      </c>
      <c r="M289" s="10">
        <f t="shared" si="15"/>
        <v>15</v>
      </c>
      <c r="N289" s="10">
        <v>15</v>
      </c>
      <c r="O289" s="17">
        <v>1</v>
      </c>
      <c r="P289" s="11">
        <v>23400</v>
      </c>
      <c r="Q289" s="10" t="s">
        <v>36</v>
      </c>
      <c r="R289" s="4" t="s">
        <v>1281</v>
      </c>
      <c r="S289" s="4" t="s">
        <v>1279</v>
      </c>
      <c r="T289" s="4" t="s">
        <v>19</v>
      </c>
      <c r="U289" s="4" t="str">
        <f t="shared" si="17"/>
        <v>NOT AN ADD-ON</v>
      </c>
      <c r="V289" s="4" t="str">
        <f t="shared" si="16"/>
        <v>NUCLEAR POWERINDUSTRY SOLUTIONAUTHORIZEDNOT AN ADD-ON</v>
      </c>
    </row>
    <row r="290" spans="1:22" ht="29.25" customHeight="1" thickBot="1">
      <c r="A290" s="10" t="s">
        <v>21</v>
      </c>
      <c r="B290" s="10" t="s">
        <v>22</v>
      </c>
      <c r="C290" s="10" t="s">
        <v>593</v>
      </c>
      <c r="D290" s="10" t="s">
        <v>594</v>
      </c>
      <c r="E290" s="10" t="s">
        <v>595</v>
      </c>
      <c r="F290" s="10" t="s">
        <v>596</v>
      </c>
      <c r="G290" s="11">
        <v>431</v>
      </c>
      <c r="H290" s="163" t="s">
        <v>651</v>
      </c>
      <c r="I290" s="158" t="s">
        <v>652</v>
      </c>
      <c r="J290" s="163" t="s">
        <v>653</v>
      </c>
      <c r="K290" s="10" t="s">
        <v>30</v>
      </c>
      <c r="L290" s="10">
        <v>5</v>
      </c>
      <c r="M290" s="10">
        <f t="shared" si="15"/>
        <v>1.67</v>
      </c>
      <c r="N290" s="10">
        <v>15</v>
      </c>
      <c r="O290" s="17">
        <v>5</v>
      </c>
      <c r="P290" s="11">
        <v>2150</v>
      </c>
      <c r="Q290" s="10" t="s">
        <v>31</v>
      </c>
      <c r="R290" s="4" t="s">
        <v>1281</v>
      </c>
      <c r="S290" s="4" t="s">
        <v>1279</v>
      </c>
      <c r="T290" s="4" t="s">
        <v>19</v>
      </c>
      <c r="U290" s="4" t="s">
        <v>507</v>
      </c>
      <c r="V290" s="4" t="str">
        <f t="shared" si="16"/>
        <v>NUCLEAR POWERINDUSTRY SOLUTIONAUTHORIZEDADD-ON</v>
      </c>
    </row>
    <row r="291" spans="1:22" ht="29.25" customHeight="1" thickBot="1">
      <c r="A291" s="10" t="s">
        <v>21</v>
      </c>
      <c r="B291" s="10" t="s">
        <v>22</v>
      </c>
      <c r="C291" s="10" t="s">
        <v>593</v>
      </c>
      <c r="D291" s="10" t="s">
        <v>594</v>
      </c>
      <c r="E291" s="10" t="s">
        <v>595</v>
      </c>
      <c r="F291" s="10" t="s">
        <v>596</v>
      </c>
      <c r="G291" s="11">
        <v>2150</v>
      </c>
      <c r="H291" s="163" t="s">
        <v>653</v>
      </c>
      <c r="I291" s="158" t="s">
        <v>654</v>
      </c>
      <c r="J291" s="163" t="s">
        <v>653</v>
      </c>
      <c r="K291" s="10" t="s">
        <v>30</v>
      </c>
      <c r="L291" s="10">
        <v>5</v>
      </c>
      <c r="M291" s="10">
        <f t="shared" si="15"/>
        <v>1.67</v>
      </c>
      <c r="N291" s="10">
        <v>15</v>
      </c>
      <c r="O291" s="17">
        <v>5</v>
      </c>
      <c r="P291" s="11">
        <v>2150</v>
      </c>
      <c r="Q291" s="10" t="s">
        <v>33</v>
      </c>
      <c r="R291" s="4" t="s">
        <v>1281</v>
      </c>
      <c r="S291" s="4" t="s">
        <v>1279</v>
      </c>
      <c r="T291" s="4" t="s">
        <v>19</v>
      </c>
      <c r="U291" s="4" t="s">
        <v>507</v>
      </c>
      <c r="V291" s="4" t="str">
        <f t="shared" si="16"/>
        <v>NUCLEAR POWERINDUSTRY SOLUTIONAUTHORIZEDADD-ON</v>
      </c>
    </row>
    <row r="292" spans="1:22" ht="15" thickBot="1">
      <c r="A292" s="10" t="s">
        <v>21</v>
      </c>
      <c r="B292" s="10" t="s">
        <v>22</v>
      </c>
      <c r="C292" s="10" t="s">
        <v>593</v>
      </c>
      <c r="D292" s="10" t="s">
        <v>594</v>
      </c>
      <c r="E292" s="10" t="s">
        <v>595</v>
      </c>
      <c r="F292" s="10" t="s">
        <v>596</v>
      </c>
      <c r="G292" s="11">
        <v>1300</v>
      </c>
      <c r="H292" s="163" t="s">
        <v>655</v>
      </c>
      <c r="I292" s="158" t="s">
        <v>656</v>
      </c>
      <c r="J292" s="163" t="s">
        <v>653</v>
      </c>
      <c r="K292" s="10" t="s">
        <v>30</v>
      </c>
      <c r="L292" s="10">
        <v>5</v>
      </c>
      <c r="M292" s="10">
        <f t="shared" si="15"/>
        <v>1.67</v>
      </c>
      <c r="N292" s="10">
        <v>15</v>
      </c>
      <c r="O292" s="12">
        <v>5</v>
      </c>
      <c r="P292" s="11">
        <v>2150</v>
      </c>
      <c r="Q292" s="10" t="s">
        <v>36</v>
      </c>
      <c r="R292" s="4" t="s">
        <v>1281</v>
      </c>
      <c r="S292" s="4" t="s">
        <v>1279</v>
      </c>
      <c r="T292" s="4" t="s">
        <v>19</v>
      </c>
      <c r="U292" s="4" t="s">
        <v>507</v>
      </c>
      <c r="V292" s="4" t="str">
        <f t="shared" si="16"/>
        <v>NUCLEAR POWERINDUSTRY SOLUTIONAUTHORIZEDADD-ON</v>
      </c>
    </row>
    <row r="293" spans="1:22" ht="27" thickBot="1">
      <c r="A293" s="10" t="s">
        <v>21</v>
      </c>
      <c r="B293" s="10" t="s">
        <v>22</v>
      </c>
      <c r="C293" s="10" t="s">
        <v>593</v>
      </c>
      <c r="D293" s="10" t="s">
        <v>594</v>
      </c>
      <c r="E293" s="10" t="s">
        <v>595</v>
      </c>
      <c r="F293" s="10" t="s">
        <v>596</v>
      </c>
      <c r="G293" s="11">
        <v>2680</v>
      </c>
      <c r="H293" s="163" t="s">
        <v>657</v>
      </c>
      <c r="I293" s="166" t="s">
        <v>658</v>
      </c>
      <c r="J293" s="163" t="s">
        <v>659</v>
      </c>
      <c r="K293" s="10" t="s">
        <v>30</v>
      </c>
      <c r="L293" s="10">
        <v>15</v>
      </c>
      <c r="M293" s="10">
        <f t="shared" si="15"/>
        <v>5</v>
      </c>
      <c r="N293" s="10">
        <v>15</v>
      </c>
      <c r="O293" s="12">
        <v>5</v>
      </c>
      <c r="P293" s="11">
        <v>7660</v>
      </c>
      <c r="Q293" s="10" t="s">
        <v>48</v>
      </c>
      <c r="R293" s="4" t="s">
        <v>1281</v>
      </c>
      <c r="S293" s="4" t="s">
        <v>1279</v>
      </c>
      <c r="T293" s="4" t="s">
        <v>19</v>
      </c>
      <c r="U293" s="4" t="str">
        <f t="shared" ref="U293:U306" si="18">IF(ISNUMBER(SEARCH("ADD-ON",$I293)),"ADD-ON","NOT AN ADD-ON")</f>
        <v>NOT AN ADD-ON</v>
      </c>
      <c r="V293" s="4" t="str">
        <f t="shared" si="16"/>
        <v>NUCLEAR POWERINDUSTRY SOLUTIONAUTHORIZEDNOT AN ADD-ON</v>
      </c>
    </row>
    <row r="294" spans="1:22" ht="27" thickBot="1">
      <c r="A294" s="10" t="s">
        <v>21</v>
      </c>
      <c r="B294" s="10" t="s">
        <v>22</v>
      </c>
      <c r="C294" s="10" t="s">
        <v>593</v>
      </c>
      <c r="D294" s="10" t="s">
        <v>594</v>
      </c>
      <c r="E294" s="10" t="s">
        <v>595</v>
      </c>
      <c r="F294" s="10" t="s">
        <v>596</v>
      </c>
      <c r="G294" s="11">
        <v>5470</v>
      </c>
      <c r="H294" s="163" t="s">
        <v>660</v>
      </c>
      <c r="I294" s="166" t="s">
        <v>661</v>
      </c>
      <c r="J294" s="163" t="s">
        <v>659</v>
      </c>
      <c r="K294" s="10" t="s">
        <v>30</v>
      </c>
      <c r="L294" s="10">
        <v>15</v>
      </c>
      <c r="M294" s="10">
        <f t="shared" si="15"/>
        <v>5</v>
      </c>
      <c r="N294" s="10">
        <v>15</v>
      </c>
      <c r="O294" s="12">
        <v>5</v>
      </c>
      <c r="P294" s="11">
        <v>7660</v>
      </c>
      <c r="Q294" s="10" t="s">
        <v>48</v>
      </c>
      <c r="R294" s="4" t="s">
        <v>1281</v>
      </c>
      <c r="S294" s="4" t="s">
        <v>1279</v>
      </c>
      <c r="T294" s="4" t="s">
        <v>19</v>
      </c>
      <c r="U294" s="4" t="str">
        <f t="shared" si="18"/>
        <v>NOT AN ADD-ON</v>
      </c>
      <c r="V294" s="4" t="str">
        <f t="shared" si="16"/>
        <v>NUCLEAR POWERINDUSTRY SOLUTIONAUTHORIZEDNOT AN ADD-ON</v>
      </c>
    </row>
    <row r="295" spans="1:22" ht="27" thickBot="1">
      <c r="A295" s="10" t="s">
        <v>21</v>
      </c>
      <c r="B295" s="10" t="s">
        <v>22</v>
      </c>
      <c r="C295" s="10" t="s">
        <v>593</v>
      </c>
      <c r="D295" s="10" t="s">
        <v>594</v>
      </c>
      <c r="E295" s="10" t="s">
        <v>595</v>
      </c>
      <c r="F295" s="10" t="s">
        <v>596</v>
      </c>
      <c r="G295" s="11">
        <v>4900</v>
      </c>
      <c r="H295" s="163" t="s">
        <v>662</v>
      </c>
      <c r="I295" s="166" t="s">
        <v>663</v>
      </c>
      <c r="J295" s="163" t="s">
        <v>659</v>
      </c>
      <c r="K295" s="10" t="s">
        <v>30</v>
      </c>
      <c r="L295" s="10">
        <v>15</v>
      </c>
      <c r="M295" s="10">
        <f t="shared" si="15"/>
        <v>5</v>
      </c>
      <c r="N295" s="10">
        <v>15</v>
      </c>
      <c r="O295" s="12">
        <v>5</v>
      </c>
      <c r="P295" s="11">
        <v>7660</v>
      </c>
      <c r="Q295" s="10" t="s">
        <v>48</v>
      </c>
      <c r="R295" s="4" t="s">
        <v>1281</v>
      </c>
      <c r="S295" s="4" t="s">
        <v>1279</v>
      </c>
      <c r="T295" s="4" t="s">
        <v>19</v>
      </c>
      <c r="U295" s="4" t="str">
        <f t="shared" si="18"/>
        <v>NOT AN ADD-ON</v>
      </c>
      <c r="V295" s="4" t="str">
        <f t="shared" si="16"/>
        <v>NUCLEAR POWERINDUSTRY SOLUTIONAUTHORIZEDNOT AN ADD-ON</v>
      </c>
    </row>
    <row r="296" spans="1:22" ht="29.25" customHeight="1" thickBot="1">
      <c r="A296" s="10" t="s">
        <v>21</v>
      </c>
      <c r="B296" s="10" t="s">
        <v>22</v>
      </c>
      <c r="C296" s="10" t="s">
        <v>593</v>
      </c>
      <c r="D296" s="10" t="s">
        <v>594</v>
      </c>
      <c r="E296" s="10" t="s">
        <v>595</v>
      </c>
      <c r="F296" s="10" t="s">
        <v>596</v>
      </c>
      <c r="G296" s="11">
        <v>1520</v>
      </c>
      <c r="H296" s="163" t="s">
        <v>664</v>
      </c>
      <c r="I296" s="158" t="s">
        <v>665</v>
      </c>
      <c r="J296" s="163" t="s">
        <v>659</v>
      </c>
      <c r="K296" s="10" t="s">
        <v>30</v>
      </c>
      <c r="L296" s="10">
        <v>15</v>
      </c>
      <c r="M296" s="10">
        <f t="shared" si="15"/>
        <v>5</v>
      </c>
      <c r="N296" s="10">
        <v>15</v>
      </c>
      <c r="O296" s="12">
        <v>5</v>
      </c>
      <c r="P296" s="11">
        <v>7660</v>
      </c>
      <c r="Q296" s="10" t="s">
        <v>31</v>
      </c>
      <c r="R296" s="4" t="s">
        <v>1281</v>
      </c>
      <c r="S296" s="4" t="s">
        <v>1279</v>
      </c>
      <c r="T296" s="4" t="s">
        <v>19</v>
      </c>
      <c r="U296" s="4" t="str">
        <f t="shared" si="18"/>
        <v>NOT AN ADD-ON</v>
      </c>
      <c r="V296" s="4" t="str">
        <f t="shared" si="16"/>
        <v>NUCLEAR POWERINDUSTRY SOLUTIONAUTHORIZEDNOT AN ADD-ON</v>
      </c>
    </row>
    <row r="297" spans="1:22" ht="15" thickBot="1">
      <c r="A297" s="10" t="s">
        <v>21</v>
      </c>
      <c r="B297" s="10" t="s">
        <v>22</v>
      </c>
      <c r="C297" s="10" t="s">
        <v>593</v>
      </c>
      <c r="D297" s="10" t="s">
        <v>594</v>
      </c>
      <c r="E297" s="10" t="s">
        <v>595</v>
      </c>
      <c r="F297" s="10" t="s">
        <v>596</v>
      </c>
      <c r="G297" s="11">
        <v>7660</v>
      </c>
      <c r="H297" s="163" t="s">
        <v>659</v>
      </c>
      <c r="I297" s="158" t="s">
        <v>666</v>
      </c>
      <c r="J297" s="163" t="s">
        <v>659</v>
      </c>
      <c r="K297" s="10" t="s">
        <v>30</v>
      </c>
      <c r="L297" s="10">
        <v>15</v>
      </c>
      <c r="M297" s="10">
        <f t="shared" si="15"/>
        <v>5</v>
      </c>
      <c r="N297" s="10">
        <v>15</v>
      </c>
      <c r="O297" s="12">
        <v>5</v>
      </c>
      <c r="P297" s="11">
        <v>7660</v>
      </c>
      <c r="Q297" s="10" t="s">
        <v>33</v>
      </c>
      <c r="R297" s="4" t="s">
        <v>1281</v>
      </c>
      <c r="S297" s="4" t="s">
        <v>1279</v>
      </c>
      <c r="T297" s="4" t="s">
        <v>19</v>
      </c>
      <c r="U297" s="4" t="str">
        <f t="shared" si="18"/>
        <v>NOT AN ADD-ON</v>
      </c>
      <c r="V297" s="4" t="str">
        <f t="shared" si="16"/>
        <v>NUCLEAR POWERINDUSTRY SOLUTIONAUTHORIZEDNOT AN ADD-ON</v>
      </c>
    </row>
    <row r="298" spans="1:22" ht="15" thickBot="1">
      <c r="A298" s="10" t="s">
        <v>21</v>
      </c>
      <c r="B298" s="10" t="s">
        <v>22</v>
      </c>
      <c r="C298" s="10" t="s">
        <v>593</v>
      </c>
      <c r="D298" s="10" t="s">
        <v>594</v>
      </c>
      <c r="E298" s="10" t="s">
        <v>595</v>
      </c>
      <c r="F298" s="10" t="s">
        <v>596</v>
      </c>
      <c r="G298" s="11">
        <v>4600</v>
      </c>
      <c r="H298" s="163" t="s">
        <v>667</v>
      </c>
      <c r="I298" s="158" t="s">
        <v>668</v>
      </c>
      <c r="J298" s="163" t="s">
        <v>659</v>
      </c>
      <c r="K298" s="10" t="s">
        <v>30</v>
      </c>
      <c r="L298" s="10">
        <v>15</v>
      </c>
      <c r="M298" s="10">
        <f t="shared" si="15"/>
        <v>5</v>
      </c>
      <c r="N298" s="10">
        <v>15</v>
      </c>
      <c r="O298" s="12">
        <v>5</v>
      </c>
      <c r="P298" s="11">
        <v>7660</v>
      </c>
      <c r="Q298" s="10" t="s">
        <v>36</v>
      </c>
      <c r="R298" s="4" t="s">
        <v>1281</v>
      </c>
      <c r="S298" s="4" t="s">
        <v>1279</v>
      </c>
      <c r="T298" s="4" t="s">
        <v>19</v>
      </c>
      <c r="U298" s="4" t="str">
        <f t="shared" si="18"/>
        <v>NOT AN ADD-ON</v>
      </c>
      <c r="V298" s="4" t="str">
        <f t="shared" si="16"/>
        <v>NUCLEAR POWERINDUSTRY SOLUTIONAUTHORIZEDNOT AN ADD-ON</v>
      </c>
    </row>
    <row r="299" spans="1:22" ht="27" thickBot="1">
      <c r="A299" s="10" t="s">
        <v>21</v>
      </c>
      <c r="B299" s="10" t="s">
        <v>22</v>
      </c>
      <c r="C299" s="10" t="s">
        <v>593</v>
      </c>
      <c r="D299" s="10" t="s">
        <v>594</v>
      </c>
      <c r="E299" s="10" t="s">
        <v>595</v>
      </c>
      <c r="F299" s="10" t="s">
        <v>596</v>
      </c>
      <c r="G299" s="11">
        <v>1330</v>
      </c>
      <c r="H299" s="163" t="s">
        <v>669</v>
      </c>
      <c r="I299" s="166" t="s">
        <v>670</v>
      </c>
      <c r="J299" s="163" t="s">
        <v>671</v>
      </c>
      <c r="K299" s="10" t="s">
        <v>30</v>
      </c>
      <c r="L299" s="10">
        <v>5</v>
      </c>
      <c r="M299" s="10">
        <f t="shared" si="15"/>
        <v>1.67</v>
      </c>
      <c r="N299" s="10">
        <v>5</v>
      </c>
      <c r="O299" s="12">
        <v>1.6666666666666667</v>
      </c>
      <c r="P299" s="11">
        <v>3840</v>
      </c>
      <c r="Q299" s="10" t="s">
        <v>48</v>
      </c>
      <c r="R299" s="4" t="s">
        <v>1281</v>
      </c>
      <c r="S299" s="4" t="s">
        <v>1279</v>
      </c>
      <c r="T299" s="4" t="s">
        <v>672</v>
      </c>
      <c r="U299" s="4" t="str">
        <f t="shared" si="18"/>
        <v>NOT AN ADD-ON</v>
      </c>
      <c r="V299" s="4" t="str">
        <f t="shared" si="16"/>
        <v>NUCLEAR POWERINDUSTRY SOLUTIONLIMITEDNOT AN ADD-ON</v>
      </c>
    </row>
    <row r="300" spans="1:22" ht="29.25" customHeight="1" thickBot="1">
      <c r="A300" s="10" t="s">
        <v>21</v>
      </c>
      <c r="B300" s="10" t="s">
        <v>22</v>
      </c>
      <c r="C300" s="10" t="s">
        <v>593</v>
      </c>
      <c r="D300" s="10" t="s">
        <v>594</v>
      </c>
      <c r="E300" s="10" t="s">
        <v>595</v>
      </c>
      <c r="F300" s="10" t="s">
        <v>596</v>
      </c>
      <c r="G300" s="11">
        <v>767</v>
      </c>
      <c r="H300" s="163" t="s">
        <v>673</v>
      </c>
      <c r="I300" s="158" t="s">
        <v>674</v>
      </c>
      <c r="J300" s="163" t="s">
        <v>671</v>
      </c>
      <c r="K300" s="10" t="s">
        <v>30</v>
      </c>
      <c r="L300" s="10">
        <v>5</v>
      </c>
      <c r="M300" s="10">
        <f t="shared" si="15"/>
        <v>1.67</v>
      </c>
      <c r="N300" s="10">
        <v>5</v>
      </c>
      <c r="O300" s="12">
        <v>1.6666666666666667</v>
      </c>
      <c r="P300" s="11">
        <v>3840</v>
      </c>
      <c r="Q300" s="10" t="s">
        <v>31</v>
      </c>
      <c r="R300" s="4" t="s">
        <v>1281</v>
      </c>
      <c r="S300" s="4" t="s">
        <v>1279</v>
      </c>
      <c r="T300" s="4" t="s">
        <v>672</v>
      </c>
      <c r="U300" s="4" t="str">
        <f t="shared" si="18"/>
        <v>NOT AN ADD-ON</v>
      </c>
      <c r="V300" s="4" t="str">
        <f t="shared" si="16"/>
        <v>NUCLEAR POWERINDUSTRY SOLUTIONLIMITEDNOT AN ADD-ON</v>
      </c>
    </row>
    <row r="301" spans="1:22" ht="29.25" customHeight="1" thickBot="1">
      <c r="A301" s="10" t="s">
        <v>21</v>
      </c>
      <c r="B301" s="10" t="s">
        <v>22</v>
      </c>
      <c r="C301" s="10" t="s">
        <v>593</v>
      </c>
      <c r="D301" s="10" t="s">
        <v>594</v>
      </c>
      <c r="E301" s="10" t="s">
        <v>595</v>
      </c>
      <c r="F301" s="10" t="s">
        <v>596</v>
      </c>
      <c r="G301" s="11">
        <v>3840</v>
      </c>
      <c r="H301" s="163" t="s">
        <v>671</v>
      </c>
      <c r="I301" s="158" t="s">
        <v>675</v>
      </c>
      <c r="J301" s="163" t="s">
        <v>671</v>
      </c>
      <c r="K301" s="10" t="s">
        <v>30</v>
      </c>
      <c r="L301" s="10">
        <v>5</v>
      </c>
      <c r="M301" s="10">
        <f t="shared" si="15"/>
        <v>1.67</v>
      </c>
      <c r="N301" s="10">
        <v>5</v>
      </c>
      <c r="O301" s="12">
        <v>1.6666666666666667</v>
      </c>
      <c r="P301" s="11">
        <v>3840</v>
      </c>
      <c r="Q301" s="10" t="s">
        <v>33</v>
      </c>
      <c r="R301" s="4" t="s">
        <v>1281</v>
      </c>
      <c r="S301" s="4" t="s">
        <v>1279</v>
      </c>
      <c r="T301" s="4" t="s">
        <v>672</v>
      </c>
      <c r="U301" s="4" t="str">
        <f t="shared" si="18"/>
        <v>NOT AN ADD-ON</v>
      </c>
      <c r="V301" s="4" t="str">
        <f t="shared" si="16"/>
        <v>NUCLEAR POWERINDUSTRY SOLUTIONLIMITEDNOT AN ADD-ON</v>
      </c>
    </row>
    <row r="302" spans="1:22" ht="15" thickBot="1">
      <c r="A302" s="10" t="s">
        <v>21</v>
      </c>
      <c r="B302" s="10" t="s">
        <v>22</v>
      </c>
      <c r="C302" s="10" t="s">
        <v>593</v>
      </c>
      <c r="D302" s="10" t="s">
        <v>594</v>
      </c>
      <c r="E302" s="10" t="s">
        <v>595</v>
      </c>
      <c r="F302" s="10" t="s">
        <v>596</v>
      </c>
      <c r="G302" s="11">
        <v>2310</v>
      </c>
      <c r="H302" s="163" t="s">
        <v>676</v>
      </c>
      <c r="I302" s="158" t="s">
        <v>677</v>
      </c>
      <c r="J302" s="163" t="s">
        <v>671</v>
      </c>
      <c r="K302" s="10" t="s">
        <v>30</v>
      </c>
      <c r="L302" s="10">
        <v>5</v>
      </c>
      <c r="M302" s="10">
        <f t="shared" si="15"/>
        <v>1.67</v>
      </c>
      <c r="N302" s="10">
        <v>5</v>
      </c>
      <c r="O302" s="12">
        <v>1.6666666666666667</v>
      </c>
      <c r="P302" s="11">
        <v>3840</v>
      </c>
      <c r="Q302" s="10" t="s">
        <v>36</v>
      </c>
      <c r="R302" s="4" t="s">
        <v>1281</v>
      </c>
      <c r="S302" s="4" t="s">
        <v>1279</v>
      </c>
      <c r="T302" s="4" t="s">
        <v>672</v>
      </c>
      <c r="U302" s="4" t="str">
        <f t="shared" si="18"/>
        <v>NOT AN ADD-ON</v>
      </c>
      <c r="V302" s="4" t="str">
        <f t="shared" si="16"/>
        <v>NUCLEAR POWERINDUSTRY SOLUTIONLIMITEDNOT AN ADD-ON</v>
      </c>
    </row>
    <row r="303" spans="1:22" ht="29.25" customHeight="1" thickBot="1">
      <c r="A303" s="10" t="s">
        <v>21</v>
      </c>
      <c r="B303" s="10" t="s">
        <v>22</v>
      </c>
      <c r="C303" s="10" t="s">
        <v>593</v>
      </c>
      <c r="D303" s="10" t="s">
        <v>594</v>
      </c>
      <c r="E303" s="10" t="s">
        <v>595</v>
      </c>
      <c r="F303" s="10" t="s">
        <v>596</v>
      </c>
      <c r="G303" s="11">
        <v>1330</v>
      </c>
      <c r="H303" s="163" t="s">
        <v>678</v>
      </c>
      <c r="I303" s="166" t="s">
        <v>679</v>
      </c>
      <c r="J303" s="163" t="s">
        <v>680</v>
      </c>
      <c r="K303" s="10" t="s">
        <v>30</v>
      </c>
      <c r="L303" s="10">
        <v>5</v>
      </c>
      <c r="M303" s="10">
        <f t="shared" si="15"/>
        <v>1.67</v>
      </c>
      <c r="N303" s="10">
        <v>5</v>
      </c>
      <c r="O303" s="12">
        <v>1.6666666666666667</v>
      </c>
      <c r="P303" s="11">
        <v>3840</v>
      </c>
      <c r="Q303" s="10" t="s">
        <v>48</v>
      </c>
      <c r="R303" s="4" t="s">
        <v>1281</v>
      </c>
      <c r="S303" s="4" t="s">
        <v>1279</v>
      </c>
      <c r="T303" s="4" t="s">
        <v>672</v>
      </c>
      <c r="U303" s="4" t="str">
        <f t="shared" si="18"/>
        <v>NOT AN ADD-ON</v>
      </c>
      <c r="V303" s="4" t="str">
        <f t="shared" si="16"/>
        <v>NUCLEAR POWERINDUSTRY SOLUTIONLIMITEDNOT AN ADD-ON</v>
      </c>
    </row>
    <row r="304" spans="1:22" ht="29.25" customHeight="1" thickBot="1">
      <c r="A304" s="10" t="s">
        <v>21</v>
      </c>
      <c r="B304" s="10" t="s">
        <v>22</v>
      </c>
      <c r="C304" s="10" t="s">
        <v>593</v>
      </c>
      <c r="D304" s="10" t="s">
        <v>594</v>
      </c>
      <c r="E304" s="10" t="s">
        <v>595</v>
      </c>
      <c r="F304" s="10" t="s">
        <v>596</v>
      </c>
      <c r="G304" s="11">
        <v>767</v>
      </c>
      <c r="H304" s="163" t="s">
        <v>681</v>
      </c>
      <c r="I304" s="158" t="s">
        <v>682</v>
      </c>
      <c r="J304" s="163" t="s">
        <v>680</v>
      </c>
      <c r="K304" s="10" t="s">
        <v>30</v>
      </c>
      <c r="L304" s="10">
        <v>5</v>
      </c>
      <c r="M304" s="10">
        <f t="shared" si="15"/>
        <v>1.67</v>
      </c>
      <c r="N304" s="10">
        <v>5</v>
      </c>
      <c r="O304" s="12">
        <v>1.6666666666666667</v>
      </c>
      <c r="P304" s="11">
        <v>3840</v>
      </c>
      <c r="Q304" s="10" t="s">
        <v>31</v>
      </c>
      <c r="R304" s="4" t="s">
        <v>1281</v>
      </c>
      <c r="S304" s="4" t="s">
        <v>1279</v>
      </c>
      <c r="T304" s="4" t="s">
        <v>672</v>
      </c>
      <c r="U304" s="4" t="str">
        <f t="shared" si="18"/>
        <v>NOT AN ADD-ON</v>
      </c>
      <c r="V304" s="4" t="str">
        <f t="shared" si="16"/>
        <v>NUCLEAR POWERINDUSTRY SOLUTIONLIMITEDNOT AN ADD-ON</v>
      </c>
    </row>
    <row r="305" spans="1:22" ht="29.25" customHeight="1" thickBot="1">
      <c r="A305" s="10" t="s">
        <v>21</v>
      </c>
      <c r="B305" s="10" t="s">
        <v>22</v>
      </c>
      <c r="C305" s="10" t="s">
        <v>593</v>
      </c>
      <c r="D305" s="10" t="s">
        <v>594</v>
      </c>
      <c r="E305" s="10" t="s">
        <v>595</v>
      </c>
      <c r="F305" s="10" t="s">
        <v>596</v>
      </c>
      <c r="G305" s="11">
        <v>3840</v>
      </c>
      <c r="H305" s="163" t="s">
        <v>680</v>
      </c>
      <c r="I305" s="158" t="s">
        <v>683</v>
      </c>
      <c r="J305" s="163" t="s">
        <v>680</v>
      </c>
      <c r="K305" s="10" t="s">
        <v>30</v>
      </c>
      <c r="L305" s="10">
        <v>5</v>
      </c>
      <c r="M305" s="10">
        <f t="shared" si="15"/>
        <v>1.67</v>
      </c>
      <c r="N305" s="10">
        <v>5</v>
      </c>
      <c r="O305" s="12">
        <v>1.6666666666666667</v>
      </c>
      <c r="P305" s="11">
        <v>3840</v>
      </c>
      <c r="Q305" s="10" t="s">
        <v>33</v>
      </c>
      <c r="R305" s="4" t="s">
        <v>1281</v>
      </c>
      <c r="S305" s="4" t="s">
        <v>1279</v>
      </c>
      <c r="T305" s="4" t="s">
        <v>672</v>
      </c>
      <c r="U305" s="4" t="str">
        <f t="shared" si="18"/>
        <v>NOT AN ADD-ON</v>
      </c>
      <c r="V305" s="4" t="str">
        <f t="shared" si="16"/>
        <v>NUCLEAR POWERINDUSTRY SOLUTIONLIMITEDNOT AN ADD-ON</v>
      </c>
    </row>
    <row r="306" spans="1:22" ht="15" thickBot="1">
      <c r="A306" s="10" t="s">
        <v>21</v>
      </c>
      <c r="B306" s="10" t="s">
        <v>22</v>
      </c>
      <c r="C306" s="10" t="s">
        <v>593</v>
      </c>
      <c r="D306" s="10" t="s">
        <v>594</v>
      </c>
      <c r="E306" s="10" t="s">
        <v>595</v>
      </c>
      <c r="F306" s="10" t="s">
        <v>596</v>
      </c>
      <c r="G306" s="11">
        <v>2310</v>
      </c>
      <c r="H306" s="163" t="s">
        <v>684</v>
      </c>
      <c r="I306" s="158" t="s">
        <v>685</v>
      </c>
      <c r="J306" s="163" t="s">
        <v>680</v>
      </c>
      <c r="K306" s="10" t="s">
        <v>30</v>
      </c>
      <c r="L306" s="10">
        <v>5</v>
      </c>
      <c r="M306" s="10">
        <f t="shared" si="15"/>
        <v>1.67</v>
      </c>
      <c r="N306" s="10">
        <v>5</v>
      </c>
      <c r="O306" s="12">
        <v>1.6666666666666667</v>
      </c>
      <c r="P306" s="11">
        <v>3840</v>
      </c>
      <c r="Q306" s="10" t="s">
        <v>36</v>
      </c>
      <c r="R306" s="4" t="s">
        <v>1281</v>
      </c>
      <c r="S306" s="4" t="s">
        <v>1279</v>
      </c>
      <c r="T306" s="4" t="s">
        <v>672</v>
      </c>
      <c r="U306" s="4" t="str">
        <f t="shared" si="18"/>
        <v>NOT AN ADD-ON</v>
      </c>
      <c r="V306" s="4" t="str">
        <f t="shared" si="16"/>
        <v>NUCLEAR POWERINDUSTRY SOLUTIONLIMITEDNOT AN ADD-ON</v>
      </c>
    </row>
    <row r="307" spans="1:22" ht="29.25" customHeight="1" thickBot="1">
      <c r="A307" s="10" t="s">
        <v>21</v>
      </c>
      <c r="B307" s="10" t="s">
        <v>22</v>
      </c>
      <c r="C307" s="10" t="s">
        <v>686</v>
      </c>
      <c r="D307" s="10" t="s">
        <v>687</v>
      </c>
      <c r="E307" s="10" t="s">
        <v>688</v>
      </c>
      <c r="F307" s="10" t="s">
        <v>689</v>
      </c>
      <c r="G307" s="11">
        <v>431</v>
      </c>
      <c r="H307" s="163" t="s">
        <v>690</v>
      </c>
      <c r="I307" s="158" t="s">
        <v>691</v>
      </c>
      <c r="J307" s="163" t="s">
        <v>692</v>
      </c>
      <c r="K307" s="10" t="s">
        <v>30</v>
      </c>
      <c r="L307" s="10">
        <v>5</v>
      </c>
      <c r="M307" s="10">
        <f t="shared" si="15"/>
        <v>1.67</v>
      </c>
      <c r="N307" s="10">
        <v>15</v>
      </c>
      <c r="O307" s="12">
        <v>5</v>
      </c>
      <c r="P307" s="11">
        <v>2150</v>
      </c>
      <c r="Q307" s="10" t="s">
        <v>31</v>
      </c>
      <c r="R307" s="4" t="s">
        <v>1282</v>
      </c>
      <c r="S307" s="4" t="s">
        <v>1279</v>
      </c>
      <c r="T307" s="4" t="s">
        <v>19</v>
      </c>
      <c r="U307" s="4" t="s">
        <v>507</v>
      </c>
      <c r="V307" s="4" t="str">
        <f t="shared" si="16"/>
        <v>OIL AND GASINDUSTRY SOLUTIONAUTHORIZEDADD-ON</v>
      </c>
    </row>
    <row r="308" spans="1:22" ht="29.25" customHeight="1" thickBot="1">
      <c r="A308" s="10" t="s">
        <v>21</v>
      </c>
      <c r="B308" s="10" t="s">
        <v>22</v>
      </c>
      <c r="C308" s="10" t="s">
        <v>686</v>
      </c>
      <c r="D308" s="10" t="s">
        <v>687</v>
      </c>
      <c r="E308" s="10" t="s">
        <v>688</v>
      </c>
      <c r="F308" s="10" t="s">
        <v>689</v>
      </c>
      <c r="G308" s="11">
        <v>2150</v>
      </c>
      <c r="H308" s="163" t="s">
        <v>692</v>
      </c>
      <c r="I308" s="158" t="s">
        <v>693</v>
      </c>
      <c r="J308" s="163" t="s">
        <v>692</v>
      </c>
      <c r="K308" s="10" t="s">
        <v>30</v>
      </c>
      <c r="L308" s="10">
        <v>5</v>
      </c>
      <c r="M308" s="10">
        <f t="shared" si="15"/>
        <v>1.67</v>
      </c>
      <c r="N308" s="10">
        <v>15</v>
      </c>
      <c r="O308" s="12">
        <v>5</v>
      </c>
      <c r="P308" s="11">
        <v>2150</v>
      </c>
      <c r="Q308" s="10" t="s">
        <v>33</v>
      </c>
      <c r="R308" s="4" t="s">
        <v>1282</v>
      </c>
      <c r="S308" s="4" t="s">
        <v>1279</v>
      </c>
      <c r="T308" s="4" t="s">
        <v>19</v>
      </c>
      <c r="U308" s="4" t="s">
        <v>507</v>
      </c>
      <c r="V308" s="4" t="str">
        <f t="shared" si="16"/>
        <v>OIL AND GASINDUSTRY SOLUTIONAUTHORIZEDADD-ON</v>
      </c>
    </row>
    <row r="309" spans="1:22" ht="15" thickBot="1">
      <c r="A309" s="10" t="s">
        <v>21</v>
      </c>
      <c r="B309" s="10" t="s">
        <v>22</v>
      </c>
      <c r="C309" s="10" t="s">
        <v>686</v>
      </c>
      <c r="D309" s="10" t="s">
        <v>687</v>
      </c>
      <c r="E309" s="10" t="s">
        <v>688</v>
      </c>
      <c r="F309" s="10" t="s">
        <v>689</v>
      </c>
      <c r="G309" s="11">
        <v>1300</v>
      </c>
      <c r="H309" s="163" t="s">
        <v>694</v>
      </c>
      <c r="I309" s="158" t="s">
        <v>695</v>
      </c>
      <c r="J309" s="163" t="s">
        <v>692</v>
      </c>
      <c r="K309" s="10" t="s">
        <v>30</v>
      </c>
      <c r="L309" s="10">
        <v>5</v>
      </c>
      <c r="M309" s="10">
        <f t="shared" si="15"/>
        <v>1.67</v>
      </c>
      <c r="N309" s="10">
        <v>15</v>
      </c>
      <c r="O309" s="12">
        <v>5</v>
      </c>
      <c r="P309" s="11">
        <v>2150</v>
      </c>
      <c r="Q309" s="10" t="s">
        <v>36</v>
      </c>
      <c r="R309" s="4" t="s">
        <v>1282</v>
      </c>
      <c r="S309" s="4" t="s">
        <v>1279</v>
      </c>
      <c r="T309" s="4" t="s">
        <v>19</v>
      </c>
      <c r="U309" s="4" t="s">
        <v>507</v>
      </c>
      <c r="V309" s="4" t="str">
        <f t="shared" si="16"/>
        <v>OIL AND GASINDUSTRY SOLUTIONAUTHORIZEDADD-ON</v>
      </c>
    </row>
    <row r="310" spans="1:22" ht="29.25" customHeight="1" thickBot="1">
      <c r="A310" s="10" t="s">
        <v>21</v>
      </c>
      <c r="B310" s="10" t="s">
        <v>22</v>
      </c>
      <c r="C310" s="10" t="s">
        <v>686</v>
      </c>
      <c r="D310" s="10" t="s">
        <v>687</v>
      </c>
      <c r="E310" s="10" t="s">
        <v>688</v>
      </c>
      <c r="F310" s="10" t="s">
        <v>689</v>
      </c>
      <c r="G310" s="11">
        <v>1320</v>
      </c>
      <c r="H310" s="163" t="s">
        <v>696</v>
      </c>
      <c r="I310" s="158" t="s">
        <v>697</v>
      </c>
      <c r="J310" s="163" t="s">
        <v>698</v>
      </c>
      <c r="K310" s="10" t="s">
        <v>40</v>
      </c>
      <c r="L310" s="10">
        <v>5</v>
      </c>
      <c r="M310" s="10">
        <f t="shared" si="15"/>
        <v>5</v>
      </c>
      <c r="N310" s="10">
        <v>15</v>
      </c>
      <c r="O310" s="12">
        <v>1</v>
      </c>
      <c r="P310" s="11">
        <v>6570</v>
      </c>
      <c r="Q310" s="10" t="s">
        <v>31</v>
      </c>
      <c r="R310" s="4" t="s">
        <v>1282</v>
      </c>
      <c r="S310" s="4" t="s">
        <v>1279</v>
      </c>
      <c r="T310" s="4" t="s">
        <v>19</v>
      </c>
      <c r="U310" s="4" t="s">
        <v>507</v>
      </c>
      <c r="V310" s="4" t="str">
        <f t="shared" si="16"/>
        <v>OIL AND GASINDUSTRY SOLUTIONAUTHORIZEDADD-ON</v>
      </c>
    </row>
    <row r="311" spans="1:22" ht="15" thickBot="1">
      <c r="A311" s="10" t="s">
        <v>21</v>
      </c>
      <c r="B311" s="10" t="s">
        <v>22</v>
      </c>
      <c r="C311" s="10" t="s">
        <v>686</v>
      </c>
      <c r="D311" s="10" t="s">
        <v>687</v>
      </c>
      <c r="E311" s="10" t="s">
        <v>688</v>
      </c>
      <c r="F311" s="10" t="s">
        <v>689</v>
      </c>
      <c r="G311" s="11">
        <v>6570</v>
      </c>
      <c r="H311" s="163" t="s">
        <v>698</v>
      </c>
      <c r="I311" s="158" t="s">
        <v>699</v>
      </c>
      <c r="J311" s="163" t="s">
        <v>698</v>
      </c>
      <c r="K311" s="10" t="s">
        <v>40</v>
      </c>
      <c r="L311" s="10">
        <v>5</v>
      </c>
      <c r="M311" s="10">
        <f t="shared" si="15"/>
        <v>5</v>
      </c>
      <c r="N311" s="10">
        <v>15</v>
      </c>
      <c r="O311" s="12">
        <v>1</v>
      </c>
      <c r="P311" s="11">
        <v>6570</v>
      </c>
      <c r="Q311" s="10" t="s">
        <v>33</v>
      </c>
      <c r="R311" s="4" t="s">
        <v>1282</v>
      </c>
      <c r="S311" s="4" t="s">
        <v>1279</v>
      </c>
      <c r="T311" s="4" t="s">
        <v>19</v>
      </c>
      <c r="U311" s="4" t="s">
        <v>507</v>
      </c>
      <c r="V311" s="4" t="str">
        <f t="shared" si="16"/>
        <v>OIL AND GASINDUSTRY SOLUTIONAUTHORIZEDADD-ON</v>
      </c>
    </row>
    <row r="312" spans="1:22" ht="15" thickBot="1">
      <c r="A312" s="10" t="s">
        <v>21</v>
      </c>
      <c r="B312" s="10" t="s">
        <v>22</v>
      </c>
      <c r="C312" s="10" t="s">
        <v>686</v>
      </c>
      <c r="D312" s="10" t="s">
        <v>687</v>
      </c>
      <c r="E312" s="10" t="s">
        <v>688</v>
      </c>
      <c r="F312" s="10" t="s">
        <v>689</v>
      </c>
      <c r="G312" s="11">
        <v>3940</v>
      </c>
      <c r="H312" s="163" t="s">
        <v>700</v>
      </c>
      <c r="I312" s="158" t="s">
        <v>701</v>
      </c>
      <c r="J312" s="163" t="s">
        <v>698</v>
      </c>
      <c r="K312" s="10" t="s">
        <v>40</v>
      </c>
      <c r="L312" s="10">
        <v>5</v>
      </c>
      <c r="M312" s="10">
        <f t="shared" si="15"/>
        <v>5</v>
      </c>
      <c r="N312" s="10">
        <v>15</v>
      </c>
      <c r="O312" s="12">
        <v>1</v>
      </c>
      <c r="P312" s="11">
        <v>6570</v>
      </c>
      <c r="Q312" s="10" t="s">
        <v>36</v>
      </c>
      <c r="R312" s="4" t="s">
        <v>1282</v>
      </c>
      <c r="S312" s="4" t="s">
        <v>1279</v>
      </c>
      <c r="T312" s="4" t="s">
        <v>19</v>
      </c>
      <c r="U312" s="4" t="s">
        <v>507</v>
      </c>
      <c r="V312" s="4" t="str">
        <f t="shared" si="16"/>
        <v>OIL AND GASINDUSTRY SOLUTIONAUTHORIZEDADD-ON</v>
      </c>
    </row>
    <row r="313" spans="1:22" ht="27" thickBot="1">
      <c r="A313" s="10" t="s">
        <v>21</v>
      </c>
      <c r="B313" s="10" t="s">
        <v>22</v>
      </c>
      <c r="C313" s="10" t="s">
        <v>686</v>
      </c>
      <c r="D313" s="10" t="s">
        <v>687</v>
      </c>
      <c r="E313" s="10" t="s">
        <v>688</v>
      </c>
      <c r="F313" s="10" t="s">
        <v>689</v>
      </c>
      <c r="G313" s="11">
        <v>1410</v>
      </c>
      <c r="H313" s="163" t="s">
        <v>702</v>
      </c>
      <c r="I313" s="166" t="s">
        <v>703</v>
      </c>
      <c r="J313" s="163" t="s">
        <v>704</v>
      </c>
      <c r="K313" s="10" t="s">
        <v>40</v>
      </c>
      <c r="L313" s="10">
        <v>5</v>
      </c>
      <c r="M313" s="10">
        <f t="shared" si="15"/>
        <v>5</v>
      </c>
      <c r="N313" s="10">
        <v>15</v>
      </c>
      <c r="O313" s="12">
        <v>1</v>
      </c>
      <c r="P313" s="11">
        <v>6570</v>
      </c>
      <c r="Q313" s="10" t="s">
        <v>48</v>
      </c>
      <c r="R313" s="4" t="s">
        <v>1282</v>
      </c>
      <c r="S313" s="4" t="s">
        <v>1279</v>
      </c>
      <c r="T313" s="4" t="s">
        <v>19</v>
      </c>
      <c r="U313" s="4" t="str">
        <f>IF(ISNUMBER(SEARCH("ADD-ON",$I313)),"ADD-ON","NOT AN ADD-ON")</f>
        <v>ADD-ON</v>
      </c>
      <c r="V313" s="4" t="str">
        <f t="shared" si="16"/>
        <v>OIL AND GASINDUSTRY SOLUTIONAUTHORIZEDADD-ON</v>
      </c>
    </row>
    <row r="314" spans="1:22" ht="15" thickBot="1">
      <c r="A314" s="10" t="s">
        <v>21</v>
      </c>
      <c r="B314" s="10" t="s">
        <v>22</v>
      </c>
      <c r="C314" s="10" t="s">
        <v>686</v>
      </c>
      <c r="D314" s="10" t="s">
        <v>687</v>
      </c>
      <c r="E314" s="10" t="s">
        <v>688</v>
      </c>
      <c r="F314" s="10" t="s">
        <v>689</v>
      </c>
      <c r="G314" s="11">
        <v>1320</v>
      </c>
      <c r="H314" s="163" t="s">
        <v>705</v>
      </c>
      <c r="I314" s="158" t="s">
        <v>706</v>
      </c>
      <c r="J314" s="163" t="s">
        <v>704</v>
      </c>
      <c r="K314" s="10" t="s">
        <v>40</v>
      </c>
      <c r="L314" s="10">
        <v>5</v>
      </c>
      <c r="M314" s="10">
        <f t="shared" si="15"/>
        <v>5</v>
      </c>
      <c r="N314" s="10">
        <v>15</v>
      </c>
      <c r="O314" s="12">
        <v>1</v>
      </c>
      <c r="P314" s="11">
        <v>6570</v>
      </c>
      <c r="Q314" s="10" t="s">
        <v>31</v>
      </c>
      <c r="R314" s="4" t="s">
        <v>1282</v>
      </c>
      <c r="S314" s="4" t="s">
        <v>1279</v>
      </c>
      <c r="T314" s="4" t="s">
        <v>19</v>
      </c>
      <c r="U314" s="4" t="str">
        <f>IF(ISNUMBER(SEARCH("ADD-ON",$I314)),"ADD-ON","NOT AN ADD-ON")</f>
        <v>ADD-ON</v>
      </c>
      <c r="V314" s="4" t="str">
        <f t="shared" si="16"/>
        <v>OIL AND GASINDUSTRY SOLUTIONAUTHORIZEDADD-ON</v>
      </c>
    </row>
    <row r="315" spans="1:22" ht="15" thickBot="1">
      <c r="A315" s="10" t="s">
        <v>21</v>
      </c>
      <c r="B315" s="10" t="s">
        <v>22</v>
      </c>
      <c r="C315" s="10" t="s">
        <v>686</v>
      </c>
      <c r="D315" s="10" t="s">
        <v>687</v>
      </c>
      <c r="E315" s="10" t="s">
        <v>688</v>
      </c>
      <c r="F315" s="10" t="s">
        <v>689</v>
      </c>
      <c r="G315" s="11">
        <v>6570</v>
      </c>
      <c r="H315" s="163" t="s">
        <v>704</v>
      </c>
      <c r="I315" s="158" t="s">
        <v>707</v>
      </c>
      <c r="J315" s="163" t="s">
        <v>704</v>
      </c>
      <c r="K315" s="10" t="s">
        <v>40</v>
      </c>
      <c r="L315" s="10">
        <v>5</v>
      </c>
      <c r="M315" s="10">
        <f t="shared" si="15"/>
        <v>5</v>
      </c>
      <c r="N315" s="10">
        <v>15</v>
      </c>
      <c r="O315" s="12">
        <v>1</v>
      </c>
      <c r="P315" s="11">
        <v>6570</v>
      </c>
      <c r="Q315" s="10" t="s">
        <v>33</v>
      </c>
      <c r="R315" s="4" t="s">
        <v>1282</v>
      </c>
      <c r="S315" s="4" t="s">
        <v>1279</v>
      </c>
      <c r="T315" s="4" t="s">
        <v>19</v>
      </c>
      <c r="U315" s="4" t="str">
        <f>IF(ISNUMBER(SEARCH("ADD-ON",$I315)),"ADD-ON","NOT AN ADD-ON")</f>
        <v>ADD-ON</v>
      </c>
      <c r="V315" s="4" t="str">
        <f t="shared" si="16"/>
        <v>OIL AND GASINDUSTRY SOLUTIONAUTHORIZEDADD-ON</v>
      </c>
    </row>
    <row r="316" spans="1:22" ht="15" thickBot="1">
      <c r="A316" s="10" t="s">
        <v>21</v>
      </c>
      <c r="B316" s="10" t="s">
        <v>22</v>
      </c>
      <c r="C316" s="10" t="s">
        <v>686</v>
      </c>
      <c r="D316" s="10" t="s">
        <v>687</v>
      </c>
      <c r="E316" s="10" t="s">
        <v>688</v>
      </c>
      <c r="F316" s="10" t="s">
        <v>689</v>
      </c>
      <c r="G316" s="11">
        <v>3940</v>
      </c>
      <c r="H316" s="163" t="s">
        <v>708</v>
      </c>
      <c r="I316" s="158" t="s">
        <v>709</v>
      </c>
      <c r="J316" s="163" t="s">
        <v>704</v>
      </c>
      <c r="K316" s="10" t="s">
        <v>40</v>
      </c>
      <c r="L316" s="10">
        <v>5</v>
      </c>
      <c r="M316" s="10">
        <f t="shared" si="15"/>
        <v>5</v>
      </c>
      <c r="N316" s="10">
        <v>15</v>
      </c>
      <c r="O316" s="12">
        <v>1</v>
      </c>
      <c r="P316" s="11">
        <v>6570</v>
      </c>
      <c r="Q316" s="10" t="s">
        <v>36</v>
      </c>
      <c r="R316" s="4" t="s">
        <v>1282</v>
      </c>
      <c r="S316" s="4" t="s">
        <v>1279</v>
      </c>
      <c r="T316" s="4" t="s">
        <v>19</v>
      </c>
      <c r="U316" s="4" t="str">
        <f>IF(ISNUMBER(SEARCH("ADD-ON",$I316)),"ADD-ON","NOT AN ADD-ON")</f>
        <v>ADD-ON</v>
      </c>
      <c r="V316" s="4" t="str">
        <f t="shared" si="16"/>
        <v>OIL AND GASINDUSTRY SOLUTIONAUTHORIZEDADD-ON</v>
      </c>
    </row>
    <row r="317" spans="1:22" ht="15" thickBot="1">
      <c r="A317" s="10" t="s">
        <v>21</v>
      </c>
      <c r="B317" s="10" t="s">
        <v>22</v>
      </c>
      <c r="C317" s="10" t="s">
        <v>686</v>
      </c>
      <c r="D317" s="10" t="s">
        <v>687</v>
      </c>
      <c r="E317" s="10" t="s">
        <v>688</v>
      </c>
      <c r="F317" s="10" t="s">
        <v>689</v>
      </c>
      <c r="G317" s="11">
        <v>1410</v>
      </c>
      <c r="H317" s="163" t="s">
        <v>710</v>
      </c>
      <c r="I317" s="166" t="s">
        <v>711</v>
      </c>
      <c r="J317" s="163" t="s">
        <v>698</v>
      </c>
      <c r="K317" s="10" t="s">
        <v>40</v>
      </c>
      <c r="L317" s="10">
        <v>5</v>
      </c>
      <c r="M317" s="10">
        <f t="shared" si="15"/>
        <v>5</v>
      </c>
      <c r="N317" s="10">
        <v>15</v>
      </c>
      <c r="O317" s="12">
        <v>5</v>
      </c>
      <c r="P317" s="11">
        <v>6570</v>
      </c>
      <c r="Q317" s="10" t="s">
        <v>48</v>
      </c>
      <c r="R317" s="4" t="s">
        <v>1282</v>
      </c>
      <c r="S317" s="4" t="s">
        <v>1279</v>
      </c>
      <c r="T317" s="4" t="s">
        <v>19</v>
      </c>
      <c r="U317" s="4" t="s">
        <v>507</v>
      </c>
      <c r="V317" s="4" t="str">
        <f t="shared" si="16"/>
        <v>OIL AND GASINDUSTRY SOLUTIONAUTHORIZEDADD-ON</v>
      </c>
    </row>
    <row r="318" spans="1:22" ht="15" thickBot="1">
      <c r="A318" s="10" t="s">
        <v>21</v>
      </c>
      <c r="B318" s="10" t="s">
        <v>22</v>
      </c>
      <c r="C318" s="10" t="s">
        <v>686</v>
      </c>
      <c r="D318" s="10" t="s">
        <v>687</v>
      </c>
      <c r="E318" s="10" t="s">
        <v>688</v>
      </c>
      <c r="F318" s="10" t="s">
        <v>689</v>
      </c>
      <c r="G318" s="11">
        <v>2680</v>
      </c>
      <c r="H318" s="163" t="s">
        <v>712</v>
      </c>
      <c r="I318" s="166" t="s">
        <v>713</v>
      </c>
      <c r="J318" s="163" t="s">
        <v>714</v>
      </c>
      <c r="K318" s="10" t="s">
        <v>30</v>
      </c>
      <c r="L318" s="10">
        <v>15</v>
      </c>
      <c r="M318" s="10">
        <f t="shared" si="15"/>
        <v>5</v>
      </c>
      <c r="N318" s="10">
        <v>15</v>
      </c>
      <c r="O318" s="12">
        <v>5</v>
      </c>
      <c r="P318" s="11">
        <v>7660</v>
      </c>
      <c r="Q318" s="10" t="s">
        <v>48</v>
      </c>
      <c r="R318" s="4" t="s">
        <v>1282</v>
      </c>
      <c r="S318" s="4" t="s">
        <v>1279</v>
      </c>
      <c r="T318" s="4" t="s">
        <v>19</v>
      </c>
      <c r="U318" s="4" t="str">
        <f t="shared" ref="U318:U333" si="19">IF(ISNUMBER(SEARCH("ADD-ON",$I318)),"ADD-ON","NOT AN ADD-ON")</f>
        <v>NOT AN ADD-ON</v>
      </c>
      <c r="V318" s="4" t="str">
        <f t="shared" si="16"/>
        <v>OIL AND GASINDUSTRY SOLUTIONAUTHORIZEDNOT AN ADD-ON</v>
      </c>
    </row>
    <row r="319" spans="1:22" ht="15" thickBot="1">
      <c r="A319" s="10" t="s">
        <v>21</v>
      </c>
      <c r="B319" s="10" t="s">
        <v>22</v>
      </c>
      <c r="C319" s="10" t="s">
        <v>686</v>
      </c>
      <c r="D319" s="10" t="s">
        <v>687</v>
      </c>
      <c r="E319" s="10" t="s">
        <v>688</v>
      </c>
      <c r="F319" s="10" t="s">
        <v>689</v>
      </c>
      <c r="G319" s="11">
        <v>5470</v>
      </c>
      <c r="H319" s="163" t="s">
        <v>715</v>
      </c>
      <c r="I319" s="166" t="s">
        <v>716</v>
      </c>
      <c r="J319" s="163" t="s">
        <v>714</v>
      </c>
      <c r="K319" s="10" t="s">
        <v>30</v>
      </c>
      <c r="L319" s="10">
        <v>15</v>
      </c>
      <c r="M319" s="10">
        <f t="shared" si="15"/>
        <v>5</v>
      </c>
      <c r="N319" s="10">
        <v>15</v>
      </c>
      <c r="O319" s="12">
        <v>5</v>
      </c>
      <c r="P319" s="11">
        <v>7660</v>
      </c>
      <c r="Q319" s="10" t="s">
        <v>48</v>
      </c>
      <c r="R319" s="4" t="s">
        <v>1282</v>
      </c>
      <c r="S319" s="4" t="s">
        <v>1279</v>
      </c>
      <c r="T319" s="4" t="s">
        <v>19</v>
      </c>
      <c r="U319" s="4" t="str">
        <f t="shared" si="19"/>
        <v>NOT AN ADD-ON</v>
      </c>
      <c r="V319" s="4" t="str">
        <f t="shared" si="16"/>
        <v>OIL AND GASINDUSTRY SOLUTIONAUTHORIZEDNOT AN ADD-ON</v>
      </c>
    </row>
    <row r="320" spans="1:22" ht="15" thickBot="1">
      <c r="A320" s="10" t="s">
        <v>21</v>
      </c>
      <c r="B320" s="10" t="s">
        <v>22</v>
      </c>
      <c r="C320" s="10" t="s">
        <v>686</v>
      </c>
      <c r="D320" s="10" t="s">
        <v>687</v>
      </c>
      <c r="E320" s="10" t="s">
        <v>688</v>
      </c>
      <c r="F320" s="10" t="s">
        <v>689</v>
      </c>
      <c r="G320" s="11">
        <v>4900</v>
      </c>
      <c r="H320" s="163" t="s">
        <v>717</v>
      </c>
      <c r="I320" s="166" t="s">
        <v>718</v>
      </c>
      <c r="J320" s="163" t="s">
        <v>714</v>
      </c>
      <c r="K320" s="10" t="s">
        <v>30</v>
      </c>
      <c r="L320" s="10">
        <v>15</v>
      </c>
      <c r="M320" s="10">
        <f t="shared" si="15"/>
        <v>5</v>
      </c>
      <c r="N320" s="10">
        <v>15</v>
      </c>
      <c r="O320" s="12">
        <v>5</v>
      </c>
      <c r="P320" s="11">
        <v>7660</v>
      </c>
      <c r="Q320" s="10" t="s">
        <v>48</v>
      </c>
      <c r="R320" s="4" t="s">
        <v>1282</v>
      </c>
      <c r="S320" s="4" t="s">
        <v>1279</v>
      </c>
      <c r="T320" s="4" t="s">
        <v>19</v>
      </c>
      <c r="U320" s="4" t="str">
        <f t="shared" si="19"/>
        <v>NOT AN ADD-ON</v>
      </c>
      <c r="V320" s="4" t="str">
        <f t="shared" si="16"/>
        <v>OIL AND GASINDUSTRY SOLUTIONAUTHORIZEDNOT AN ADD-ON</v>
      </c>
    </row>
    <row r="321" spans="1:22" ht="15" thickBot="1">
      <c r="A321" s="10" t="s">
        <v>21</v>
      </c>
      <c r="B321" s="10" t="s">
        <v>22</v>
      </c>
      <c r="C321" s="10" t="s">
        <v>686</v>
      </c>
      <c r="D321" s="10" t="s">
        <v>687</v>
      </c>
      <c r="E321" s="10" t="s">
        <v>688</v>
      </c>
      <c r="F321" s="10" t="s">
        <v>689</v>
      </c>
      <c r="G321" s="11">
        <v>1520</v>
      </c>
      <c r="H321" s="163" t="s">
        <v>719</v>
      </c>
      <c r="I321" s="158" t="s">
        <v>720</v>
      </c>
      <c r="J321" s="163" t="s">
        <v>714</v>
      </c>
      <c r="K321" s="10" t="s">
        <v>30</v>
      </c>
      <c r="L321" s="10">
        <v>15</v>
      </c>
      <c r="M321" s="10">
        <f t="shared" si="15"/>
        <v>5</v>
      </c>
      <c r="N321" s="10">
        <v>15</v>
      </c>
      <c r="O321" s="12">
        <v>5</v>
      </c>
      <c r="P321" s="11">
        <v>7660</v>
      </c>
      <c r="Q321" s="10" t="s">
        <v>31</v>
      </c>
      <c r="R321" s="4" t="s">
        <v>1282</v>
      </c>
      <c r="S321" s="4" t="s">
        <v>1279</v>
      </c>
      <c r="T321" s="4" t="s">
        <v>19</v>
      </c>
      <c r="U321" s="4" t="str">
        <f t="shared" si="19"/>
        <v>NOT AN ADD-ON</v>
      </c>
      <c r="V321" s="4" t="str">
        <f t="shared" si="16"/>
        <v>OIL AND GASINDUSTRY SOLUTIONAUTHORIZEDNOT AN ADD-ON</v>
      </c>
    </row>
    <row r="322" spans="1:22" ht="15" thickBot="1">
      <c r="A322" s="10" t="s">
        <v>21</v>
      </c>
      <c r="B322" s="10" t="s">
        <v>22</v>
      </c>
      <c r="C322" s="10" t="s">
        <v>686</v>
      </c>
      <c r="D322" s="10" t="s">
        <v>687</v>
      </c>
      <c r="E322" s="10" t="s">
        <v>688</v>
      </c>
      <c r="F322" s="10" t="s">
        <v>689</v>
      </c>
      <c r="G322" s="11">
        <v>7660</v>
      </c>
      <c r="H322" s="163" t="s">
        <v>714</v>
      </c>
      <c r="I322" s="158" t="s">
        <v>721</v>
      </c>
      <c r="J322" s="163" t="s">
        <v>714</v>
      </c>
      <c r="K322" s="10" t="s">
        <v>30</v>
      </c>
      <c r="L322" s="10">
        <v>15</v>
      </c>
      <c r="M322" s="10">
        <f t="shared" si="15"/>
        <v>5</v>
      </c>
      <c r="N322" s="10">
        <v>15</v>
      </c>
      <c r="O322" s="12">
        <v>5</v>
      </c>
      <c r="P322" s="11">
        <v>7660</v>
      </c>
      <c r="Q322" s="10" t="s">
        <v>33</v>
      </c>
      <c r="R322" s="4" t="s">
        <v>1282</v>
      </c>
      <c r="S322" s="4" t="s">
        <v>1279</v>
      </c>
      <c r="T322" s="4" t="s">
        <v>19</v>
      </c>
      <c r="U322" s="4" t="str">
        <f t="shared" si="19"/>
        <v>NOT AN ADD-ON</v>
      </c>
      <c r="V322" s="4" t="str">
        <f t="shared" si="16"/>
        <v>OIL AND GASINDUSTRY SOLUTIONAUTHORIZEDNOT AN ADD-ON</v>
      </c>
    </row>
    <row r="323" spans="1:22" ht="15" thickBot="1">
      <c r="A323" s="10" t="s">
        <v>21</v>
      </c>
      <c r="B323" s="10" t="s">
        <v>22</v>
      </c>
      <c r="C323" s="10" t="s">
        <v>686</v>
      </c>
      <c r="D323" s="10" t="s">
        <v>687</v>
      </c>
      <c r="E323" s="10" t="s">
        <v>688</v>
      </c>
      <c r="F323" s="10" t="s">
        <v>689</v>
      </c>
      <c r="G323" s="11">
        <v>4600</v>
      </c>
      <c r="H323" s="163" t="s">
        <v>722</v>
      </c>
      <c r="I323" s="158" t="s">
        <v>723</v>
      </c>
      <c r="J323" s="163" t="s">
        <v>714</v>
      </c>
      <c r="K323" s="10" t="s">
        <v>30</v>
      </c>
      <c r="L323" s="10">
        <v>15</v>
      </c>
      <c r="M323" s="10">
        <f t="shared" ref="M323:M386" si="20">ROUND(IF(K323="Authorized User",L323/3,L323),2)</f>
        <v>5</v>
      </c>
      <c r="N323" s="10">
        <v>15</v>
      </c>
      <c r="O323" s="12">
        <v>5</v>
      </c>
      <c r="P323" s="11">
        <v>7660</v>
      </c>
      <c r="Q323" s="10" t="s">
        <v>36</v>
      </c>
      <c r="R323" s="4" t="s">
        <v>1282</v>
      </c>
      <c r="S323" s="4" t="s">
        <v>1279</v>
      </c>
      <c r="T323" s="4" t="s">
        <v>19</v>
      </c>
      <c r="U323" s="4" t="str">
        <f t="shared" si="19"/>
        <v>NOT AN ADD-ON</v>
      </c>
      <c r="V323" s="4" t="str">
        <f t="shared" ref="V323:V386" si="21">CONCATENATE(R323,S323,T323,U323)</f>
        <v>OIL AND GASINDUSTRY SOLUTIONAUTHORIZEDNOT AN ADD-ON</v>
      </c>
    </row>
    <row r="324" spans="1:22" ht="15" thickBot="1">
      <c r="A324" s="10" t="s">
        <v>21</v>
      </c>
      <c r="B324" s="10" t="s">
        <v>22</v>
      </c>
      <c r="C324" s="10" t="s">
        <v>686</v>
      </c>
      <c r="D324" s="10" t="s">
        <v>687</v>
      </c>
      <c r="E324" s="10" t="s">
        <v>688</v>
      </c>
      <c r="F324" s="10" t="s">
        <v>689</v>
      </c>
      <c r="G324" s="11">
        <v>4680</v>
      </c>
      <c r="H324" s="163" t="s">
        <v>724</v>
      </c>
      <c r="I324" s="158" t="s">
        <v>725</v>
      </c>
      <c r="J324" s="163" t="s">
        <v>726</v>
      </c>
      <c r="K324" s="10" t="s">
        <v>40</v>
      </c>
      <c r="L324" s="10">
        <v>15</v>
      </c>
      <c r="M324" s="10">
        <f t="shared" si="20"/>
        <v>15</v>
      </c>
      <c r="N324" s="10">
        <v>15</v>
      </c>
      <c r="O324" s="12">
        <v>1</v>
      </c>
      <c r="P324" s="11">
        <v>23400</v>
      </c>
      <c r="Q324" s="10" t="s">
        <v>31</v>
      </c>
      <c r="R324" s="4" t="s">
        <v>1282</v>
      </c>
      <c r="S324" s="4" t="s">
        <v>1279</v>
      </c>
      <c r="T324" s="4" t="s">
        <v>19</v>
      </c>
      <c r="U324" s="4" t="str">
        <f t="shared" si="19"/>
        <v>NOT AN ADD-ON</v>
      </c>
      <c r="V324" s="4" t="str">
        <f t="shared" si="21"/>
        <v>OIL AND GASINDUSTRY SOLUTIONAUTHORIZEDNOT AN ADD-ON</v>
      </c>
    </row>
    <row r="325" spans="1:22" ht="15" thickBot="1">
      <c r="A325" s="10" t="s">
        <v>21</v>
      </c>
      <c r="B325" s="10" t="s">
        <v>22</v>
      </c>
      <c r="C325" s="10" t="s">
        <v>686</v>
      </c>
      <c r="D325" s="10" t="s">
        <v>687</v>
      </c>
      <c r="E325" s="10" t="s">
        <v>688</v>
      </c>
      <c r="F325" s="10" t="s">
        <v>689</v>
      </c>
      <c r="G325" s="11">
        <v>23400</v>
      </c>
      <c r="H325" s="163" t="s">
        <v>726</v>
      </c>
      <c r="I325" s="158" t="s">
        <v>727</v>
      </c>
      <c r="J325" s="163" t="s">
        <v>726</v>
      </c>
      <c r="K325" s="10" t="s">
        <v>40</v>
      </c>
      <c r="L325" s="10">
        <v>15</v>
      </c>
      <c r="M325" s="10">
        <f t="shared" si="20"/>
        <v>15</v>
      </c>
      <c r="N325" s="10">
        <v>15</v>
      </c>
      <c r="O325" s="12">
        <v>1</v>
      </c>
      <c r="P325" s="11">
        <v>23400</v>
      </c>
      <c r="Q325" s="10" t="s">
        <v>33</v>
      </c>
      <c r="R325" s="4" t="s">
        <v>1282</v>
      </c>
      <c r="S325" s="4" t="s">
        <v>1279</v>
      </c>
      <c r="T325" s="4" t="s">
        <v>19</v>
      </c>
      <c r="U325" s="4" t="str">
        <f t="shared" si="19"/>
        <v>NOT AN ADD-ON</v>
      </c>
      <c r="V325" s="4" t="str">
        <f t="shared" si="21"/>
        <v>OIL AND GASINDUSTRY SOLUTIONAUTHORIZEDNOT AN ADD-ON</v>
      </c>
    </row>
    <row r="326" spans="1:22" ht="15" thickBot="1">
      <c r="A326" s="10" t="s">
        <v>21</v>
      </c>
      <c r="B326" s="10" t="s">
        <v>22</v>
      </c>
      <c r="C326" s="10" t="s">
        <v>686</v>
      </c>
      <c r="D326" s="10" t="s">
        <v>687</v>
      </c>
      <c r="E326" s="10" t="s">
        <v>688</v>
      </c>
      <c r="F326" s="10" t="s">
        <v>689</v>
      </c>
      <c r="G326" s="11">
        <v>14000</v>
      </c>
      <c r="H326" s="163" t="s">
        <v>728</v>
      </c>
      <c r="I326" s="158" t="s">
        <v>729</v>
      </c>
      <c r="J326" s="163" t="s">
        <v>726</v>
      </c>
      <c r="K326" s="10" t="s">
        <v>40</v>
      </c>
      <c r="L326" s="10">
        <v>15</v>
      </c>
      <c r="M326" s="10">
        <f t="shared" si="20"/>
        <v>15</v>
      </c>
      <c r="N326" s="10">
        <v>15</v>
      </c>
      <c r="O326" s="12">
        <v>1</v>
      </c>
      <c r="P326" s="11">
        <v>23400</v>
      </c>
      <c r="Q326" s="10" t="s">
        <v>36</v>
      </c>
      <c r="R326" s="4" t="s">
        <v>1282</v>
      </c>
      <c r="S326" s="4" t="s">
        <v>1279</v>
      </c>
      <c r="T326" s="4" t="s">
        <v>19</v>
      </c>
      <c r="U326" s="4" t="str">
        <f t="shared" si="19"/>
        <v>NOT AN ADD-ON</v>
      </c>
      <c r="V326" s="4" t="str">
        <f t="shared" si="21"/>
        <v>OIL AND GASINDUSTRY SOLUTIONAUTHORIZEDNOT AN ADD-ON</v>
      </c>
    </row>
    <row r="327" spans="1:22" ht="15" thickBot="1">
      <c r="A327" s="10" t="s">
        <v>21</v>
      </c>
      <c r="B327" s="10" t="s">
        <v>22</v>
      </c>
      <c r="C327" s="10" t="s">
        <v>686</v>
      </c>
      <c r="D327" s="10" t="s">
        <v>687</v>
      </c>
      <c r="E327" s="10" t="s">
        <v>688</v>
      </c>
      <c r="F327" s="10" t="s">
        <v>689</v>
      </c>
      <c r="G327" s="11">
        <v>5030</v>
      </c>
      <c r="H327" s="163" t="s">
        <v>730</v>
      </c>
      <c r="I327" s="166" t="s">
        <v>731</v>
      </c>
      <c r="J327" s="163" t="s">
        <v>732</v>
      </c>
      <c r="K327" s="10" t="s">
        <v>40</v>
      </c>
      <c r="L327" s="10">
        <v>15</v>
      </c>
      <c r="M327" s="10">
        <f t="shared" si="20"/>
        <v>15</v>
      </c>
      <c r="N327" s="10">
        <v>15</v>
      </c>
      <c r="O327" s="12">
        <v>1</v>
      </c>
      <c r="P327" s="11">
        <v>23400</v>
      </c>
      <c r="Q327" s="10" t="s">
        <v>48</v>
      </c>
      <c r="R327" s="4" t="s">
        <v>1282</v>
      </c>
      <c r="S327" s="4" t="s">
        <v>1279</v>
      </c>
      <c r="T327" s="4" t="s">
        <v>19</v>
      </c>
      <c r="U327" s="4" t="str">
        <f t="shared" si="19"/>
        <v>NOT AN ADD-ON</v>
      </c>
      <c r="V327" s="4" t="str">
        <f t="shared" si="21"/>
        <v>OIL AND GASINDUSTRY SOLUTIONAUTHORIZEDNOT AN ADD-ON</v>
      </c>
    </row>
    <row r="328" spans="1:22" ht="15" thickBot="1">
      <c r="A328" s="10" t="s">
        <v>21</v>
      </c>
      <c r="B328" s="10" t="s">
        <v>22</v>
      </c>
      <c r="C328" s="10" t="s">
        <v>686</v>
      </c>
      <c r="D328" s="10" t="s">
        <v>687</v>
      </c>
      <c r="E328" s="10" t="s">
        <v>688</v>
      </c>
      <c r="F328" s="10" t="s">
        <v>689</v>
      </c>
      <c r="G328" s="11">
        <v>8260</v>
      </c>
      <c r="H328" s="163" t="s">
        <v>733</v>
      </c>
      <c r="I328" s="166" t="s">
        <v>734</v>
      </c>
      <c r="J328" s="163" t="s">
        <v>732</v>
      </c>
      <c r="K328" s="10" t="s">
        <v>40</v>
      </c>
      <c r="L328" s="10">
        <v>15</v>
      </c>
      <c r="M328" s="10">
        <f t="shared" si="20"/>
        <v>15</v>
      </c>
      <c r="N328" s="10">
        <v>15</v>
      </c>
      <c r="O328" s="12">
        <v>1</v>
      </c>
      <c r="P328" s="11">
        <v>23400</v>
      </c>
      <c r="Q328" s="10" t="s">
        <v>48</v>
      </c>
      <c r="R328" s="4" t="s">
        <v>1282</v>
      </c>
      <c r="S328" s="4" t="s">
        <v>1279</v>
      </c>
      <c r="T328" s="4" t="s">
        <v>19</v>
      </c>
      <c r="U328" s="4" t="str">
        <f t="shared" si="19"/>
        <v>NOT AN ADD-ON</v>
      </c>
      <c r="V328" s="4" t="str">
        <f t="shared" si="21"/>
        <v>OIL AND GASINDUSTRY SOLUTIONAUTHORIZEDNOT AN ADD-ON</v>
      </c>
    </row>
    <row r="329" spans="1:22" ht="15" thickBot="1">
      <c r="A329" s="10" t="s">
        <v>21</v>
      </c>
      <c r="B329" s="10" t="s">
        <v>22</v>
      </c>
      <c r="C329" s="10" t="s">
        <v>686</v>
      </c>
      <c r="D329" s="10" t="s">
        <v>687</v>
      </c>
      <c r="E329" s="10" t="s">
        <v>688</v>
      </c>
      <c r="F329" s="10" t="s">
        <v>689</v>
      </c>
      <c r="G329" s="11">
        <v>4680</v>
      </c>
      <c r="H329" s="163" t="s">
        <v>735</v>
      </c>
      <c r="I329" s="158" t="s">
        <v>736</v>
      </c>
      <c r="J329" s="163" t="s">
        <v>732</v>
      </c>
      <c r="K329" s="10" t="s">
        <v>40</v>
      </c>
      <c r="L329" s="10">
        <v>15</v>
      </c>
      <c r="M329" s="10">
        <f t="shared" si="20"/>
        <v>15</v>
      </c>
      <c r="N329" s="10">
        <v>15</v>
      </c>
      <c r="O329" s="12">
        <v>1</v>
      </c>
      <c r="P329" s="11">
        <v>23400</v>
      </c>
      <c r="Q329" s="10" t="s">
        <v>31</v>
      </c>
      <c r="R329" s="4" t="s">
        <v>1282</v>
      </c>
      <c r="S329" s="4" t="s">
        <v>1279</v>
      </c>
      <c r="T329" s="4" t="s">
        <v>19</v>
      </c>
      <c r="U329" s="4" t="str">
        <f t="shared" si="19"/>
        <v>NOT AN ADD-ON</v>
      </c>
      <c r="V329" s="4" t="str">
        <f t="shared" si="21"/>
        <v>OIL AND GASINDUSTRY SOLUTIONAUTHORIZEDNOT AN ADD-ON</v>
      </c>
    </row>
    <row r="330" spans="1:22" ht="15" thickBot="1">
      <c r="A330" s="10" t="s">
        <v>21</v>
      </c>
      <c r="B330" s="10" t="s">
        <v>22</v>
      </c>
      <c r="C330" s="10" t="s">
        <v>686</v>
      </c>
      <c r="D330" s="10" t="s">
        <v>687</v>
      </c>
      <c r="E330" s="10" t="s">
        <v>688</v>
      </c>
      <c r="F330" s="10" t="s">
        <v>689</v>
      </c>
      <c r="G330" s="11">
        <v>23400</v>
      </c>
      <c r="H330" s="163" t="s">
        <v>732</v>
      </c>
      <c r="I330" s="158" t="s">
        <v>737</v>
      </c>
      <c r="J330" s="163" t="s">
        <v>732</v>
      </c>
      <c r="K330" s="10" t="s">
        <v>40</v>
      </c>
      <c r="L330" s="10">
        <v>15</v>
      </c>
      <c r="M330" s="10">
        <f t="shared" si="20"/>
        <v>15</v>
      </c>
      <c r="N330" s="10">
        <v>15</v>
      </c>
      <c r="O330" s="12">
        <v>1</v>
      </c>
      <c r="P330" s="11">
        <v>23400</v>
      </c>
      <c r="Q330" s="10" t="s">
        <v>33</v>
      </c>
      <c r="R330" s="4" t="s">
        <v>1282</v>
      </c>
      <c r="S330" s="4" t="s">
        <v>1279</v>
      </c>
      <c r="T330" s="4" t="s">
        <v>19</v>
      </c>
      <c r="U330" s="4" t="str">
        <f t="shared" si="19"/>
        <v>NOT AN ADD-ON</v>
      </c>
      <c r="V330" s="4" t="str">
        <f t="shared" si="21"/>
        <v>OIL AND GASINDUSTRY SOLUTIONAUTHORIZEDNOT AN ADD-ON</v>
      </c>
    </row>
    <row r="331" spans="1:22" ht="15" thickBot="1">
      <c r="A331" s="10" t="s">
        <v>21</v>
      </c>
      <c r="B331" s="10" t="s">
        <v>22</v>
      </c>
      <c r="C331" s="10" t="s">
        <v>686</v>
      </c>
      <c r="D331" s="10" t="s">
        <v>687</v>
      </c>
      <c r="E331" s="10" t="s">
        <v>688</v>
      </c>
      <c r="F331" s="10" t="s">
        <v>689</v>
      </c>
      <c r="G331" s="11">
        <v>14000</v>
      </c>
      <c r="H331" s="163" t="s">
        <v>738</v>
      </c>
      <c r="I331" s="158" t="s">
        <v>739</v>
      </c>
      <c r="J331" s="163" t="s">
        <v>732</v>
      </c>
      <c r="K331" s="10" t="s">
        <v>40</v>
      </c>
      <c r="L331" s="10">
        <v>15</v>
      </c>
      <c r="M331" s="10">
        <f t="shared" si="20"/>
        <v>15</v>
      </c>
      <c r="N331" s="10">
        <v>15</v>
      </c>
      <c r="O331" s="12">
        <v>1</v>
      </c>
      <c r="P331" s="11">
        <v>23400</v>
      </c>
      <c r="Q331" s="10" t="s">
        <v>36</v>
      </c>
      <c r="R331" s="4" t="s">
        <v>1282</v>
      </c>
      <c r="S331" s="4" t="s">
        <v>1279</v>
      </c>
      <c r="T331" s="4" t="s">
        <v>19</v>
      </c>
      <c r="U331" s="4" t="str">
        <f t="shared" si="19"/>
        <v>NOT AN ADD-ON</v>
      </c>
      <c r="V331" s="4" t="str">
        <f t="shared" si="21"/>
        <v>OIL AND GASINDUSTRY SOLUTIONAUTHORIZEDNOT AN ADD-ON</v>
      </c>
    </row>
    <row r="332" spans="1:22" ht="15" thickBot="1">
      <c r="A332" s="10" t="s">
        <v>21</v>
      </c>
      <c r="B332" s="10" t="s">
        <v>22</v>
      </c>
      <c r="C332" s="10" t="s">
        <v>686</v>
      </c>
      <c r="D332" s="10" t="s">
        <v>687</v>
      </c>
      <c r="E332" s="10" t="s">
        <v>688</v>
      </c>
      <c r="F332" s="10" t="s">
        <v>689</v>
      </c>
      <c r="G332" s="11">
        <v>5030</v>
      </c>
      <c r="H332" s="163" t="s">
        <v>740</v>
      </c>
      <c r="I332" s="166" t="s">
        <v>741</v>
      </c>
      <c r="J332" s="163" t="s">
        <v>726</v>
      </c>
      <c r="K332" s="10" t="s">
        <v>40</v>
      </c>
      <c r="L332" s="10">
        <v>15</v>
      </c>
      <c r="M332" s="10">
        <f t="shared" si="20"/>
        <v>15</v>
      </c>
      <c r="N332" s="10">
        <v>15</v>
      </c>
      <c r="O332" s="12">
        <v>1</v>
      </c>
      <c r="P332" s="11">
        <v>23400</v>
      </c>
      <c r="Q332" s="10" t="s">
        <v>48</v>
      </c>
      <c r="R332" s="4" t="s">
        <v>1282</v>
      </c>
      <c r="S332" s="4" t="s">
        <v>1279</v>
      </c>
      <c r="T332" s="4" t="s">
        <v>19</v>
      </c>
      <c r="U332" s="4" t="str">
        <f t="shared" si="19"/>
        <v>NOT AN ADD-ON</v>
      </c>
      <c r="V332" s="4" t="str">
        <f t="shared" si="21"/>
        <v>OIL AND GASINDUSTRY SOLUTIONAUTHORIZEDNOT AN ADD-ON</v>
      </c>
    </row>
    <row r="333" spans="1:22" ht="15" thickBot="1">
      <c r="A333" s="10" t="s">
        <v>21</v>
      </c>
      <c r="B333" s="10" t="s">
        <v>22</v>
      </c>
      <c r="C333" s="10" t="s">
        <v>686</v>
      </c>
      <c r="D333" s="10" t="s">
        <v>687</v>
      </c>
      <c r="E333" s="10" t="s">
        <v>688</v>
      </c>
      <c r="F333" s="10" t="s">
        <v>689</v>
      </c>
      <c r="G333" s="11">
        <v>8260</v>
      </c>
      <c r="H333" s="163" t="s">
        <v>742</v>
      </c>
      <c r="I333" s="166" t="s">
        <v>743</v>
      </c>
      <c r="J333" s="163" t="s">
        <v>726</v>
      </c>
      <c r="K333" s="10" t="s">
        <v>40</v>
      </c>
      <c r="L333" s="10">
        <v>15</v>
      </c>
      <c r="M333" s="10">
        <f t="shared" si="20"/>
        <v>15</v>
      </c>
      <c r="N333" s="10">
        <v>15</v>
      </c>
      <c r="O333" s="12">
        <v>1</v>
      </c>
      <c r="P333" s="11">
        <v>23400</v>
      </c>
      <c r="Q333" s="10" t="s">
        <v>48</v>
      </c>
      <c r="R333" s="4" t="s">
        <v>1282</v>
      </c>
      <c r="S333" s="4" t="s">
        <v>1279</v>
      </c>
      <c r="T333" s="4" t="s">
        <v>19</v>
      </c>
      <c r="U333" s="4" t="str">
        <f t="shared" si="19"/>
        <v>NOT AN ADD-ON</v>
      </c>
      <c r="V333" s="4" t="str">
        <f t="shared" si="21"/>
        <v>OIL AND GASINDUSTRY SOLUTIONAUTHORIZEDNOT AN ADD-ON</v>
      </c>
    </row>
    <row r="334" spans="1:22" ht="15" thickBot="1">
      <c r="A334" s="10" t="s">
        <v>21</v>
      </c>
      <c r="B334" s="10" t="s">
        <v>22</v>
      </c>
      <c r="C334" s="10" t="s">
        <v>686</v>
      </c>
      <c r="D334" s="10" t="s">
        <v>687</v>
      </c>
      <c r="E334" s="10" t="s">
        <v>688</v>
      </c>
      <c r="F334" s="10" t="s">
        <v>689</v>
      </c>
      <c r="G334" s="11">
        <v>431</v>
      </c>
      <c r="H334" s="163" t="s">
        <v>744</v>
      </c>
      <c r="I334" s="158" t="s">
        <v>745</v>
      </c>
      <c r="J334" s="163" t="s">
        <v>746</v>
      </c>
      <c r="K334" s="10" t="s">
        <v>30</v>
      </c>
      <c r="L334" s="10">
        <v>5</v>
      </c>
      <c r="M334" s="10">
        <f t="shared" si="20"/>
        <v>1.67</v>
      </c>
      <c r="N334" s="10">
        <v>15</v>
      </c>
      <c r="O334" s="12">
        <v>5</v>
      </c>
      <c r="P334" s="11">
        <v>2150</v>
      </c>
      <c r="Q334" s="10" t="s">
        <v>31</v>
      </c>
      <c r="R334" s="4" t="s">
        <v>1282</v>
      </c>
      <c r="S334" s="4" t="s">
        <v>1279</v>
      </c>
      <c r="T334" s="4" t="s">
        <v>19</v>
      </c>
      <c r="U334" s="4" t="s">
        <v>507</v>
      </c>
      <c r="V334" s="4" t="str">
        <f t="shared" si="21"/>
        <v>OIL AND GASINDUSTRY SOLUTIONAUTHORIZEDADD-ON</v>
      </c>
    </row>
    <row r="335" spans="1:22" ht="15" thickBot="1">
      <c r="A335" s="10" t="s">
        <v>21</v>
      </c>
      <c r="B335" s="10" t="s">
        <v>22</v>
      </c>
      <c r="C335" s="10" t="s">
        <v>686</v>
      </c>
      <c r="D335" s="10" t="s">
        <v>687</v>
      </c>
      <c r="E335" s="10" t="s">
        <v>688</v>
      </c>
      <c r="F335" s="10" t="s">
        <v>689</v>
      </c>
      <c r="G335" s="11">
        <v>2150</v>
      </c>
      <c r="H335" s="163" t="s">
        <v>746</v>
      </c>
      <c r="I335" s="158" t="s">
        <v>747</v>
      </c>
      <c r="J335" s="163" t="s">
        <v>746</v>
      </c>
      <c r="K335" s="10" t="s">
        <v>30</v>
      </c>
      <c r="L335" s="10">
        <v>5</v>
      </c>
      <c r="M335" s="10">
        <f t="shared" si="20"/>
        <v>1.67</v>
      </c>
      <c r="N335" s="10">
        <v>15</v>
      </c>
      <c r="O335" s="12">
        <v>5</v>
      </c>
      <c r="P335" s="11">
        <v>2150</v>
      </c>
      <c r="Q335" s="10" t="s">
        <v>33</v>
      </c>
      <c r="R335" s="4" t="s">
        <v>1282</v>
      </c>
      <c r="S335" s="4" t="s">
        <v>1279</v>
      </c>
      <c r="T335" s="4" t="s">
        <v>19</v>
      </c>
      <c r="U335" s="4" t="s">
        <v>507</v>
      </c>
      <c r="V335" s="4" t="str">
        <f t="shared" si="21"/>
        <v>OIL AND GASINDUSTRY SOLUTIONAUTHORIZEDADD-ON</v>
      </c>
    </row>
    <row r="336" spans="1:22" ht="15" thickBot="1">
      <c r="A336" s="10" t="s">
        <v>21</v>
      </c>
      <c r="B336" s="10" t="s">
        <v>22</v>
      </c>
      <c r="C336" s="10" t="s">
        <v>686</v>
      </c>
      <c r="D336" s="10" t="s">
        <v>687</v>
      </c>
      <c r="E336" s="10" t="s">
        <v>688</v>
      </c>
      <c r="F336" s="10" t="s">
        <v>689</v>
      </c>
      <c r="G336" s="11">
        <v>1300</v>
      </c>
      <c r="H336" s="163" t="s">
        <v>748</v>
      </c>
      <c r="I336" s="158" t="s">
        <v>749</v>
      </c>
      <c r="J336" s="163" t="s">
        <v>746</v>
      </c>
      <c r="K336" s="10" t="s">
        <v>30</v>
      </c>
      <c r="L336" s="10">
        <v>5</v>
      </c>
      <c r="M336" s="10">
        <f t="shared" si="20"/>
        <v>1.67</v>
      </c>
      <c r="N336" s="10">
        <v>15</v>
      </c>
      <c r="O336" s="12">
        <v>5</v>
      </c>
      <c r="P336" s="11">
        <v>2150</v>
      </c>
      <c r="Q336" s="10" t="s">
        <v>36</v>
      </c>
      <c r="R336" s="4" t="s">
        <v>1282</v>
      </c>
      <c r="S336" s="4" t="s">
        <v>1279</v>
      </c>
      <c r="T336" s="4" t="s">
        <v>19</v>
      </c>
      <c r="U336" s="4" t="s">
        <v>507</v>
      </c>
      <c r="V336" s="4" t="str">
        <f t="shared" si="21"/>
        <v>OIL AND GASINDUSTRY SOLUTIONAUTHORIZEDADD-ON</v>
      </c>
    </row>
    <row r="337" spans="1:22" ht="27" thickBot="1">
      <c r="A337" s="10" t="s">
        <v>21</v>
      </c>
      <c r="B337" s="10" t="s">
        <v>22</v>
      </c>
      <c r="C337" s="10" t="s">
        <v>686</v>
      </c>
      <c r="D337" s="10" t="s">
        <v>687</v>
      </c>
      <c r="E337" s="10" t="s">
        <v>688</v>
      </c>
      <c r="F337" s="10" t="s">
        <v>689</v>
      </c>
      <c r="G337" s="11">
        <v>2680</v>
      </c>
      <c r="H337" s="163" t="s">
        <v>750</v>
      </c>
      <c r="I337" s="166" t="s">
        <v>751</v>
      </c>
      <c r="J337" s="163" t="s">
        <v>746</v>
      </c>
      <c r="K337" s="10" t="s">
        <v>30</v>
      </c>
      <c r="L337" s="10">
        <v>15</v>
      </c>
      <c r="M337" s="10">
        <f t="shared" si="20"/>
        <v>5</v>
      </c>
      <c r="N337" s="10">
        <v>15</v>
      </c>
      <c r="O337" s="12">
        <v>5</v>
      </c>
      <c r="P337" s="11">
        <v>7660</v>
      </c>
      <c r="Q337" s="10" t="s">
        <v>48</v>
      </c>
      <c r="R337" s="4" t="s">
        <v>1282</v>
      </c>
      <c r="S337" s="4" t="s">
        <v>1279</v>
      </c>
      <c r="T337" s="4" t="s">
        <v>19</v>
      </c>
      <c r="U337" s="4" t="str">
        <f t="shared" ref="U337:U350" si="22">IF(ISNUMBER(SEARCH("ADD-ON",$I337)),"ADD-ON","NOT AN ADD-ON")</f>
        <v>NOT AN ADD-ON</v>
      </c>
      <c r="V337" s="4" t="str">
        <f t="shared" si="21"/>
        <v>OIL AND GASINDUSTRY SOLUTIONAUTHORIZEDNOT AN ADD-ON</v>
      </c>
    </row>
    <row r="338" spans="1:22" ht="27" thickBot="1">
      <c r="A338" s="10" t="s">
        <v>21</v>
      </c>
      <c r="B338" s="10" t="s">
        <v>22</v>
      </c>
      <c r="C338" s="10" t="s">
        <v>686</v>
      </c>
      <c r="D338" s="10" t="s">
        <v>687</v>
      </c>
      <c r="E338" s="10" t="s">
        <v>688</v>
      </c>
      <c r="F338" s="10" t="s">
        <v>689</v>
      </c>
      <c r="G338" s="11">
        <v>5470</v>
      </c>
      <c r="H338" s="163" t="s">
        <v>752</v>
      </c>
      <c r="I338" s="166" t="s">
        <v>753</v>
      </c>
      <c r="J338" s="163" t="s">
        <v>746</v>
      </c>
      <c r="K338" s="10" t="s">
        <v>30</v>
      </c>
      <c r="L338" s="10">
        <v>15</v>
      </c>
      <c r="M338" s="10">
        <f t="shared" si="20"/>
        <v>5</v>
      </c>
      <c r="N338" s="10">
        <v>15</v>
      </c>
      <c r="O338" s="12">
        <v>5</v>
      </c>
      <c r="P338" s="11">
        <v>7660</v>
      </c>
      <c r="Q338" s="10" t="s">
        <v>48</v>
      </c>
      <c r="R338" s="4" t="s">
        <v>1282</v>
      </c>
      <c r="S338" s="4" t="s">
        <v>1279</v>
      </c>
      <c r="T338" s="4" t="s">
        <v>19</v>
      </c>
      <c r="U338" s="4" t="str">
        <f t="shared" si="22"/>
        <v>NOT AN ADD-ON</v>
      </c>
      <c r="V338" s="4" t="str">
        <f t="shared" si="21"/>
        <v>OIL AND GASINDUSTRY SOLUTIONAUTHORIZEDNOT AN ADD-ON</v>
      </c>
    </row>
    <row r="339" spans="1:22" ht="27" thickBot="1">
      <c r="A339" s="10" t="s">
        <v>21</v>
      </c>
      <c r="B339" s="10" t="s">
        <v>22</v>
      </c>
      <c r="C339" s="10" t="s">
        <v>686</v>
      </c>
      <c r="D339" s="10" t="s">
        <v>687</v>
      </c>
      <c r="E339" s="10" t="s">
        <v>688</v>
      </c>
      <c r="F339" s="10" t="s">
        <v>689</v>
      </c>
      <c r="G339" s="11">
        <v>4900</v>
      </c>
      <c r="H339" s="163" t="s">
        <v>754</v>
      </c>
      <c r="I339" s="166" t="s">
        <v>755</v>
      </c>
      <c r="J339" s="163" t="s">
        <v>746</v>
      </c>
      <c r="K339" s="10" t="s">
        <v>30</v>
      </c>
      <c r="L339" s="10">
        <v>15</v>
      </c>
      <c r="M339" s="10">
        <f t="shared" si="20"/>
        <v>5</v>
      </c>
      <c r="N339" s="10">
        <v>15</v>
      </c>
      <c r="O339" s="12">
        <v>5</v>
      </c>
      <c r="P339" s="11">
        <v>7660</v>
      </c>
      <c r="Q339" s="10" t="s">
        <v>48</v>
      </c>
      <c r="R339" s="4" t="s">
        <v>1282</v>
      </c>
      <c r="S339" s="4" t="s">
        <v>1279</v>
      </c>
      <c r="T339" s="4" t="s">
        <v>19</v>
      </c>
      <c r="U339" s="4" t="str">
        <f t="shared" si="22"/>
        <v>NOT AN ADD-ON</v>
      </c>
      <c r="V339" s="4" t="str">
        <f t="shared" si="21"/>
        <v>OIL AND GASINDUSTRY SOLUTIONAUTHORIZEDNOT AN ADD-ON</v>
      </c>
    </row>
    <row r="340" spans="1:22" ht="15" thickBot="1">
      <c r="A340" s="10" t="s">
        <v>21</v>
      </c>
      <c r="B340" s="10" t="s">
        <v>22</v>
      </c>
      <c r="C340" s="10" t="s">
        <v>686</v>
      </c>
      <c r="D340" s="10" t="s">
        <v>687</v>
      </c>
      <c r="E340" s="10" t="s">
        <v>688</v>
      </c>
      <c r="F340" s="10" t="s">
        <v>689</v>
      </c>
      <c r="G340" s="11">
        <v>1520</v>
      </c>
      <c r="H340" s="163" t="s">
        <v>756</v>
      </c>
      <c r="I340" s="158" t="s">
        <v>757</v>
      </c>
      <c r="J340" s="163" t="s">
        <v>758</v>
      </c>
      <c r="K340" s="10" t="s">
        <v>30</v>
      </c>
      <c r="L340" s="10">
        <v>15</v>
      </c>
      <c r="M340" s="10">
        <f t="shared" si="20"/>
        <v>5</v>
      </c>
      <c r="N340" s="10">
        <v>15</v>
      </c>
      <c r="O340" s="12">
        <v>5</v>
      </c>
      <c r="P340" s="11">
        <v>7660</v>
      </c>
      <c r="Q340" s="10" t="s">
        <v>31</v>
      </c>
      <c r="R340" s="4" t="s">
        <v>1282</v>
      </c>
      <c r="S340" s="4" t="s">
        <v>1279</v>
      </c>
      <c r="T340" s="4" t="s">
        <v>19</v>
      </c>
      <c r="U340" s="4" t="str">
        <f t="shared" si="22"/>
        <v>NOT AN ADD-ON</v>
      </c>
      <c r="V340" s="4" t="str">
        <f t="shared" si="21"/>
        <v>OIL AND GASINDUSTRY SOLUTIONAUTHORIZEDNOT AN ADD-ON</v>
      </c>
    </row>
    <row r="341" spans="1:22" ht="15" thickBot="1">
      <c r="A341" s="10" t="s">
        <v>21</v>
      </c>
      <c r="B341" s="10" t="s">
        <v>22</v>
      </c>
      <c r="C341" s="10" t="s">
        <v>686</v>
      </c>
      <c r="D341" s="10" t="s">
        <v>687</v>
      </c>
      <c r="E341" s="10" t="s">
        <v>688</v>
      </c>
      <c r="F341" s="10" t="s">
        <v>689</v>
      </c>
      <c r="G341" s="11">
        <v>7660</v>
      </c>
      <c r="H341" s="163" t="s">
        <v>758</v>
      </c>
      <c r="I341" s="158" t="s">
        <v>759</v>
      </c>
      <c r="J341" s="163" t="s">
        <v>758</v>
      </c>
      <c r="K341" s="10" t="s">
        <v>30</v>
      </c>
      <c r="L341" s="10">
        <v>15</v>
      </c>
      <c r="M341" s="10">
        <f t="shared" si="20"/>
        <v>5</v>
      </c>
      <c r="N341" s="10">
        <v>15</v>
      </c>
      <c r="O341" s="12">
        <v>5</v>
      </c>
      <c r="P341" s="11">
        <v>7660</v>
      </c>
      <c r="Q341" s="10" t="s">
        <v>33</v>
      </c>
      <c r="R341" s="4" t="s">
        <v>1282</v>
      </c>
      <c r="S341" s="4" t="s">
        <v>1279</v>
      </c>
      <c r="T341" s="4" t="s">
        <v>19</v>
      </c>
      <c r="U341" s="4" t="str">
        <f t="shared" si="22"/>
        <v>NOT AN ADD-ON</v>
      </c>
      <c r="V341" s="4" t="str">
        <f t="shared" si="21"/>
        <v>OIL AND GASINDUSTRY SOLUTIONAUTHORIZEDNOT AN ADD-ON</v>
      </c>
    </row>
    <row r="342" spans="1:22" ht="15" thickBot="1">
      <c r="A342" s="10" t="s">
        <v>21</v>
      </c>
      <c r="B342" s="10" t="s">
        <v>22</v>
      </c>
      <c r="C342" s="10" t="s">
        <v>686</v>
      </c>
      <c r="D342" s="10" t="s">
        <v>687</v>
      </c>
      <c r="E342" s="10" t="s">
        <v>688</v>
      </c>
      <c r="F342" s="10" t="s">
        <v>689</v>
      </c>
      <c r="G342" s="11">
        <v>4600</v>
      </c>
      <c r="H342" s="163" t="s">
        <v>760</v>
      </c>
      <c r="I342" s="158" t="s">
        <v>761</v>
      </c>
      <c r="J342" s="163" t="s">
        <v>758</v>
      </c>
      <c r="K342" s="10" t="s">
        <v>30</v>
      </c>
      <c r="L342" s="10">
        <v>15</v>
      </c>
      <c r="M342" s="10">
        <f t="shared" si="20"/>
        <v>5</v>
      </c>
      <c r="N342" s="10">
        <v>15</v>
      </c>
      <c r="O342" s="12">
        <v>5</v>
      </c>
      <c r="P342" s="11">
        <v>7660</v>
      </c>
      <c r="Q342" s="10" t="s">
        <v>36</v>
      </c>
      <c r="R342" s="4" t="s">
        <v>1282</v>
      </c>
      <c r="S342" s="4" t="s">
        <v>1279</v>
      </c>
      <c r="T342" s="4" t="s">
        <v>19</v>
      </c>
      <c r="U342" s="4" t="str">
        <f t="shared" si="22"/>
        <v>NOT AN ADD-ON</v>
      </c>
      <c r="V342" s="4" t="str">
        <f t="shared" si="21"/>
        <v>OIL AND GASINDUSTRY SOLUTIONAUTHORIZEDNOT AN ADD-ON</v>
      </c>
    </row>
    <row r="343" spans="1:22" ht="15" thickBot="1">
      <c r="A343" s="10" t="s">
        <v>21</v>
      </c>
      <c r="B343" s="10" t="s">
        <v>22</v>
      </c>
      <c r="C343" s="10" t="s">
        <v>686</v>
      </c>
      <c r="D343" s="10" t="s">
        <v>687</v>
      </c>
      <c r="E343" s="10" t="s">
        <v>688</v>
      </c>
      <c r="F343" s="10" t="s">
        <v>689</v>
      </c>
      <c r="G343" s="11">
        <v>1330</v>
      </c>
      <c r="H343" s="163" t="s">
        <v>762</v>
      </c>
      <c r="I343" s="166" t="s">
        <v>763</v>
      </c>
      <c r="J343" s="163" t="s">
        <v>764</v>
      </c>
      <c r="K343" s="10" t="s">
        <v>30</v>
      </c>
      <c r="L343" s="10">
        <v>5</v>
      </c>
      <c r="M343" s="10">
        <f t="shared" si="20"/>
        <v>1.67</v>
      </c>
      <c r="N343" s="10">
        <v>5</v>
      </c>
      <c r="O343" s="12">
        <v>1.6666666666666667</v>
      </c>
      <c r="P343" s="11">
        <v>3840</v>
      </c>
      <c r="Q343" s="10" t="s">
        <v>48</v>
      </c>
      <c r="R343" s="4" t="s">
        <v>1282</v>
      </c>
      <c r="S343" s="4" t="s">
        <v>1279</v>
      </c>
      <c r="T343" s="4" t="s">
        <v>672</v>
      </c>
      <c r="U343" s="4" t="str">
        <f t="shared" si="22"/>
        <v>NOT AN ADD-ON</v>
      </c>
      <c r="V343" s="4" t="str">
        <f t="shared" si="21"/>
        <v>OIL AND GASINDUSTRY SOLUTIONLIMITEDNOT AN ADD-ON</v>
      </c>
    </row>
    <row r="344" spans="1:22" ht="15" thickBot="1">
      <c r="A344" s="10" t="s">
        <v>21</v>
      </c>
      <c r="B344" s="10" t="s">
        <v>22</v>
      </c>
      <c r="C344" s="10" t="s">
        <v>686</v>
      </c>
      <c r="D344" s="10" t="s">
        <v>687</v>
      </c>
      <c r="E344" s="10" t="s">
        <v>688</v>
      </c>
      <c r="F344" s="10" t="s">
        <v>689</v>
      </c>
      <c r="G344" s="11">
        <v>767</v>
      </c>
      <c r="H344" s="163" t="s">
        <v>765</v>
      </c>
      <c r="I344" s="158" t="s">
        <v>766</v>
      </c>
      <c r="J344" s="163" t="s">
        <v>764</v>
      </c>
      <c r="K344" s="10" t="s">
        <v>30</v>
      </c>
      <c r="L344" s="10">
        <v>5</v>
      </c>
      <c r="M344" s="10">
        <f t="shared" si="20"/>
        <v>1.67</v>
      </c>
      <c r="N344" s="10">
        <v>5</v>
      </c>
      <c r="O344" s="12">
        <v>1.6666666666666667</v>
      </c>
      <c r="P344" s="11">
        <v>3840</v>
      </c>
      <c r="Q344" s="10" t="s">
        <v>31</v>
      </c>
      <c r="R344" s="4" t="s">
        <v>1282</v>
      </c>
      <c r="S344" s="4" t="s">
        <v>1279</v>
      </c>
      <c r="T344" s="4" t="s">
        <v>672</v>
      </c>
      <c r="U344" s="4" t="str">
        <f t="shared" si="22"/>
        <v>NOT AN ADD-ON</v>
      </c>
      <c r="V344" s="4" t="str">
        <f t="shared" si="21"/>
        <v>OIL AND GASINDUSTRY SOLUTIONLIMITEDNOT AN ADD-ON</v>
      </c>
    </row>
    <row r="345" spans="1:22" ht="15" thickBot="1">
      <c r="A345" s="10" t="s">
        <v>21</v>
      </c>
      <c r="B345" s="10" t="s">
        <v>22</v>
      </c>
      <c r="C345" s="10" t="s">
        <v>686</v>
      </c>
      <c r="D345" s="10" t="s">
        <v>687</v>
      </c>
      <c r="E345" s="10" t="s">
        <v>688</v>
      </c>
      <c r="F345" s="10" t="s">
        <v>689</v>
      </c>
      <c r="G345" s="11">
        <v>3840</v>
      </c>
      <c r="H345" s="163" t="s">
        <v>764</v>
      </c>
      <c r="I345" s="158" t="s">
        <v>767</v>
      </c>
      <c r="J345" s="163" t="s">
        <v>764</v>
      </c>
      <c r="K345" s="10" t="s">
        <v>30</v>
      </c>
      <c r="L345" s="10">
        <v>5</v>
      </c>
      <c r="M345" s="10">
        <f t="shared" si="20"/>
        <v>1.67</v>
      </c>
      <c r="N345" s="10">
        <v>5</v>
      </c>
      <c r="O345" s="12">
        <v>1.6666666666666667</v>
      </c>
      <c r="P345" s="11">
        <v>3840</v>
      </c>
      <c r="Q345" s="10" t="s">
        <v>33</v>
      </c>
      <c r="R345" s="4" t="s">
        <v>1282</v>
      </c>
      <c r="S345" s="4" t="s">
        <v>1279</v>
      </c>
      <c r="T345" s="4" t="s">
        <v>672</v>
      </c>
      <c r="U345" s="4" t="str">
        <f t="shared" si="22"/>
        <v>NOT AN ADD-ON</v>
      </c>
      <c r="V345" s="4" t="str">
        <f t="shared" si="21"/>
        <v>OIL AND GASINDUSTRY SOLUTIONLIMITEDNOT AN ADD-ON</v>
      </c>
    </row>
    <row r="346" spans="1:22" ht="15" thickBot="1">
      <c r="A346" s="10" t="s">
        <v>21</v>
      </c>
      <c r="B346" s="10" t="s">
        <v>22</v>
      </c>
      <c r="C346" s="10" t="s">
        <v>686</v>
      </c>
      <c r="D346" s="10" t="s">
        <v>687</v>
      </c>
      <c r="E346" s="10" t="s">
        <v>688</v>
      </c>
      <c r="F346" s="10" t="s">
        <v>689</v>
      </c>
      <c r="G346" s="11">
        <v>2310</v>
      </c>
      <c r="H346" s="163" t="s">
        <v>768</v>
      </c>
      <c r="I346" s="158" t="s">
        <v>769</v>
      </c>
      <c r="J346" s="163" t="s">
        <v>764</v>
      </c>
      <c r="K346" s="10" t="s">
        <v>30</v>
      </c>
      <c r="L346" s="10">
        <v>5</v>
      </c>
      <c r="M346" s="10">
        <f t="shared" si="20"/>
        <v>1.67</v>
      </c>
      <c r="N346" s="10">
        <v>5</v>
      </c>
      <c r="O346" s="12">
        <v>1.6666666666666667</v>
      </c>
      <c r="P346" s="11">
        <v>3840</v>
      </c>
      <c r="Q346" s="10" t="s">
        <v>36</v>
      </c>
      <c r="R346" s="4" t="s">
        <v>1282</v>
      </c>
      <c r="S346" s="4" t="s">
        <v>1279</v>
      </c>
      <c r="T346" s="4" t="s">
        <v>672</v>
      </c>
      <c r="U346" s="4" t="str">
        <f t="shared" si="22"/>
        <v>NOT AN ADD-ON</v>
      </c>
      <c r="V346" s="4" t="str">
        <f t="shared" si="21"/>
        <v>OIL AND GASINDUSTRY SOLUTIONLIMITEDNOT AN ADD-ON</v>
      </c>
    </row>
    <row r="347" spans="1:22" ht="27" thickBot="1">
      <c r="A347" s="10" t="s">
        <v>21</v>
      </c>
      <c r="B347" s="10" t="s">
        <v>22</v>
      </c>
      <c r="C347" s="10" t="s">
        <v>686</v>
      </c>
      <c r="D347" s="10" t="s">
        <v>687</v>
      </c>
      <c r="E347" s="10" t="s">
        <v>688</v>
      </c>
      <c r="F347" s="10" t="s">
        <v>689</v>
      </c>
      <c r="G347" s="11">
        <v>1330</v>
      </c>
      <c r="H347" s="163" t="s">
        <v>770</v>
      </c>
      <c r="I347" s="166" t="s">
        <v>771</v>
      </c>
      <c r="J347" s="163" t="s">
        <v>772</v>
      </c>
      <c r="K347" s="10" t="s">
        <v>30</v>
      </c>
      <c r="L347" s="10">
        <v>5</v>
      </c>
      <c r="M347" s="10">
        <f t="shared" si="20"/>
        <v>1.67</v>
      </c>
      <c r="N347" s="10">
        <v>5</v>
      </c>
      <c r="O347" s="12">
        <v>1.6666666666666667</v>
      </c>
      <c r="P347" s="11">
        <v>3840</v>
      </c>
      <c r="Q347" s="10" t="s">
        <v>48</v>
      </c>
      <c r="R347" s="4" t="s">
        <v>1282</v>
      </c>
      <c r="S347" s="4" t="s">
        <v>1279</v>
      </c>
      <c r="T347" s="4" t="s">
        <v>672</v>
      </c>
      <c r="U347" s="4" t="str">
        <f t="shared" si="22"/>
        <v>NOT AN ADD-ON</v>
      </c>
      <c r="V347" s="4" t="str">
        <f t="shared" si="21"/>
        <v>OIL AND GASINDUSTRY SOLUTIONLIMITEDNOT AN ADD-ON</v>
      </c>
    </row>
    <row r="348" spans="1:22" ht="15" thickBot="1">
      <c r="A348" s="10" t="s">
        <v>21</v>
      </c>
      <c r="B348" s="10" t="s">
        <v>22</v>
      </c>
      <c r="C348" s="10" t="s">
        <v>686</v>
      </c>
      <c r="D348" s="10" t="s">
        <v>687</v>
      </c>
      <c r="E348" s="10" t="s">
        <v>688</v>
      </c>
      <c r="F348" s="10" t="s">
        <v>689</v>
      </c>
      <c r="G348" s="11">
        <v>767</v>
      </c>
      <c r="H348" s="163" t="s">
        <v>773</v>
      </c>
      <c r="I348" s="158" t="s">
        <v>774</v>
      </c>
      <c r="J348" s="163" t="s">
        <v>772</v>
      </c>
      <c r="K348" s="10" t="s">
        <v>30</v>
      </c>
      <c r="L348" s="10">
        <v>5</v>
      </c>
      <c r="M348" s="10">
        <f t="shared" si="20"/>
        <v>1.67</v>
      </c>
      <c r="N348" s="10">
        <v>5</v>
      </c>
      <c r="O348" s="12">
        <v>1.6666666666666667</v>
      </c>
      <c r="P348" s="11">
        <v>3840</v>
      </c>
      <c r="Q348" s="10" t="s">
        <v>31</v>
      </c>
      <c r="R348" s="4" t="s">
        <v>1282</v>
      </c>
      <c r="S348" s="4" t="s">
        <v>1279</v>
      </c>
      <c r="T348" s="4" t="s">
        <v>672</v>
      </c>
      <c r="U348" s="4" t="str">
        <f t="shared" si="22"/>
        <v>NOT AN ADD-ON</v>
      </c>
      <c r="V348" s="4" t="str">
        <f t="shared" si="21"/>
        <v>OIL AND GASINDUSTRY SOLUTIONLIMITEDNOT AN ADD-ON</v>
      </c>
    </row>
    <row r="349" spans="1:22" ht="15" thickBot="1">
      <c r="A349" s="10" t="s">
        <v>21</v>
      </c>
      <c r="B349" s="10" t="s">
        <v>22</v>
      </c>
      <c r="C349" s="10" t="s">
        <v>686</v>
      </c>
      <c r="D349" s="10" t="s">
        <v>687</v>
      </c>
      <c r="E349" s="10" t="s">
        <v>688</v>
      </c>
      <c r="F349" s="10" t="s">
        <v>689</v>
      </c>
      <c r="G349" s="11">
        <v>3840</v>
      </c>
      <c r="H349" s="163" t="s">
        <v>772</v>
      </c>
      <c r="I349" s="158" t="s">
        <v>775</v>
      </c>
      <c r="J349" s="163" t="s">
        <v>772</v>
      </c>
      <c r="K349" s="10" t="s">
        <v>30</v>
      </c>
      <c r="L349" s="10">
        <v>5</v>
      </c>
      <c r="M349" s="10">
        <f t="shared" si="20"/>
        <v>1.67</v>
      </c>
      <c r="N349" s="10">
        <v>5</v>
      </c>
      <c r="O349" s="12">
        <v>1.6666666666666667</v>
      </c>
      <c r="P349" s="11">
        <v>3840</v>
      </c>
      <c r="Q349" s="10" t="s">
        <v>33</v>
      </c>
      <c r="R349" s="4" t="s">
        <v>1282</v>
      </c>
      <c r="S349" s="4" t="s">
        <v>1279</v>
      </c>
      <c r="T349" s="4" t="s">
        <v>672</v>
      </c>
      <c r="U349" s="4" t="str">
        <f t="shared" si="22"/>
        <v>NOT AN ADD-ON</v>
      </c>
      <c r="V349" s="4" t="str">
        <f t="shared" si="21"/>
        <v>OIL AND GASINDUSTRY SOLUTIONLIMITEDNOT AN ADD-ON</v>
      </c>
    </row>
    <row r="350" spans="1:22" ht="15" thickBot="1">
      <c r="A350" s="10" t="s">
        <v>21</v>
      </c>
      <c r="B350" s="10" t="s">
        <v>22</v>
      </c>
      <c r="C350" s="10" t="s">
        <v>686</v>
      </c>
      <c r="D350" s="10" t="s">
        <v>687</v>
      </c>
      <c r="E350" s="10" t="s">
        <v>688</v>
      </c>
      <c r="F350" s="10" t="s">
        <v>689</v>
      </c>
      <c r="G350" s="11">
        <v>2310</v>
      </c>
      <c r="H350" s="163" t="s">
        <v>776</v>
      </c>
      <c r="I350" s="158" t="s">
        <v>777</v>
      </c>
      <c r="J350" s="163" t="s">
        <v>772</v>
      </c>
      <c r="K350" s="10" t="s">
        <v>30</v>
      </c>
      <c r="L350" s="10">
        <v>5</v>
      </c>
      <c r="M350" s="10">
        <f t="shared" si="20"/>
        <v>1.67</v>
      </c>
      <c r="N350" s="10">
        <v>5</v>
      </c>
      <c r="O350" s="12">
        <v>1.6666666666666667</v>
      </c>
      <c r="P350" s="11">
        <v>3840</v>
      </c>
      <c r="Q350" s="10" t="s">
        <v>36</v>
      </c>
      <c r="R350" s="4" t="s">
        <v>1282</v>
      </c>
      <c r="S350" s="4" t="s">
        <v>1279</v>
      </c>
      <c r="T350" s="4" t="s">
        <v>672</v>
      </c>
      <c r="U350" s="4" t="str">
        <f t="shared" si="22"/>
        <v>NOT AN ADD-ON</v>
      </c>
      <c r="V350" s="4" t="str">
        <f t="shared" si="21"/>
        <v>OIL AND GASINDUSTRY SOLUTIONLIMITEDNOT AN ADD-ON</v>
      </c>
    </row>
    <row r="351" spans="1:22" ht="15" thickBot="1">
      <c r="A351" s="10" t="s">
        <v>21</v>
      </c>
      <c r="B351" s="10" t="s">
        <v>22</v>
      </c>
      <c r="C351" s="10" t="s">
        <v>778</v>
      </c>
      <c r="D351" s="10" t="s">
        <v>779</v>
      </c>
      <c r="E351" s="10" t="s">
        <v>780</v>
      </c>
      <c r="F351" s="10" t="s">
        <v>781</v>
      </c>
      <c r="G351" s="11">
        <v>431</v>
      </c>
      <c r="H351" s="163" t="s">
        <v>782</v>
      </c>
      <c r="I351" s="158" t="s">
        <v>783</v>
      </c>
      <c r="J351" s="163" t="s">
        <v>784</v>
      </c>
      <c r="K351" s="10" t="s">
        <v>30</v>
      </c>
      <c r="L351" s="10">
        <v>5</v>
      </c>
      <c r="M351" s="10">
        <f t="shared" si="20"/>
        <v>1.67</v>
      </c>
      <c r="N351" s="10">
        <v>15</v>
      </c>
      <c r="O351" s="12">
        <v>5</v>
      </c>
      <c r="P351" s="11">
        <v>2150</v>
      </c>
      <c r="Q351" s="10" t="s">
        <v>31</v>
      </c>
      <c r="R351" s="4" t="s">
        <v>1283</v>
      </c>
      <c r="S351" s="4" t="s">
        <v>1279</v>
      </c>
      <c r="T351" s="4" t="s">
        <v>19</v>
      </c>
      <c r="U351" s="4" t="s">
        <v>507</v>
      </c>
      <c r="V351" s="4" t="str">
        <f t="shared" si="21"/>
        <v>TRANSPORATIONINDUSTRY SOLUTIONAUTHORIZEDADD-ON</v>
      </c>
    </row>
    <row r="352" spans="1:22" ht="15" thickBot="1">
      <c r="A352" s="10" t="s">
        <v>21</v>
      </c>
      <c r="B352" s="10" t="s">
        <v>22</v>
      </c>
      <c r="C352" s="10" t="s">
        <v>778</v>
      </c>
      <c r="D352" s="10" t="s">
        <v>779</v>
      </c>
      <c r="E352" s="10" t="s">
        <v>780</v>
      </c>
      <c r="F352" s="10" t="s">
        <v>781</v>
      </c>
      <c r="G352" s="11">
        <v>2150</v>
      </c>
      <c r="H352" s="163" t="s">
        <v>784</v>
      </c>
      <c r="I352" s="158" t="s">
        <v>785</v>
      </c>
      <c r="J352" s="163" t="s">
        <v>784</v>
      </c>
      <c r="K352" s="10" t="s">
        <v>30</v>
      </c>
      <c r="L352" s="10">
        <v>5</v>
      </c>
      <c r="M352" s="10">
        <f t="shared" si="20"/>
        <v>1.67</v>
      </c>
      <c r="N352" s="10">
        <v>15</v>
      </c>
      <c r="O352" s="12">
        <v>5</v>
      </c>
      <c r="P352" s="11">
        <v>2150</v>
      </c>
      <c r="Q352" s="10" t="s">
        <v>33</v>
      </c>
      <c r="R352" s="4" t="s">
        <v>1283</v>
      </c>
      <c r="S352" s="4" t="s">
        <v>1279</v>
      </c>
      <c r="T352" s="4" t="s">
        <v>19</v>
      </c>
      <c r="U352" s="4" t="s">
        <v>507</v>
      </c>
      <c r="V352" s="4" t="str">
        <f t="shared" si="21"/>
        <v>TRANSPORATIONINDUSTRY SOLUTIONAUTHORIZEDADD-ON</v>
      </c>
    </row>
    <row r="353" spans="1:22" ht="29.25" customHeight="1" thickBot="1">
      <c r="A353" s="10" t="s">
        <v>21</v>
      </c>
      <c r="B353" s="10" t="s">
        <v>22</v>
      </c>
      <c r="C353" s="10" t="s">
        <v>778</v>
      </c>
      <c r="D353" s="10" t="s">
        <v>779</v>
      </c>
      <c r="E353" s="10" t="s">
        <v>780</v>
      </c>
      <c r="F353" s="10" t="s">
        <v>781</v>
      </c>
      <c r="G353" s="11">
        <v>1300</v>
      </c>
      <c r="H353" s="163" t="s">
        <v>786</v>
      </c>
      <c r="I353" s="158" t="s">
        <v>787</v>
      </c>
      <c r="J353" s="163" t="s">
        <v>784</v>
      </c>
      <c r="K353" s="10" t="s">
        <v>30</v>
      </c>
      <c r="L353" s="10">
        <v>5</v>
      </c>
      <c r="M353" s="10">
        <f t="shared" si="20"/>
        <v>1.67</v>
      </c>
      <c r="N353" s="10">
        <v>15</v>
      </c>
      <c r="O353" s="12">
        <v>5</v>
      </c>
      <c r="P353" s="11">
        <v>2150</v>
      </c>
      <c r="Q353" s="10" t="s">
        <v>36</v>
      </c>
      <c r="R353" s="4" t="s">
        <v>1283</v>
      </c>
      <c r="S353" s="4" t="s">
        <v>1279</v>
      </c>
      <c r="T353" s="4" t="s">
        <v>19</v>
      </c>
      <c r="U353" s="4" t="s">
        <v>507</v>
      </c>
      <c r="V353" s="4" t="str">
        <f t="shared" si="21"/>
        <v>TRANSPORATIONINDUSTRY SOLUTIONAUTHORIZEDADD-ON</v>
      </c>
    </row>
    <row r="354" spans="1:22" ht="15" thickBot="1">
      <c r="A354" s="10" t="s">
        <v>21</v>
      </c>
      <c r="B354" s="10" t="s">
        <v>22</v>
      </c>
      <c r="C354" s="10" t="s">
        <v>778</v>
      </c>
      <c r="D354" s="10" t="s">
        <v>779</v>
      </c>
      <c r="E354" s="10" t="s">
        <v>780</v>
      </c>
      <c r="F354" s="10" t="s">
        <v>781</v>
      </c>
      <c r="G354" s="11">
        <v>1320</v>
      </c>
      <c r="H354" s="163" t="s">
        <v>788</v>
      </c>
      <c r="I354" s="158" t="s">
        <v>789</v>
      </c>
      <c r="J354" s="163" t="s">
        <v>790</v>
      </c>
      <c r="K354" s="10" t="s">
        <v>40</v>
      </c>
      <c r="L354" s="10">
        <v>5</v>
      </c>
      <c r="M354" s="10">
        <f t="shared" si="20"/>
        <v>5</v>
      </c>
      <c r="N354" s="10">
        <v>15</v>
      </c>
      <c r="O354" s="12">
        <v>1</v>
      </c>
      <c r="P354" s="11">
        <v>6570</v>
      </c>
      <c r="Q354" s="10" t="s">
        <v>31</v>
      </c>
      <c r="R354" s="4" t="s">
        <v>1283</v>
      </c>
      <c r="S354" s="4" t="s">
        <v>1279</v>
      </c>
      <c r="T354" s="4" t="s">
        <v>19</v>
      </c>
      <c r="U354" s="4" t="s">
        <v>507</v>
      </c>
      <c r="V354" s="4" t="str">
        <f t="shared" si="21"/>
        <v>TRANSPORATIONINDUSTRY SOLUTIONAUTHORIZEDADD-ON</v>
      </c>
    </row>
    <row r="355" spans="1:22" ht="15" thickBot="1">
      <c r="A355" s="10" t="s">
        <v>21</v>
      </c>
      <c r="B355" s="10" t="s">
        <v>22</v>
      </c>
      <c r="C355" s="10" t="s">
        <v>778</v>
      </c>
      <c r="D355" s="10" t="s">
        <v>779</v>
      </c>
      <c r="E355" s="10" t="s">
        <v>780</v>
      </c>
      <c r="F355" s="10" t="s">
        <v>781</v>
      </c>
      <c r="G355" s="11">
        <v>6570</v>
      </c>
      <c r="H355" s="163" t="s">
        <v>790</v>
      </c>
      <c r="I355" s="158" t="s">
        <v>791</v>
      </c>
      <c r="J355" s="163" t="s">
        <v>790</v>
      </c>
      <c r="K355" s="10" t="s">
        <v>40</v>
      </c>
      <c r="L355" s="10">
        <v>5</v>
      </c>
      <c r="M355" s="10">
        <f t="shared" si="20"/>
        <v>5</v>
      </c>
      <c r="N355" s="10">
        <v>15</v>
      </c>
      <c r="O355" s="12">
        <v>1</v>
      </c>
      <c r="P355" s="11">
        <v>6570</v>
      </c>
      <c r="Q355" s="10" t="s">
        <v>33</v>
      </c>
      <c r="R355" s="4" t="s">
        <v>1283</v>
      </c>
      <c r="S355" s="4" t="s">
        <v>1279</v>
      </c>
      <c r="T355" s="4" t="s">
        <v>19</v>
      </c>
      <c r="U355" s="4" t="s">
        <v>507</v>
      </c>
      <c r="V355" s="4" t="str">
        <f t="shared" si="21"/>
        <v>TRANSPORATIONINDUSTRY SOLUTIONAUTHORIZEDADD-ON</v>
      </c>
    </row>
    <row r="356" spans="1:22" ht="15" thickBot="1">
      <c r="A356" s="10" t="s">
        <v>21</v>
      </c>
      <c r="B356" s="10" t="s">
        <v>22</v>
      </c>
      <c r="C356" s="10" t="s">
        <v>778</v>
      </c>
      <c r="D356" s="10" t="s">
        <v>779</v>
      </c>
      <c r="E356" s="10" t="s">
        <v>780</v>
      </c>
      <c r="F356" s="10" t="s">
        <v>781</v>
      </c>
      <c r="G356" s="11">
        <v>3940</v>
      </c>
      <c r="H356" s="163" t="s">
        <v>792</v>
      </c>
      <c r="I356" s="158" t="s">
        <v>793</v>
      </c>
      <c r="J356" s="163" t="s">
        <v>790</v>
      </c>
      <c r="K356" s="10" t="s">
        <v>40</v>
      </c>
      <c r="L356" s="10">
        <v>5</v>
      </c>
      <c r="M356" s="10">
        <f t="shared" si="20"/>
        <v>5</v>
      </c>
      <c r="N356" s="10">
        <v>15</v>
      </c>
      <c r="O356" s="12">
        <v>1</v>
      </c>
      <c r="P356" s="11">
        <v>6570</v>
      </c>
      <c r="Q356" s="10" t="s">
        <v>36</v>
      </c>
      <c r="R356" s="4" t="s">
        <v>1283</v>
      </c>
      <c r="S356" s="4" t="s">
        <v>1279</v>
      </c>
      <c r="T356" s="4" t="s">
        <v>19</v>
      </c>
      <c r="U356" s="4" t="s">
        <v>507</v>
      </c>
      <c r="V356" s="4" t="str">
        <f t="shared" si="21"/>
        <v>TRANSPORATIONINDUSTRY SOLUTIONAUTHORIZEDADD-ON</v>
      </c>
    </row>
    <row r="357" spans="1:22" ht="15" thickBot="1">
      <c r="A357" s="10" t="s">
        <v>21</v>
      </c>
      <c r="B357" s="10" t="s">
        <v>22</v>
      </c>
      <c r="C357" s="10" t="s">
        <v>778</v>
      </c>
      <c r="D357" s="10" t="s">
        <v>779</v>
      </c>
      <c r="E357" s="10" t="s">
        <v>780</v>
      </c>
      <c r="F357" s="10" t="s">
        <v>781</v>
      </c>
      <c r="G357" s="11">
        <v>1320</v>
      </c>
      <c r="H357" s="163" t="s">
        <v>794</v>
      </c>
      <c r="I357" s="158" t="s">
        <v>795</v>
      </c>
      <c r="J357" s="163" t="s">
        <v>796</v>
      </c>
      <c r="K357" s="10" t="s">
        <v>40</v>
      </c>
      <c r="L357" s="10">
        <v>5</v>
      </c>
      <c r="M357" s="10">
        <f t="shared" si="20"/>
        <v>5</v>
      </c>
      <c r="N357" s="10">
        <v>15</v>
      </c>
      <c r="O357" s="12">
        <v>1</v>
      </c>
      <c r="P357" s="11">
        <v>6570</v>
      </c>
      <c r="Q357" s="10" t="s">
        <v>31</v>
      </c>
      <c r="R357" s="4" t="s">
        <v>1283</v>
      </c>
      <c r="S357" s="4" t="s">
        <v>1279</v>
      </c>
      <c r="T357" s="4" t="s">
        <v>19</v>
      </c>
      <c r="U357" s="4" t="s">
        <v>507</v>
      </c>
      <c r="V357" s="4" t="str">
        <f t="shared" si="21"/>
        <v>TRANSPORATIONINDUSTRY SOLUTIONAUTHORIZEDADD-ON</v>
      </c>
    </row>
    <row r="358" spans="1:22" ht="15" thickBot="1">
      <c r="A358" s="10" t="s">
        <v>21</v>
      </c>
      <c r="B358" s="10" t="s">
        <v>22</v>
      </c>
      <c r="C358" s="10" t="s">
        <v>778</v>
      </c>
      <c r="D358" s="10" t="s">
        <v>779</v>
      </c>
      <c r="E358" s="10" t="s">
        <v>780</v>
      </c>
      <c r="F358" s="10" t="s">
        <v>781</v>
      </c>
      <c r="G358" s="11">
        <v>6570</v>
      </c>
      <c r="H358" s="163" t="s">
        <v>796</v>
      </c>
      <c r="I358" s="158" t="s">
        <v>797</v>
      </c>
      <c r="J358" s="163" t="s">
        <v>796</v>
      </c>
      <c r="K358" s="10" t="s">
        <v>40</v>
      </c>
      <c r="L358" s="10">
        <v>5</v>
      </c>
      <c r="M358" s="10">
        <f t="shared" si="20"/>
        <v>5</v>
      </c>
      <c r="N358" s="10">
        <v>15</v>
      </c>
      <c r="O358" s="12">
        <v>1</v>
      </c>
      <c r="P358" s="11">
        <v>6570</v>
      </c>
      <c r="Q358" s="10" t="s">
        <v>33</v>
      </c>
      <c r="R358" s="4" t="s">
        <v>1283</v>
      </c>
      <c r="S358" s="4" t="s">
        <v>1279</v>
      </c>
      <c r="T358" s="4" t="s">
        <v>19</v>
      </c>
      <c r="U358" s="4" t="s">
        <v>507</v>
      </c>
      <c r="V358" s="4" t="str">
        <f t="shared" si="21"/>
        <v>TRANSPORATIONINDUSTRY SOLUTIONAUTHORIZEDADD-ON</v>
      </c>
    </row>
    <row r="359" spans="1:22" ht="15" thickBot="1">
      <c r="A359" s="10" t="s">
        <v>21</v>
      </c>
      <c r="B359" s="10" t="s">
        <v>22</v>
      </c>
      <c r="C359" s="10" t="s">
        <v>778</v>
      </c>
      <c r="D359" s="10" t="s">
        <v>779</v>
      </c>
      <c r="E359" s="10" t="s">
        <v>780</v>
      </c>
      <c r="F359" s="10" t="s">
        <v>781</v>
      </c>
      <c r="G359" s="11">
        <v>3940</v>
      </c>
      <c r="H359" s="163" t="s">
        <v>798</v>
      </c>
      <c r="I359" s="158" t="s">
        <v>799</v>
      </c>
      <c r="J359" s="163" t="s">
        <v>796</v>
      </c>
      <c r="K359" s="10" t="s">
        <v>40</v>
      </c>
      <c r="L359" s="10">
        <v>5</v>
      </c>
      <c r="M359" s="10">
        <f t="shared" si="20"/>
        <v>5</v>
      </c>
      <c r="N359" s="10">
        <v>15</v>
      </c>
      <c r="O359" s="12">
        <v>1</v>
      </c>
      <c r="P359" s="11">
        <v>6570</v>
      </c>
      <c r="Q359" s="10" t="s">
        <v>36</v>
      </c>
      <c r="R359" s="4" t="s">
        <v>1283</v>
      </c>
      <c r="S359" s="4" t="s">
        <v>1279</v>
      </c>
      <c r="T359" s="4" t="s">
        <v>19</v>
      </c>
      <c r="U359" s="4" t="s">
        <v>507</v>
      </c>
      <c r="V359" s="4" t="str">
        <f t="shared" si="21"/>
        <v>TRANSPORATIONINDUSTRY SOLUTIONAUTHORIZEDADD-ON</v>
      </c>
    </row>
    <row r="360" spans="1:22" ht="27" thickBot="1">
      <c r="A360" s="10" t="s">
        <v>21</v>
      </c>
      <c r="B360" s="10" t="s">
        <v>22</v>
      </c>
      <c r="C360" s="10" t="s">
        <v>778</v>
      </c>
      <c r="D360" s="10" t="s">
        <v>779</v>
      </c>
      <c r="E360" s="10" t="s">
        <v>780</v>
      </c>
      <c r="F360" s="10" t="s">
        <v>781</v>
      </c>
      <c r="G360" s="11">
        <v>1410</v>
      </c>
      <c r="H360" s="163" t="s">
        <v>800</v>
      </c>
      <c r="I360" s="166" t="s">
        <v>801</v>
      </c>
      <c r="J360" s="163" t="s">
        <v>796</v>
      </c>
      <c r="K360" s="10" t="s">
        <v>40</v>
      </c>
      <c r="L360" s="10">
        <v>5</v>
      </c>
      <c r="M360" s="10">
        <f t="shared" si="20"/>
        <v>5</v>
      </c>
      <c r="N360" s="10">
        <v>15</v>
      </c>
      <c r="O360" s="12">
        <v>1</v>
      </c>
      <c r="P360" s="11">
        <v>6570</v>
      </c>
      <c r="Q360" s="10" t="s">
        <v>48</v>
      </c>
      <c r="R360" s="4" t="s">
        <v>1283</v>
      </c>
      <c r="S360" s="4" t="s">
        <v>1279</v>
      </c>
      <c r="T360" s="4" t="s">
        <v>19</v>
      </c>
      <c r="U360" s="4" t="s">
        <v>507</v>
      </c>
      <c r="V360" s="4" t="str">
        <f t="shared" si="21"/>
        <v>TRANSPORATIONINDUSTRY SOLUTIONAUTHORIZEDADD-ON</v>
      </c>
    </row>
    <row r="361" spans="1:22" ht="15" thickBot="1">
      <c r="A361" s="10" t="s">
        <v>21</v>
      </c>
      <c r="B361" s="10" t="s">
        <v>22</v>
      </c>
      <c r="C361" s="10" t="s">
        <v>778</v>
      </c>
      <c r="D361" s="10" t="s">
        <v>779</v>
      </c>
      <c r="E361" s="10" t="s">
        <v>780</v>
      </c>
      <c r="F361" s="10" t="s">
        <v>781</v>
      </c>
      <c r="G361" s="11">
        <v>1410</v>
      </c>
      <c r="H361" s="163" t="s">
        <v>802</v>
      </c>
      <c r="I361" s="166" t="s">
        <v>803</v>
      </c>
      <c r="J361" s="163" t="s">
        <v>790</v>
      </c>
      <c r="K361" s="10" t="s">
        <v>40</v>
      </c>
      <c r="L361" s="10">
        <v>5</v>
      </c>
      <c r="M361" s="10">
        <f t="shared" si="20"/>
        <v>5</v>
      </c>
      <c r="N361" s="10">
        <v>15</v>
      </c>
      <c r="O361" s="12">
        <v>1</v>
      </c>
      <c r="P361" s="11">
        <v>6570</v>
      </c>
      <c r="Q361" s="10" t="s">
        <v>48</v>
      </c>
      <c r="R361" s="4" t="s">
        <v>1283</v>
      </c>
      <c r="S361" s="4" t="s">
        <v>1279</v>
      </c>
      <c r="T361" s="4" t="s">
        <v>19</v>
      </c>
      <c r="U361" s="4" t="s">
        <v>507</v>
      </c>
      <c r="V361" s="4" t="str">
        <f t="shared" si="21"/>
        <v>TRANSPORATIONINDUSTRY SOLUTIONAUTHORIZEDADD-ON</v>
      </c>
    </row>
    <row r="362" spans="1:22" ht="15" thickBot="1">
      <c r="A362" s="10" t="s">
        <v>21</v>
      </c>
      <c r="B362" s="10" t="s">
        <v>22</v>
      </c>
      <c r="C362" s="10" t="s">
        <v>778</v>
      </c>
      <c r="D362" s="10" t="s">
        <v>779</v>
      </c>
      <c r="E362" s="10" t="s">
        <v>780</v>
      </c>
      <c r="F362" s="10" t="s">
        <v>781</v>
      </c>
      <c r="G362" s="11">
        <v>2680</v>
      </c>
      <c r="H362" s="163" t="s">
        <v>804</v>
      </c>
      <c r="I362" s="166" t="s">
        <v>805</v>
      </c>
      <c r="J362" s="163" t="s">
        <v>806</v>
      </c>
      <c r="K362" s="10" t="s">
        <v>30</v>
      </c>
      <c r="L362" s="10">
        <v>15</v>
      </c>
      <c r="M362" s="10">
        <f t="shared" si="20"/>
        <v>5</v>
      </c>
      <c r="N362" s="10">
        <v>15</v>
      </c>
      <c r="O362" s="12">
        <v>5</v>
      </c>
      <c r="P362" s="11">
        <v>7660</v>
      </c>
      <c r="Q362" s="10" t="s">
        <v>48</v>
      </c>
      <c r="R362" s="4" t="s">
        <v>1283</v>
      </c>
      <c r="S362" s="4" t="s">
        <v>1279</v>
      </c>
      <c r="T362" s="4" t="s">
        <v>19</v>
      </c>
      <c r="U362" s="4" t="str">
        <f t="shared" ref="U362:U377" si="23">IF(ISNUMBER(SEARCH("ADD-ON",$I362)),"ADD-ON","NOT AN ADD-ON")</f>
        <v>NOT AN ADD-ON</v>
      </c>
      <c r="V362" s="4" t="str">
        <f t="shared" si="21"/>
        <v>TRANSPORATIONINDUSTRY SOLUTIONAUTHORIZEDNOT AN ADD-ON</v>
      </c>
    </row>
    <row r="363" spans="1:22" ht="15" thickBot="1">
      <c r="A363" s="10" t="s">
        <v>21</v>
      </c>
      <c r="B363" s="10" t="s">
        <v>22</v>
      </c>
      <c r="C363" s="10" t="s">
        <v>778</v>
      </c>
      <c r="D363" s="10" t="s">
        <v>779</v>
      </c>
      <c r="E363" s="10" t="s">
        <v>780</v>
      </c>
      <c r="F363" s="10" t="s">
        <v>781</v>
      </c>
      <c r="G363" s="11">
        <v>5470</v>
      </c>
      <c r="H363" s="163" t="s">
        <v>807</v>
      </c>
      <c r="I363" s="166" t="s">
        <v>808</v>
      </c>
      <c r="J363" s="163" t="s">
        <v>806</v>
      </c>
      <c r="K363" s="10" t="s">
        <v>30</v>
      </c>
      <c r="L363" s="10">
        <v>15</v>
      </c>
      <c r="M363" s="10">
        <f t="shared" si="20"/>
        <v>5</v>
      </c>
      <c r="N363" s="10">
        <v>15</v>
      </c>
      <c r="O363" s="12">
        <v>5</v>
      </c>
      <c r="P363" s="11">
        <v>7660</v>
      </c>
      <c r="Q363" s="10" t="s">
        <v>48</v>
      </c>
      <c r="R363" s="4" t="s">
        <v>1283</v>
      </c>
      <c r="S363" s="4" t="s">
        <v>1279</v>
      </c>
      <c r="T363" s="4" t="s">
        <v>19</v>
      </c>
      <c r="U363" s="4" t="str">
        <f t="shared" si="23"/>
        <v>NOT AN ADD-ON</v>
      </c>
      <c r="V363" s="4" t="str">
        <f t="shared" si="21"/>
        <v>TRANSPORATIONINDUSTRY SOLUTIONAUTHORIZEDNOT AN ADD-ON</v>
      </c>
    </row>
    <row r="364" spans="1:22" ht="15" thickBot="1">
      <c r="A364" s="10" t="s">
        <v>21</v>
      </c>
      <c r="B364" s="10" t="s">
        <v>22</v>
      </c>
      <c r="C364" s="10" t="s">
        <v>778</v>
      </c>
      <c r="D364" s="10" t="s">
        <v>779</v>
      </c>
      <c r="E364" s="10" t="s">
        <v>780</v>
      </c>
      <c r="F364" s="10" t="s">
        <v>781</v>
      </c>
      <c r="G364" s="11">
        <v>4900</v>
      </c>
      <c r="H364" s="163" t="s">
        <v>809</v>
      </c>
      <c r="I364" s="166" t="s">
        <v>810</v>
      </c>
      <c r="J364" s="163" t="s">
        <v>806</v>
      </c>
      <c r="K364" s="10" t="s">
        <v>30</v>
      </c>
      <c r="L364" s="10">
        <v>15</v>
      </c>
      <c r="M364" s="10">
        <f t="shared" si="20"/>
        <v>5</v>
      </c>
      <c r="N364" s="10">
        <v>15</v>
      </c>
      <c r="O364" s="12">
        <v>5</v>
      </c>
      <c r="P364" s="11">
        <v>7660</v>
      </c>
      <c r="Q364" s="10" t="s">
        <v>48</v>
      </c>
      <c r="R364" s="4" t="s">
        <v>1283</v>
      </c>
      <c r="S364" s="4" t="s">
        <v>1279</v>
      </c>
      <c r="T364" s="4" t="s">
        <v>19</v>
      </c>
      <c r="U364" s="4" t="str">
        <f t="shared" si="23"/>
        <v>NOT AN ADD-ON</v>
      </c>
      <c r="V364" s="4" t="str">
        <f t="shared" si="21"/>
        <v>TRANSPORATIONINDUSTRY SOLUTIONAUTHORIZEDNOT AN ADD-ON</v>
      </c>
    </row>
    <row r="365" spans="1:22" ht="15" thickBot="1">
      <c r="A365" s="10" t="s">
        <v>21</v>
      </c>
      <c r="B365" s="10" t="s">
        <v>22</v>
      </c>
      <c r="C365" s="10" t="s">
        <v>778</v>
      </c>
      <c r="D365" s="10" t="s">
        <v>779</v>
      </c>
      <c r="E365" s="10" t="s">
        <v>780</v>
      </c>
      <c r="F365" s="10" t="s">
        <v>781</v>
      </c>
      <c r="G365" s="11">
        <v>1520</v>
      </c>
      <c r="H365" s="163" t="s">
        <v>811</v>
      </c>
      <c r="I365" s="158" t="s">
        <v>812</v>
      </c>
      <c r="J365" s="163" t="s">
        <v>806</v>
      </c>
      <c r="K365" s="10" t="s">
        <v>30</v>
      </c>
      <c r="L365" s="10">
        <v>15</v>
      </c>
      <c r="M365" s="10">
        <f t="shared" si="20"/>
        <v>5</v>
      </c>
      <c r="N365" s="10">
        <v>15</v>
      </c>
      <c r="O365" s="12">
        <v>5</v>
      </c>
      <c r="P365" s="11">
        <v>7660</v>
      </c>
      <c r="Q365" s="10" t="s">
        <v>31</v>
      </c>
      <c r="R365" s="4" t="s">
        <v>1283</v>
      </c>
      <c r="S365" s="4" t="s">
        <v>1279</v>
      </c>
      <c r="T365" s="4" t="s">
        <v>19</v>
      </c>
      <c r="U365" s="4" t="str">
        <f t="shared" si="23"/>
        <v>NOT AN ADD-ON</v>
      </c>
      <c r="V365" s="4" t="str">
        <f t="shared" si="21"/>
        <v>TRANSPORATIONINDUSTRY SOLUTIONAUTHORIZEDNOT AN ADD-ON</v>
      </c>
    </row>
    <row r="366" spans="1:22" ht="15" thickBot="1">
      <c r="A366" s="10" t="s">
        <v>21</v>
      </c>
      <c r="B366" s="10" t="s">
        <v>22</v>
      </c>
      <c r="C366" s="10" t="s">
        <v>778</v>
      </c>
      <c r="D366" s="10" t="s">
        <v>779</v>
      </c>
      <c r="E366" s="10" t="s">
        <v>780</v>
      </c>
      <c r="F366" s="10" t="s">
        <v>781</v>
      </c>
      <c r="G366" s="11">
        <v>7660</v>
      </c>
      <c r="H366" s="163" t="s">
        <v>806</v>
      </c>
      <c r="I366" s="158" t="s">
        <v>813</v>
      </c>
      <c r="J366" s="163" t="s">
        <v>806</v>
      </c>
      <c r="K366" s="10" t="s">
        <v>30</v>
      </c>
      <c r="L366" s="10">
        <v>15</v>
      </c>
      <c r="M366" s="10">
        <f t="shared" si="20"/>
        <v>5</v>
      </c>
      <c r="N366" s="10">
        <v>15</v>
      </c>
      <c r="O366" s="12">
        <v>5</v>
      </c>
      <c r="P366" s="11">
        <v>7660</v>
      </c>
      <c r="Q366" s="10" t="s">
        <v>33</v>
      </c>
      <c r="R366" s="4" t="s">
        <v>1283</v>
      </c>
      <c r="S366" s="4" t="s">
        <v>1279</v>
      </c>
      <c r="T366" s="4" t="s">
        <v>19</v>
      </c>
      <c r="U366" s="4" t="str">
        <f t="shared" si="23"/>
        <v>NOT AN ADD-ON</v>
      </c>
      <c r="V366" s="4" t="str">
        <f t="shared" si="21"/>
        <v>TRANSPORATIONINDUSTRY SOLUTIONAUTHORIZEDNOT AN ADD-ON</v>
      </c>
    </row>
    <row r="367" spans="1:22" ht="15" thickBot="1">
      <c r="A367" s="10" t="s">
        <v>21</v>
      </c>
      <c r="B367" s="10" t="s">
        <v>22</v>
      </c>
      <c r="C367" s="10" t="s">
        <v>778</v>
      </c>
      <c r="D367" s="10" t="s">
        <v>779</v>
      </c>
      <c r="E367" s="10" t="s">
        <v>780</v>
      </c>
      <c r="F367" s="10" t="s">
        <v>781</v>
      </c>
      <c r="G367" s="11">
        <v>4600</v>
      </c>
      <c r="H367" s="163" t="s">
        <v>814</v>
      </c>
      <c r="I367" s="158" t="s">
        <v>815</v>
      </c>
      <c r="J367" s="163" t="s">
        <v>806</v>
      </c>
      <c r="K367" s="10" t="s">
        <v>30</v>
      </c>
      <c r="L367" s="10">
        <v>15</v>
      </c>
      <c r="M367" s="10">
        <f t="shared" si="20"/>
        <v>5</v>
      </c>
      <c r="N367" s="10">
        <v>15</v>
      </c>
      <c r="O367" s="12">
        <v>5</v>
      </c>
      <c r="P367" s="11">
        <v>7660</v>
      </c>
      <c r="Q367" s="10" t="s">
        <v>36</v>
      </c>
      <c r="R367" s="4" t="s">
        <v>1283</v>
      </c>
      <c r="S367" s="4" t="s">
        <v>1279</v>
      </c>
      <c r="T367" s="4" t="s">
        <v>19</v>
      </c>
      <c r="U367" s="4" t="str">
        <f t="shared" si="23"/>
        <v>NOT AN ADD-ON</v>
      </c>
      <c r="V367" s="4" t="str">
        <f t="shared" si="21"/>
        <v>TRANSPORATIONINDUSTRY SOLUTIONAUTHORIZEDNOT AN ADD-ON</v>
      </c>
    </row>
    <row r="368" spans="1:22" ht="29.25" customHeight="1" thickBot="1">
      <c r="A368" s="10" t="s">
        <v>21</v>
      </c>
      <c r="B368" s="10" t="s">
        <v>22</v>
      </c>
      <c r="C368" s="10" t="s">
        <v>778</v>
      </c>
      <c r="D368" s="10" t="s">
        <v>779</v>
      </c>
      <c r="E368" s="10" t="s">
        <v>780</v>
      </c>
      <c r="F368" s="10" t="s">
        <v>781</v>
      </c>
      <c r="G368" s="11">
        <v>4680</v>
      </c>
      <c r="H368" s="163" t="s">
        <v>816</v>
      </c>
      <c r="I368" s="158" t="s">
        <v>817</v>
      </c>
      <c r="J368" s="163" t="s">
        <v>818</v>
      </c>
      <c r="K368" s="10" t="s">
        <v>40</v>
      </c>
      <c r="L368" s="10">
        <v>15</v>
      </c>
      <c r="M368" s="10">
        <f t="shared" si="20"/>
        <v>15</v>
      </c>
      <c r="N368" s="10">
        <v>15</v>
      </c>
      <c r="O368" s="12">
        <v>1</v>
      </c>
      <c r="P368" s="11">
        <v>23400</v>
      </c>
      <c r="Q368" s="10" t="s">
        <v>31</v>
      </c>
      <c r="R368" s="4" t="s">
        <v>1283</v>
      </c>
      <c r="S368" s="4" t="s">
        <v>1279</v>
      </c>
      <c r="T368" s="4" t="s">
        <v>19</v>
      </c>
      <c r="U368" s="4" t="str">
        <f t="shared" si="23"/>
        <v>NOT AN ADD-ON</v>
      </c>
      <c r="V368" s="4" t="str">
        <f t="shared" si="21"/>
        <v>TRANSPORATIONINDUSTRY SOLUTIONAUTHORIZEDNOT AN ADD-ON</v>
      </c>
    </row>
    <row r="369" spans="1:22" ht="15" thickBot="1">
      <c r="A369" s="10" t="s">
        <v>21</v>
      </c>
      <c r="B369" s="10" t="s">
        <v>22</v>
      </c>
      <c r="C369" s="10" t="s">
        <v>778</v>
      </c>
      <c r="D369" s="10" t="s">
        <v>779</v>
      </c>
      <c r="E369" s="10" t="s">
        <v>780</v>
      </c>
      <c r="F369" s="10" t="s">
        <v>781</v>
      </c>
      <c r="G369" s="11">
        <v>23400</v>
      </c>
      <c r="H369" s="163" t="s">
        <v>818</v>
      </c>
      <c r="I369" s="158" t="s">
        <v>819</v>
      </c>
      <c r="J369" s="163" t="s">
        <v>818</v>
      </c>
      <c r="K369" s="10" t="s">
        <v>40</v>
      </c>
      <c r="L369" s="10">
        <v>15</v>
      </c>
      <c r="M369" s="10">
        <f t="shared" si="20"/>
        <v>15</v>
      </c>
      <c r="N369" s="10">
        <v>15</v>
      </c>
      <c r="O369" s="12">
        <v>1</v>
      </c>
      <c r="P369" s="11">
        <v>23400</v>
      </c>
      <c r="Q369" s="10" t="s">
        <v>33</v>
      </c>
      <c r="R369" s="4" t="s">
        <v>1283</v>
      </c>
      <c r="S369" s="4" t="s">
        <v>1279</v>
      </c>
      <c r="T369" s="4" t="s">
        <v>19</v>
      </c>
      <c r="U369" s="4" t="str">
        <f t="shared" si="23"/>
        <v>NOT AN ADD-ON</v>
      </c>
      <c r="V369" s="4" t="str">
        <f t="shared" si="21"/>
        <v>TRANSPORATIONINDUSTRY SOLUTIONAUTHORIZEDNOT AN ADD-ON</v>
      </c>
    </row>
    <row r="370" spans="1:22" ht="15" thickBot="1">
      <c r="A370" s="10" t="s">
        <v>21</v>
      </c>
      <c r="B370" s="10" t="s">
        <v>22</v>
      </c>
      <c r="C370" s="10" t="s">
        <v>778</v>
      </c>
      <c r="D370" s="10" t="s">
        <v>779</v>
      </c>
      <c r="E370" s="10" t="s">
        <v>780</v>
      </c>
      <c r="F370" s="10" t="s">
        <v>781</v>
      </c>
      <c r="G370" s="11">
        <v>14000</v>
      </c>
      <c r="H370" s="163" t="s">
        <v>820</v>
      </c>
      <c r="I370" s="158" t="s">
        <v>821</v>
      </c>
      <c r="J370" s="163" t="s">
        <v>818</v>
      </c>
      <c r="K370" s="10" t="s">
        <v>40</v>
      </c>
      <c r="L370" s="10">
        <v>15</v>
      </c>
      <c r="M370" s="10">
        <f t="shared" si="20"/>
        <v>15</v>
      </c>
      <c r="N370" s="10">
        <v>15</v>
      </c>
      <c r="O370" s="12">
        <v>1</v>
      </c>
      <c r="P370" s="11">
        <v>23400</v>
      </c>
      <c r="Q370" s="10" t="s">
        <v>36</v>
      </c>
      <c r="R370" s="4" t="s">
        <v>1283</v>
      </c>
      <c r="S370" s="4" t="s">
        <v>1279</v>
      </c>
      <c r="T370" s="4" t="s">
        <v>19</v>
      </c>
      <c r="U370" s="4" t="str">
        <f t="shared" si="23"/>
        <v>NOT AN ADD-ON</v>
      </c>
      <c r="V370" s="4" t="str">
        <f t="shared" si="21"/>
        <v>TRANSPORATIONINDUSTRY SOLUTIONAUTHORIZEDNOT AN ADD-ON</v>
      </c>
    </row>
    <row r="371" spans="1:22" ht="15" thickBot="1">
      <c r="A371" s="10" t="s">
        <v>21</v>
      </c>
      <c r="B371" s="10" t="s">
        <v>22</v>
      </c>
      <c r="C371" s="10" t="s">
        <v>778</v>
      </c>
      <c r="D371" s="10" t="s">
        <v>779</v>
      </c>
      <c r="E371" s="10" t="s">
        <v>780</v>
      </c>
      <c r="F371" s="10" t="s">
        <v>781</v>
      </c>
      <c r="G371" s="11">
        <v>4680</v>
      </c>
      <c r="H371" s="163" t="s">
        <v>822</v>
      </c>
      <c r="I371" s="158" t="s">
        <v>823</v>
      </c>
      <c r="J371" s="163" t="s">
        <v>824</v>
      </c>
      <c r="K371" s="10" t="s">
        <v>40</v>
      </c>
      <c r="L371" s="10">
        <v>15</v>
      </c>
      <c r="M371" s="10">
        <f t="shared" si="20"/>
        <v>15</v>
      </c>
      <c r="N371" s="10">
        <v>15</v>
      </c>
      <c r="O371" s="12">
        <v>1</v>
      </c>
      <c r="P371" s="11">
        <v>23400</v>
      </c>
      <c r="Q371" s="10" t="s">
        <v>31</v>
      </c>
      <c r="R371" s="4" t="s">
        <v>1283</v>
      </c>
      <c r="S371" s="4" t="s">
        <v>1279</v>
      </c>
      <c r="T371" s="4" t="s">
        <v>19</v>
      </c>
      <c r="U371" s="4" t="str">
        <f t="shared" si="23"/>
        <v>NOT AN ADD-ON</v>
      </c>
      <c r="V371" s="4" t="str">
        <f t="shared" si="21"/>
        <v>TRANSPORATIONINDUSTRY SOLUTIONAUTHORIZEDNOT AN ADD-ON</v>
      </c>
    </row>
    <row r="372" spans="1:22" ht="15" thickBot="1">
      <c r="A372" s="10" t="s">
        <v>21</v>
      </c>
      <c r="B372" s="10" t="s">
        <v>22</v>
      </c>
      <c r="C372" s="10" t="s">
        <v>778</v>
      </c>
      <c r="D372" s="10" t="s">
        <v>779</v>
      </c>
      <c r="E372" s="10" t="s">
        <v>780</v>
      </c>
      <c r="F372" s="10" t="s">
        <v>781</v>
      </c>
      <c r="G372" s="11">
        <v>23400</v>
      </c>
      <c r="H372" s="163" t="s">
        <v>824</v>
      </c>
      <c r="I372" s="158" t="s">
        <v>825</v>
      </c>
      <c r="J372" s="163" t="s">
        <v>824</v>
      </c>
      <c r="K372" s="10" t="s">
        <v>40</v>
      </c>
      <c r="L372" s="10">
        <v>15</v>
      </c>
      <c r="M372" s="10">
        <f t="shared" si="20"/>
        <v>15</v>
      </c>
      <c r="N372" s="10">
        <v>15</v>
      </c>
      <c r="O372" s="12">
        <v>1</v>
      </c>
      <c r="P372" s="11">
        <v>23400</v>
      </c>
      <c r="Q372" s="10" t="s">
        <v>33</v>
      </c>
      <c r="R372" s="4" t="s">
        <v>1283</v>
      </c>
      <c r="S372" s="4" t="s">
        <v>1279</v>
      </c>
      <c r="T372" s="4" t="s">
        <v>19</v>
      </c>
      <c r="U372" s="4" t="str">
        <f t="shared" si="23"/>
        <v>NOT AN ADD-ON</v>
      </c>
      <c r="V372" s="4" t="str">
        <f t="shared" si="21"/>
        <v>TRANSPORATIONINDUSTRY SOLUTIONAUTHORIZEDNOT AN ADD-ON</v>
      </c>
    </row>
    <row r="373" spans="1:22" ht="15" thickBot="1">
      <c r="A373" s="10" t="s">
        <v>21</v>
      </c>
      <c r="B373" s="10" t="s">
        <v>22</v>
      </c>
      <c r="C373" s="10" t="s">
        <v>778</v>
      </c>
      <c r="D373" s="10" t="s">
        <v>779</v>
      </c>
      <c r="E373" s="10" t="s">
        <v>780</v>
      </c>
      <c r="F373" s="10" t="s">
        <v>781</v>
      </c>
      <c r="G373" s="11">
        <v>14000</v>
      </c>
      <c r="H373" s="163" t="s">
        <v>826</v>
      </c>
      <c r="I373" s="158" t="s">
        <v>827</v>
      </c>
      <c r="J373" s="163" t="s">
        <v>824</v>
      </c>
      <c r="K373" s="10" t="s">
        <v>40</v>
      </c>
      <c r="L373" s="10">
        <v>15</v>
      </c>
      <c r="M373" s="10">
        <f t="shared" si="20"/>
        <v>15</v>
      </c>
      <c r="N373" s="10">
        <v>15</v>
      </c>
      <c r="O373" s="12">
        <v>1</v>
      </c>
      <c r="P373" s="11">
        <v>23400</v>
      </c>
      <c r="Q373" s="10" t="s">
        <v>36</v>
      </c>
      <c r="R373" s="4" t="s">
        <v>1283</v>
      </c>
      <c r="S373" s="4" t="s">
        <v>1279</v>
      </c>
      <c r="T373" s="4" t="s">
        <v>19</v>
      </c>
      <c r="U373" s="4" t="str">
        <f t="shared" si="23"/>
        <v>NOT AN ADD-ON</v>
      </c>
      <c r="V373" s="4" t="str">
        <f t="shared" si="21"/>
        <v>TRANSPORATIONINDUSTRY SOLUTIONAUTHORIZEDNOT AN ADD-ON</v>
      </c>
    </row>
    <row r="374" spans="1:22" ht="27" thickBot="1">
      <c r="A374" s="10" t="s">
        <v>21</v>
      </c>
      <c r="B374" s="10" t="s">
        <v>22</v>
      </c>
      <c r="C374" s="10" t="s">
        <v>778</v>
      </c>
      <c r="D374" s="10" t="s">
        <v>779</v>
      </c>
      <c r="E374" s="10" t="s">
        <v>780</v>
      </c>
      <c r="F374" s="10" t="s">
        <v>781</v>
      </c>
      <c r="G374" s="11">
        <v>5030</v>
      </c>
      <c r="H374" s="163" t="s">
        <v>828</v>
      </c>
      <c r="I374" s="166" t="s">
        <v>829</v>
      </c>
      <c r="J374" s="163" t="s">
        <v>824</v>
      </c>
      <c r="K374" s="10" t="s">
        <v>40</v>
      </c>
      <c r="L374" s="10">
        <v>15</v>
      </c>
      <c r="M374" s="10">
        <f t="shared" si="20"/>
        <v>15</v>
      </c>
      <c r="N374" s="10">
        <v>15</v>
      </c>
      <c r="O374" s="12">
        <v>1</v>
      </c>
      <c r="P374" s="11">
        <v>23400</v>
      </c>
      <c r="Q374" s="10" t="s">
        <v>48</v>
      </c>
      <c r="R374" s="4" t="s">
        <v>1283</v>
      </c>
      <c r="S374" s="4" t="s">
        <v>1279</v>
      </c>
      <c r="T374" s="4" t="s">
        <v>19</v>
      </c>
      <c r="U374" s="4" t="str">
        <f t="shared" si="23"/>
        <v>NOT AN ADD-ON</v>
      </c>
      <c r="V374" s="4" t="str">
        <f t="shared" si="21"/>
        <v>TRANSPORATIONINDUSTRY SOLUTIONAUTHORIZEDNOT AN ADD-ON</v>
      </c>
    </row>
    <row r="375" spans="1:22" ht="27" thickBot="1">
      <c r="A375" s="10" t="s">
        <v>21</v>
      </c>
      <c r="B375" s="10" t="s">
        <v>22</v>
      </c>
      <c r="C375" s="10" t="s">
        <v>778</v>
      </c>
      <c r="D375" s="10" t="s">
        <v>779</v>
      </c>
      <c r="E375" s="10" t="s">
        <v>780</v>
      </c>
      <c r="F375" s="10" t="s">
        <v>781</v>
      </c>
      <c r="G375" s="11">
        <v>8260</v>
      </c>
      <c r="H375" s="163" t="s">
        <v>830</v>
      </c>
      <c r="I375" s="166" t="s">
        <v>831</v>
      </c>
      <c r="J375" s="163" t="s">
        <v>824</v>
      </c>
      <c r="K375" s="10" t="s">
        <v>40</v>
      </c>
      <c r="L375" s="10">
        <v>15</v>
      </c>
      <c r="M375" s="10">
        <f t="shared" si="20"/>
        <v>15</v>
      </c>
      <c r="N375" s="10">
        <v>15</v>
      </c>
      <c r="O375" s="12">
        <v>1</v>
      </c>
      <c r="P375" s="11">
        <v>23400</v>
      </c>
      <c r="Q375" s="10" t="s">
        <v>48</v>
      </c>
      <c r="R375" s="4" t="s">
        <v>1283</v>
      </c>
      <c r="S375" s="4" t="s">
        <v>1279</v>
      </c>
      <c r="T375" s="4" t="s">
        <v>19</v>
      </c>
      <c r="U375" s="4" t="str">
        <f t="shared" si="23"/>
        <v>NOT AN ADD-ON</v>
      </c>
      <c r="V375" s="4" t="str">
        <f t="shared" si="21"/>
        <v>TRANSPORATIONINDUSTRY SOLUTIONAUTHORIZEDNOT AN ADD-ON</v>
      </c>
    </row>
    <row r="376" spans="1:22" ht="15" thickBot="1">
      <c r="A376" s="10" t="s">
        <v>21</v>
      </c>
      <c r="B376" s="10" t="s">
        <v>22</v>
      </c>
      <c r="C376" s="10" t="s">
        <v>778</v>
      </c>
      <c r="D376" s="10" t="s">
        <v>779</v>
      </c>
      <c r="E376" s="10" t="s">
        <v>780</v>
      </c>
      <c r="F376" s="10" t="s">
        <v>781</v>
      </c>
      <c r="G376" s="11">
        <v>5030</v>
      </c>
      <c r="H376" s="163" t="s">
        <v>832</v>
      </c>
      <c r="I376" s="166" t="s">
        <v>833</v>
      </c>
      <c r="J376" s="163" t="s">
        <v>818</v>
      </c>
      <c r="K376" s="10" t="s">
        <v>40</v>
      </c>
      <c r="L376" s="10">
        <v>15</v>
      </c>
      <c r="M376" s="10">
        <f t="shared" si="20"/>
        <v>15</v>
      </c>
      <c r="N376" s="10">
        <v>15</v>
      </c>
      <c r="O376" s="12">
        <v>1</v>
      </c>
      <c r="P376" s="11">
        <v>23400</v>
      </c>
      <c r="Q376" s="10" t="s">
        <v>48</v>
      </c>
      <c r="R376" s="4" t="s">
        <v>1283</v>
      </c>
      <c r="S376" s="4" t="s">
        <v>1279</v>
      </c>
      <c r="T376" s="4" t="s">
        <v>19</v>
      </c>
      <c r="U376" s="4" t="str">
        <f t="shared" si="23"/>
        <v>NOT AN ADD-ON</v>
      </c>
      <c r="V376" s="4" t="str">
        <f t="shared" si="21"/>
        <v>TRANSPORATIONINDUSTRY SOLUTIONAUTHORIZEDNOT AN ADD-ON</v>
      </c>
    </row>
    <row r="377" spans="1:22" ht="15" thickBot="1">
      <c r="A377" s="10" t="s">
        <v>21</v>
      </c>
      <c r="B377" s="10" t="s">
        <v>22</v>
      </c>
      <c r="C377" s="10" t="s">
        <v>778</v>
      </c>
      <c r="D377" s="10" t="s">
        <v>779</v>
      </c>
      <c r="E377" s="10" t="s">
        <v>780</v>
      </c>
      <c r="F377" s="10" t="s">
        <v>781</v>
      </c>
      <c r="G377" s="11">
        <v>8260</v>
      </c>
      <c r="H377" s="163" t="s">
        <v>834</v>
      </c>
      <c r="I377" s="166" t="s">
        <v>835</v>
      </c>
      <c r="J377" s="163" t="s">
        <v>818</v>
      </c>
      <c r="K377" s="10" t="s">
        <v>40</v>
      </c>
      <c r="L377" s="10">
        <v>15</v>
      </c>
      <c r="M377" s="10">
        <f t="shared" si="20"/>
        <v>15</v>
      </c>
      <c r="N377" s="10">
        <v>15</v>
      </c>
      <c r="O377" s="12">
        <v>1</v>
      </c>
      <c r="P377" s="11">
        <v>23400</v>
      </c>
      <c r="Q377" s="10" t="s">
        <v>48</v>
      </c>
      <c r="R377" s="4" t="s">
        <v>1283</v>
      </c>
      <c r="S377" s="4" t="s">
        <v>1279</v>
      </c>
      <c r="T377" s="4" t="s">
        <v>19</v>
      </c>
      <c r="U377" s="4" t="str">
        <f t="shared" si="23"/>
        <v>NOT AN ADD-ON</v>
      </c>
      <c r="V377" s="4" t="str">
        <f t="shared" si="21"/>
        <v>TRANSPORATIONINDUSTRY SOLUTIONAUTHORIZEDNOT AN ADD-ON</v>
      </c>
    </row>
    <row r="378" spans="1:22" ht="15" thickBot="1">
      <c r="A378" s="10" t="s">
        <v>21</v>
      </c>
      <c r="B378" s="10" t="s">
        <v>22</v>
      </c>
      <c r="C378" s="10" t="s">
        <v>778</v>
      </c>
      <c r="D378" s="10" t="s">
        <v>779</v>
      </c>
      <c r="E378" s="10" t="s">
        <v>780</v>
      </c>
      <c r="F378" s="10" t="s">
        <v>781</v>
      </c>
      <c r="G378" s="11">
        <v>431</v>
      </c>
      <c r="H378" s="163" t="s">
        <v>836</v>
      </c>
      <c r="I378" s="158" t="s">
        <v>837</v>
      </c>
      <c r="J378" s="163" t="s">
        <v>838</v>
      </c>
      <c r="K378" s="10" t="s">
        <v>30</v>
      </c>
      <c r="L378" s="10">
        <v>5</v>
      </c>
      <c r="M378" s="10">
        <f t="shared" si="20"/>
        <v>1.67</v>
      </c>
      <c r="N378" s="10">
        <v>15</v>
      </c>
      <c r="O378" s="12">
        <v>5</v>
      </c>
      <c r="P378" s="11">
        <v>2150</v>
      </c>
      <c r="Q378" s="10" t="s">
        <v>31</v>
      </c>
      <c r="R378" s="4" t="s">
        <v>1283</v>
      </c>
      <c r="S378" s="4" t="s">
        <v>1279</v>
      </c>
      <c r="T378" s="4" t="s">
        <v>19</v>
      </c>
      <c r="U378" s="4" t="s">
        <v>507</v>
      </c>
      <c r="V378" s="4" t="str">
        <f t="shared" si="21"/>
        <v>TRANSPORATIONINDUSTRY SOLUTIONAUTHORIZEDADD-ON</v>
      </c>
    </row>
    <row r="379" spans="1:22" ht="15" thickBot="1">
      <c r="A379" s="10" t="s">
        <v>21</v>
      </c>
      <c r="B379" s="10" t="s">
        <v>22</v>
      </c>
      <c r="C379" s="10" t="s">
        <v>778</v>
      </c>
      <c r="D379" s="10" t="s">
        <v>779</v>
      </c>
      <c r="E379" s="10" t="s">
        <v>780</v>
      </c>
      <c r="F379" s="10" t="s">
        <v>781</v>
      </c>
      <c r="G379" s="11">
        <v>2150</v>
      </c>
      <c r="H379" s="163" t="s">
        <v>838</v>
      </c>
      <c r="I379" s="158" t="s">
        <v>839</v>
      </c>
      <c r="J379" s="163" t="s">
        <v>838</v>
      </c>
      <c r="K379" s="10" t="s">
        <v>30</v>
      </c>
      <c r="L379" s="10">
        <v>5</v>
      </c>
      <c r="M379" s="10">
        <f t="shared" si="20"/>
        <v>1.67</v>
      </c>
      <c r="N379" s="10">
        <v>15</v>
      </c>
      <c r="O379" s="12">
        <v>5</v>
      </c>
      <c r="P379" s="11">
        <v>2150</v>
      </c>
      <c r="Q379" s="10" t="s">
        <v>33</v>
      </c>
      <c r="R379" s="4" t="s">
        <v>1283</v>
      </c>
      <c r="S379" s="4" t="s">
        <v>1279</v>
      </c>
      <c r="T379" s="4" t="s">
        <v>19</v>
      </c>
      <c r="U379" s="4" t="s">
        <v>507</v>
      </c>
      <c r="V379" s="4" t="str">
        <f t="shared" si="21"/>
        <v>TRANSPORATIONINDUSTRY SOLUTIONAUTHORIZEDADD-ON</v>
      </c>
    </row>
    <row r="380" spans="1:22" ht="29.25" customHeight="1" thickBot="1">
      <c r="A380" s="10" t="s">
        <v>21</v>
      </c>
      <c r="B380" s="10" t="s">
        <v>22</v>
      </c>
      <c r="C380" s="10" t="s">
        <v>778</v>
      </c>
      <c r="D380" s="10" t="s">
        <v>779</v>
      </c>
      <c r="E380" s="10" t="s">
        <v>780</v>
      </c>
      <c r="F380" s="10" t="s">
        <v>781</v>
      </c>
      <c r="G380" s="11">
        <v>1300</v>
      </c>
      <c r="H380" s="163" t="s">
        <v>840</v>
      </c>
      <c r="I380" s="158" t="s">
        <v>841</v>
      </c>
      <c r="J380" s="163" t="s">
        <v>838</v>
      </c>
      <c r="K380" s="10" t="s">
        <v>30</v>
      </c>
      <c r="L380" s="10">
        <v>5</v>
      </c>
      <c r="M380" s="10">
        <f t="shared" si="20"/>
        <v>1.67</v>
      </c>
      <c r="N380" s="10">
        <v>15</v>
      </c>
      <c r="O380" s="12">
        <v>5</v>
      </c>
      <c r="P380" s="11">
        <v>2150</v>
      </c>
      <c r="Q380" s="10" t="s">
        <v>36</v>
      </c>
      <c r="R380" s="4" t="s">
        <v>1283</v>
      </c>
      <c r="S380" s="4" t="s">
        <v>1279</v>
      </c>
      <c r="T380" s="4" t="s">
        <v>19</v>
      </c>
      <c r="U380" s="4" t="s">
        <v>507</v>
      </c>
      <c r="V380" s="4" t="str">
        <f t="shared" si="21"/>
        <v>TRANSPORATIONINDUSTRY SOLUTIONAUTHORIZEDADD-ON</v>
      </c>
    </row>
    <row r="381" spans="1:22" ht="27" thickBot="1">
      <c r="A381" s="10" t="s">
        <v>21</v>
      </c>
      <c r="B381" s="10" t="s">
        <v>22</v>
      </c>
      <c r="C381" s="10" t="s">
        <v>778</v>
      </c>
      <c r="D381" s="10" t="s">
        <v>779</v>
      </c>
      <c r="E381" s="10" t="s">
        <v>780</v>
      </c>
      <c r="F381" s="10" t="s">
        <v>781</v>
      </c>
      <c r="G381" s="11">
        <v>2680</v>
      </c>
      <c r="H381" s="163" t="s">
        <v>842</v>
      </c>
      <c r="I381" s="166" t="s">
        <v>843</v>
      </c>
      <c r="J381" s="163" t="s">
        <v>844</v>
      </c>
      <c r="K381" s="10" t="s">
        <v>30</v>
      </c>
      <c r="L381" s="10">
        <v>15</v>
      </c>
      <c r="M381" s="10">
        <f t="shared" si="20"/>
        <v>5</v>
      </c>
      <c r="N381" s="10">
        <v>15</v>
      </c>
      <c r="O381" s="12">
        <v>5</v>
      </c>
      <c r="P381" s="11">
        <v>7660</v>
      </c>
      <c r="Q381" s="10" t="s">
        <v>48</v>
      </c>
      <c r="R381" s="4" t="s">
        <v>1283</v>
      </c>
      <c r="S381" s="4" t="s">
        <v>1279</v>
      </c>
      <c r="T381" s="4" t="s">
        <v>19</v>
      </c>
      <c r="U381" s="4" t="str">
        <f t="shared" ref="U381:U394" si="24">IF(ISNUMBER(SEARCH("ADD-ON",$I381)),"ADD-ON","NOT AN ADD-ON")</f>
        <v>NOT AN ADD-ON</v>
      </c>
      <c r="V381" s="4" t="str">
        <f t="shared" si="21"/>
        <v>TRANSPORATIONINDUSTRY SOLUTIONAUTHORIZEDNOT AN ADD-ON</v>
      </c>
    </row>
    <row r="382" spans="1:22" ht="27" thickBot="1">
      <c r="A382" s="10" t="s">
        <v>21</v>
      </c>
      <c r="B382" s="10" t="s">
        <v>22</v>
      </c>
      <c r="C382" s="10" t="s">
        <v>778</v>
      </c>
      <c r="D382" s="10" t="s">
        <v>779</v>
      </c>
      <c r="E382" s="10" t="s">
        <v>780</v>
      </c>
      <c r="F382" s="10" t="s">
        <v>781</v>
      </c>
      <c r="G382" s="11">
        <v>5470</v>
      </c>
      <c r="H382" s="163" t="s">
        <v>845</v>
      </c>
      <c r="I382" s="166" t="s">
        <v>846</v>
      </c>
      <c r="J382" s="163" t="s">
        <v>844</v>
      </c>
      <c r="K382" s="10" t="s">
        <v>30</v>
      </c>
      <c r="L382" s="10">
        <v>15</v>
      </c>
      <c r="M382" s="10">
        <f t="shared" si="20"/>
        <v>5</v>
      </c>
      <c r="N382" s="10">
        <v>15</v>
      </c>
      <c r="O382" s="12">
        <v>5</v>
      </c>
      <c r="P382" s="11">
        <v>7660</v>
      </c>
      <c r="Q382" s="10" t="s">
        <v>48</v>
      </c>
      <c r="R382" s="4" t="s">
        <v>1283</v>
      </c>
      <c r="S382" s="4" t="s">
        <v>1279</v>
      </c>
      <c r="T382" s="4" t="s">
        <v>19</v>
      </c>
      <c r="U382" s="4" t="str">
        <f t="shared" si="24"/>
        <v>NOT AN ADD-ON</v>
      </c>
      <c r="V382" s="4" t="str">
        <f t="shared" si="21"/>
        <v>TRANSPORATIONINDUSTRY SOLUTIONAUTHORIZEDNOT AN ADD-ON</v>
      </c>
    </row>
    <row r="383" spans="1:22" ht="27" thickBot="1">
      <c r="A383" s="10" t="s">
        <v>21</v>
      </c>
      <c r="B383" s="10" t="s">
        <v>22</v>
      </c>
      <c r="C383" s="10" t="s">
        <v>778</v>
      </c>
      <c r="D383" s="10" t="s">
        <v>779</v>
      </c>
      <c r="E383" s="10" t="s">
        <v>780</v>
      </c>
      <c r="F383" s="10" t="s">
        <v>781</v>
      </c>
      <c r="G383" s="11">
        <v>4900</v>
      </c>
      <c r="H383" s="163" t="s">
        <v>847</v>
      </c>
      <c r="I383" s="166" t="s">
        <v>848</v>
      </c>
      <c r="J383" s="163" t="s">
        <v>844</v>
      </c>
      <c r="K383" s="10" t="s">
        <v>30</v>
      </c>
      <c r="L383" s="10">
        <v>15</v>
      </c>
      <c r="M383" s="10">
        <f t="shared" si="20"/>
        <v>5</v>
      </c>
      <c r="N383" s="10">
        <v>15</v>
      </c>
      <c r="O383" s="12">
        <v>5</v>
      </c>
      <c r="P383" s="11">
        <v>7660</v>
      </c>
      <c r="Q383" s="10" t="s">
        <v>48</v>
      </c>
      <c r="R383" s="4" t="s">
        <v>1283</v>
      </c>
      <c r="S383" s="4" t="s">
        <v>1279</v>
      </c>
      <c r="T383" s="4" t="s">
        <v>19</v>
      </c>
      <c r="U383" s="4" t="str">
        <f t="shared" si="24"/>
        <v>NOT AN ADD-ON</v>
      </c>
      <c r="V383" s="4" t="str">
        <f t="shared" si="21"/>
        <v>TRANSPORATIONINDUSTRY SOLUTIONAUTHORIZEDNOT AN ADD-ON</v>
      </c>
    </row>
    <row r="384" spans="1:22" ht="15" thickBot="1">
      <c r="A384" s="10" t="s">
        <v>21</v>
      </c>
      <c r="B384" s="10" t="s">
        <v>22</v>
      </c>
      <c r="C384" s="10" t="s">
        <v>778</v>
      </c>
      <c r="D384" s="10" t="s">
        <v>779</v>
      </c>
      <c r="E384" s="10" t="s">
        <v>780</v>
      </c>
      <c r="F384" s="10" t="s">
        <v>781</v>
      </c>
      <c r="G384" s="11">
        <v>1520</v>
      </c>
      <c r="H384" s="163" t="s">
        <v>849</v>
      </c>
      <c r="I384" s="158" t="s">
        <v>850</v>
      </c>
      <c r="J384" s="163" t="s">
        <v>844</v>
      </c>
      <c r="K384" s="10" t="s">
        <v>30</v>
      </c>
      <c r="L384" s="10">
        <v>15</v>
      </c>
      <c r="M384" s="10">
        <f t="shared" si="20"/>
        <v>5</v>
      </c>
      <c r="N384" s="10">
        <v>15</v>
      </c>
      <c r="O384" s="12">
        <v>5</v>
      </c>
      <c r="P384" s="11">
        <v>7660</v>
      </c>
      <c r="Q384" s="10" t="s">
        <v>31</v>
      </c>
      <c r="R384" s="4" t="s">
        <v>1283</v>
      </c>
      <c r="S384" s="4" t="s">
        <v>1279</v>
      </c>
      <c r="T384" s="4" t="s">
        <v>19</v>
      </c>
      <c r="U384" s="4" t="str">
        <f t="shared" si="24"/>
        <v>NOT AN ADD-ON</v>
      </c>
      <c r="V384" s="4" t="str">
        <f t="shared" si="21"/>
        <v>TRANSPORATIONINDUSTRY SOLUTIONAUTHORIZEDNOT AN ADD-ON</v>
      </c>
    </row>
    <row r="385" spans="1:22" ht="15" thickBot="1">
      <c r="A385" s="10" t="s">
        <v>21</v>
      </c>
      <c r="B385" s="10" t="s">
        <v>22</v>
      </c>
      <c r="C385" s="10" t="s">
        <v>778</v>
      </c>
      <c r="D385" s="10" t="s">
        <v>779</v>
      </c>
      <c r="E385" s="10" t="s">
        <v>780</v>
      </c>
      <c r="F385" s="10" t="s">
        <v>781</v>
      </c>
      <c r="G385" s="11">
        <v>7660</v>
      </c>
      <c r="H385" s="163" t="s">
        <v>844</v>
      </c>
      <c r="I385" s="158" t="s">
        <v>851</v>
      </c>
      <c r="J385" s="163" t="s">
        <v>844</v>
      </c>
      <c r="K385" s="10" t="s">
        <v>30</v>
      </c>
      <c r="L385" s="10">
        <v>15</v>
      </c>
      <c r="M385" s="10">
        <f t="shared" si="20"/>
        <v>5</v>
      </c>
      <c r="N385" s="10">
        <v>15</v>
      </c>
      <c r="O385" s="12">
        <v>5</v>
      </c>
      <c r="P385" s="11">
        <v>7660</v>
      </c>
      <c r="Q385" s="10" t="s">
        <v>33</v>
      </c>
      <c r="R385" s="4" t="s">
        <v>1283</v>
      </c>
      <c r="S385" s="4" t="s">
        <v>1279</v>
      </c>
      <c r="T385" s="4" t="s">
        <v>19</v>
      </c>
      <c r="U385" s="4" t="str">
        <f t="shared" si="24"/>
        <v>NOT AN ADD-ON</v>
      </c>
      <c r="V385" s="4" t="str">
        <f t="shared" si="21"/>
        <v>TRANSPORATIONINDUSTRY SOLUTIONAUTHORIZEDNOT AN ADD-ON</v>
      </c>
    </row>
    <row r="386" spans="1:22" ht="15" thickBot="1">
      <c r="A386" s="10" t="s">
        <v>21</v>
      </c>
      <c r="B386" s="10" t="s">
        <v>22</v>
      </c>
      <c r="C386" s="10" t="s">
        <v>778</v>
      </c>
      <c r="D386" s="10" t="s">
        <v>779</v>
      </c>
      <c r="E386" s="10" t="s">
        <v>780</v>
      </c>
      <c r="F386" s="10" t="s">
        <v>781</v>
      </c>
      <c r="G386" s="11">
        <v>4600</v>
      </c>
      <c r="H386" s="163" t="s">
        <v>852</v>
      </c>
      <c r="I386" s="158" t="s">
        <v>853</v>
      </c>
      <c r="J386" s="163" t="s">
        <v>844</v>
      </c>
      <c r="K386" s="10" t="s">
        <v>30</v>
      </c>
      <c r="L386" s="10">
        <v>15</v>
      </c>
      <c r="M386" s="10">
        <f t="shared" si="20"/>
        <v>5</v>
      </c>
      <c r="N386" s="10">
        <v>15</v>
      </c>
      <c r="O386" s="12">
        <v>5</v>
      </c>
      <c r="P386" s="11">
        <v>7660</v>
      </c>
      <c r="Q386" s="10" t="s">
        <v>36</v>
      </c>
      <c r="R386" s="4" t="s">
        <v>1283</v>
      </c>
      <c r="S386" s="4" t="s">
        <v>1279</v>
      </c>
      <c r="T386" s="4" t="s">
        <v>19</v>
      </c>
      <c r="U386" s="4" t="str">
        <f t="shared" si="24"/>
        <v>NOT AN ADD-ON</v>
      </c>
      <c r="V386" s="4" t="str">
        <f t="shared" si="21"/>
        <v>TRANSPORATIONINDUSTRY SOLUTIONAUTHORIZEDNOT AN ADD-ON</v>
      </c>
    </row>
    <row r="387" spans="1:22" ht="27" thickBot="1">
      <c r="A387" s="10" t="s">
        <v>21</v>
      </c>
      <c r="B387" s="10" t="s">
        <v>22</v>
      </c>
      <c r="C387" s="10" t="s">
        <v>778</v>
      </c>
      <c r="D387" s="10" t="s">
        <v>779</v>
      </c>
      <c r="E387" s="10" t="s">
        <v>780</v>
      </c>
      <c r="F387" s="10" t="s">
        <v>781</v>
      </c>
      <c r="G387" s="11">
        <v>1330</v>
      </c>
      <c r="H387" s="163" t="s">
        <v>854</v>
      </c>
      <c r="I387" s="166" t="s">
        <v>855</v>
      </c>
      <c r="J387" s="163" t="s">
        <v>856</v>
      </c>
      <c r="K387" s="10" t="s">
        <v>30</v>
      </c>
      <c r="L387" s="10">
        <v>15</v>
      </c>
      <c r="M387" s="10">
        <f t="shared" ref="M387:M450" si="25">ROUND(IF(K387="Authorized User",L387/3,L387),2)</f>
        <v>5</v>
      </c>
      <c r="N387" s="10">
        <v>5</v>
      </c>
      <c r="O387" s="12">
        <v>1.6666666666666667</v>
      </c>
      <c r="P387" s="11">
        <v>3840</v>
      </c>
      <c r="Q387" s="10" t="s">
        <v>48</v>
      </c>
      <c r="R387" s="4" t="s">
        <v>1283</v>
      </c>
      <c r="S387" s="4" t="s">
        <v>1279</v>
      </c>
      <c r="T387" s="4" t="s">
        <v>19</v>
      </c>
      <c r="U387" s="4" t="str">
        <f t="shared" si="24"/>
        <v>NOT AN ADD-ON</v>
      </c>
      <c r="V387" s="4" t="str">
        <f t="shared" ref="V387:V450" si="26">CONCATENATE(R387,S387,T387,U387)</f>
        <v>TRANSPORATIONINDUSTRY SOLUTIONAUTHORIZEDNOT AN ADD-ON</v>
      </c>
    </row>
    <row r="388" spans="1:22" ht="15" thickBot="1">
      <c r="A388" s="10" t="s">
        <v>21</v>
      </c>
      <c r="B388" s="10" t="s">
        <v>22</v>
      </c>
      <c r="C388" s="10" t="s">
        <v>778</v>
      </c>
      <c r="D388" s="10" t="s">
        <v>779</v>
      </c>
      <c r="E388" s="10" t="s">
        <v>780</v>
      </c>
      <c r="F388" s="10" t="s">
        <v>781</v>
      </c>
      <c r="G388" s="11">
        <v>767</v>
      </c>
      <c r="H388" s="163" t="s">
        <v>857</v>
      </c>
      <c r="I388" s="158" t="s">
        <v>858</v>
      </c>
      <c r="J388" s="163" t="s">
        <v>856</v>
      </c>
      <c r="K388" s="10" t="s">
        <v>30</v>
      </c>
      <c r="L388" s="10">
        <v>5</v>
      </c>
      <c r="M388" s="10">
        <f t="shared" si="25"/>
        <v>1.67</v>
      </c>
      <c r="N388" s="10">
        <v>5</v>
      </c>
      <c r="O388" s="12">
        <v>1.6666666666666667</v>
      </c>
      <c r="P388" s="11">
        <v>3840</v>
      </c>
      <c r="Q388" s="10" t="s">
        <v>31</v>
      </c>
      <c r="R388" s="4" t="s">
        <v>1283</v>
      </c>
      <c r="S388" s="4" t="s">
        <v>1279</v>
      </c>
      <c r="T388" s="4" t="s">
        <v>672</v>
      </c>
      <c r="U388" s="4" t="str">
        <f t="shared" si="24"/>
        <v>NOT AN ADD-ON</v>
      </c>
      <c r="V388" s="4" t="str">
        <f t="shared" si="26"/>
        <v>TRANSPORATIONINDUSTRY SOLUTIONLIMITEDNOT AN ADD-ON</v>
      </c>
    </row>
    <row r="389" spans="1:22" ht="15" thickBot="1">
      <c r="A389" s="10" t="s">
        <v>21</v>
      </c>
      <c r="B389" s="10" t="s">
        <v>22</v>
      </c>
      <c r="C389" s="10" t="s">
        <v>778</v>
      </c>
      <c r="D389" s="10" t="s">
        <v>779</v>
      </c>
      <c r="E389" s="10" t="s">
        <v>780</v>
      </c>
      <c r="F389" s="10" t="s">
        <v>781</v>
      </c>
      <c r="G389" s="11">
        <v>3840</v>
      </c>
      <c r="H389" s="163" t="s">
        <v>856</v>
      </c>
      <c r="I389" s="158" t="s">
        <v>859</v>
      </c>
      <c r="J389" s="163" t="s">
        <v>856</v>
      </c>
      <c r="K389" s="10" t="s">
        <v>30</v>
      </c>
      <c r="L389" s="10">
        <v>5</v>
      </c>
      <c r="M389" s="10">
        <f t="shared" si="25"/>
        <v>1.67</v>
      </c>
      <c r="N389" s="10">
        <v>5</v>
      </c>
      <c r="O389" s="12">
        <v>1.6666666666666667</v>
      </c>
      <c r="P389" s="11">
        <v>3840</v>
      </c>
      <c r="Q389" s="10" t="s">
        <v>33</v>
      </c>
      <c r="R389" s="4" t="s">
        <v>1283</v>
      </c>
      <c r="S389" s="4" t="s">
        <v>1279</v>
      </c>
      <c r="T389" s="4" t="s">
        <v>672</v>
      </c>
      <c r="U389" s="4" t="str">
        <f t="shared" si="24"/>
        <v>NOT AN ADD-ON</v>
      </c>
      <c r="V389" s="4" t="str">
        <f t="shared" si="26"/>
        <v>TRANSPORATIONINDUSTRY SOLUTIONLIMITEDNOT AN ADD-ON</v>
      </c>
    </row>
    <row r="390" spans="1:22" ht="15" thickBot="1">
      <c r="A390" s="10" t="s">
        <v>21</v>
      </c>
      <c r="B390" s="10" t="s">
        <v>22</v>
      </c>
      <c r="C390" s="10" t="s">
        <v>778</v>
      </c>
      <c r="D390" s="10" t="s">
        <v>779</v>
      </c>
      <c r="E390" s="10" t="s">
        <v>780</v>
      </c>
      <c r="F390" s="10" t="s">
        <v>781</v>
      </c>
      <c r="G390" s="11">
        <v>2310</v>
      </c>
      <c r="H390" s="163" t="s">
        <v>860</v>
      </c>
      <c r="I390" s="158" t="s">
        <v>861</v>
      </c>
      <c r="J390" s="163" t="s">
        <v>856</v>
      </c>
      <c r="K390" s="10" t="s">
        <v>30</v>
      </c>
      <c r="L390" s="10">
        <v>5</v>
      </c>
      <c r="M390" s="10">
        <f t="shared" si="25"/>
        <v>1.67</v>
      </c>
      <c r="N390" s="10">
        <v>5</v>
      </c>
      <c r="O390" s="12">
        <v>1.6666666666666667</v>
      </c>
      <c r="P390" s="11">
        <v>3840</v>
      </c>
      <c r="Q390" s="10" t="s">
        <v>36</v>
      </c>
      <c r="R390" s="4" t="s">
        <v>1283</v>
      </c>
      <c r="S390" s="4" t="s">
        <v>1279</v>
      </c>
      <c r="T390" s="4" t="s">
        <v>672</v>
      </c>
      <c r="U390" s="4" t="str">
        <f t="shared" si="24"/>
        <v>NOT AN ADD-ON</v>
      </c>
      <c r="V390" s="4" t="str">
        <f t="shared" si="26"/>
        <v>TRANSPORATIONINDUSTRY SOLUTIONLIMITEDNOT AN ADD-ON</v>
      </c>
    </row>
    <row r="391" spans="1:22" ht="29.25" customHeight="1" thickBot="1">
      <c r="A391" s="10" t="s">
        <v>21</v>
      </c>
      <c r="B391" s="10" t="s">
        <v>22</v>
      </c>
      <c r="C391" s="10" t="s">
        <v>778</v>
      </c>
      <c r="D391" s="10" t="s">
        <v>779</v>
      </c>
      <c r="E391" s="10" t="s">
        <v>780</v>
      </c>
      <c r="F391" s="10" t="s">
        <v>781</v>
      </c>
      <c r="G391" s="11">
        <v>1330</v>
      </c>
      <c r="H391" s="163" t="s">
        <v>862</v>
      </c>
      <c r="I391" s="166" t="s">
        <v>863</v>
      </c>
      <c r="J391" s="163" t="s">
        <v>864</v>
      </c>
      <c r="K391" s="10" t="s">
        <v>30</v>
      </c>
      <c r="L391" s="10">
        <v>5</v>
      </c>
      <c r="M391" s="10">
        <f t="shared" si="25"/>
        <v>1.67</v>
      </c>
      <c r="N391" s="10">
        <v>5</v>
      </c>
      <c r="O391" s="12">
        <v>1.6666666666666667</v>
      </c>
      <c r="P391" s="11">
        <v>3840</v>
      </c>
      <c r="Q391" s="10" t="s">
        <v>48</v>
      </c>
      <c r="R391" s="4" t="s">
        <v>1283</v>
      </c>
      <c r="S391" s="4" t="s">
        <v>1279</v>
      </c>
      <c r="T391" s="4" t="s">
        <v>672</v>
      </c>
      <c r="U391" s="4" t="str">
        <f t="shared" si="24"/>
        <v>NOT AN ADD-ON</v>
      </c>
      <c r="V391" s="4" t="str">
        <f t="shared" si="26"/>
        <v>TRANSPORATIONINDUSTRY SOLUTIONLIMITEDNOT AN ADD-ON</v>
      </c>
    </row>
    <row r="392" spans="1:22" ht="15" thickBot="1">
      <c r="A392" s="10" t="s">
        <v>21</v>
      </c>
      <c r="B392" s="10" t="s">
        <v>22</v>
      </c>
      <c r="C392" s="10" t="s">
        <v>778</v>
      </c>
      <c r="D392" s="10" t="s">
        <v>779</v>
      </c>
      <c r="E392" s="10" t="s">
        <v>780</v>
      </c>
      <c r="F392" s="10" t="s">
        <v>781</v>
      </c>
      <c r="G392" s="11">
        <v>767</v>
      </c>
      <c r="H392" s="163" t="s">
        <v>865</v>
      </c>
      <c r="I392" s="158" t="s">
        <v>866</v>
      </c>
      <c r="J392" s="163" t="s">
        <v>864</v>
      </c>
      <c r="K392" s="10" t="s">
        <v>30</v>
      </c>
      <c r="L392" s="10">
        <v>5</v>
      </c>
      <c r="M392" s="10">
        <f t="shared" si="25"/>
        <v>1.67</v>
      </c>
      <c r="N392" s="10">
        <v>5</v>
      </c>
      <c r="O392" s="12">
        <v>1.6666666666666667</v>
      </c>
      <c r="P392" s="11">
        <v>3840</v>
      </c>
      <c r="Q392" s="10" t="s">
        <v>31</v>
      </c>
      <c r="R392" s="4" t="s">
        <v>1283</v>
      </c>
      <c r="S392" s="4" t="s">
        <v>1279</v>
      </c>
      <c r="T392" s="4" t="s">
        <v>672</v>
      </c>
      <c r="U392" s="4" t="str">
        <f t="shared" si="24"/>
        <v>NOT AN ADD-ON</v>
      </c>
      <c r="V392" s="4" t="str">
        <f t="shared" si="26"/>
        <v>TRANSPORATIONINDUSTRY SOLUTIONLIMITEDNOT AN ADD-ON</v>
      </c>
    </row>
    <row r="393" spans="1:22" ht="15" thickBot="1">
      <c r="A393" s="10" t="s">
        <v>21</v>
      </c>
      <c r="B393" s="10" t="s">
        <v>22</v>
      </c>
      <c r="C393" s="10" t="s">
        <v>778</v>
      </c>
      <c r="D393" s="10" t="s">
        <v>779</v>
      </c>
      <c r="E393" s="10" t="s">
        <v>780</v>
      </c>
      <c r="F393" s="10" t="s">
        <v>781</v>
      </c>
      <c r="G393" s="11">
        <v>3840</v>
      </c>
      <c r="H393" s="163" t="s">
        <v>864</v>
      </c>
      <c r="I393" s="158" t="s">
        <v>867</v>
      </c>
      <c r="J393" s="163" t="s">
        <v>864</v>
      </c>
      <c r="K393" s="10" t="s">
        <v>30</v>
      </c>
      <c r="L393" s="10">
        <v>5</v>
      </c>
      <c r="M393" s="10">
        <f t="shared" si="25"/>
        <v>1.67</v>
      </c>
      <c r="N393" s="10">
        <v>5</v>
      </c>
      <c r="O393" s="12">
        <v>1.6666666666666667</v>
      </c>
      <c r="P393" s="11">
        <v>3840</v>
      </c>
      <c r="Q393" s="10" t="s">
        <v>33</v>
      </c>
      <c r="R393" s="4" t="s">
        <v>1283</v>
      </c>
      <c r="S393" s="4" t="s">
        <v>1279</v>
      </c>
      <c r="T393" s="4" t="s">
        <v>672</v>
      </c>
      <c r="U393" s="4" t="str">
        <f t="shared" si="24"/>
        <v>NOT AN ADD-ON</v>
      </c>
      <c r="V393" s="4" t="str">
        <f t="shared" si="26"/>
        <v>TRANSPORATIONINDUSTRY SOLUTIONLIMITEDNOT AN ADD-ON</v>
      </c>
    </row>
    <row r="394" spans="1:22" ht="15" thickBot="1">
      <c r="A394" s="10" t="s">
        <v>21</v>
      </c>
      <c r="B394" s="10" t="s">
        <v>22</v>
      </c>
      <c r="C394" s="10" t="s">
        <v>778</v>
      </c>
      <c r="D394" s="10" t="s">
        <v>779</v>
      </c>
      <c r="E394" s="10" t="s">
        <v>780</v>
      </c>
      <c r="F394" s="10" t="s">
        <v>781</v>
      </c>
      <c r="G394" s="11">
        <v>2310</v>
      </c>
      <c r="H394" s="163" t="s">
        <v>868</v>
      </c>
      <c r="I394" s="166" t="s">
        <v>869</v>
      </c>
      <c r="J394" s="163" t="s">
        <v>864</v>
      </c>
      <c r="K394" s="10" t="s">
        <v>30</v>
      </c>
      <c r="L394" s="10">
        <v>5</v>
      </c>
      <c r="M394" s="10">
        <f t="shared" si="25"/>
        <v>1.67</v>
      </c>
      <c r="N394" s="10">
        <v>5</v>
      </c>
      <c r="O394" s="12">
        <v>1.6666666666666667</v>
      </c>
      <c r="P394" s="11">
        <v>3840</v>
      </c>
      <c r="Q394" s="10" t="s">
        <v>36</v>
      </c>
      <c r="R394" s="4" t="s">
        <v>1283</v>
      </c>
      <c r="S394" s="4" t="s">
        <v>1279</v>
      </c>
      <c r="T394" s="4" t="s">
        <v>672</v>
      </c>
      <c r="U394" s="4" t="str">
        <f t="shared" si="24"/>
        <v>NOT AN ADD-ON</v>
      </c>
      <c r="V394" s="4" t="str">
        <f t="shared" si="26"/>
        <v>TRANSPORATIONINDUSTRY SOLUTIONLIMITEDNOT AN ADD-ON</v>
      </c>
    </row>
    <row r="395" spans="1:22" ht="15" thickBot="1">
      <c r="A395" s="10" t="s">
        <v>21</v>
      </c>
      <c r="B395" s="10" t="s">
        <v>22</v>
      </c>
      <c r="C395" s="10" t="s">
        <v>870</v>
      </c>
      <c r="D395" s="10" t="s">
        <v>871</v>
      </c>
      <c r="E395" s="10" t="s">
        <v>872</v>
      </c>
      <c r="F395" s="10" t="s">
        <v>873</v>
      </c>
      <c r="G395" s="11">
        <v>431</v>
      </c>
      <c r="H395" s="163" t="s">
        <v>874</v>
      </c>
      <c r="I395" s="158" t="s">
        <v>875</v>
      </c>
      <c r="J395" s="163" t="s">
        <v>876</v>
      </c>
      <c r="K395" s="10" t="s">
        <v>30</v>
      </c>
      <c r="L395" s="10">
        <v>5</v>
      </c>
      <c r="M395" s="10">
        <f t="shared" si="25"/>
        <v>1.67</v>
      </c>
      <c r="N395" s="10">
        <v>15</v>
      </c>
      <c r="O395" s="12">
        <v>5</v>
      </c>
      <c r="P395" s="11">
        <v>2150</v>
      </c>
      <c r="Q395" s="10" t="s">
        <v>31</v>
      </c>
      <c r="R395" s="4" t="s">
        <v>1284</v>
      </c>
      <c r="S395" s="4" t="s">
        <v>1279</v>
      </c>
      <c r="T395" s="4" t="s">
        <v>19</v>
      </c>
      <c r="U395" s="4" t="s">
        <v>507</v>
      </c>
      <c r="V395" s="4" t="str">
        <f t="shared" si="26"/>
        <v>UTILITIESINDUSTRY SOLUTIONAUTHORIZEDADD-ON</v>
      </c>
    </row>
    <row r="396" spans="1:22" ht="15" thickBot="1">
      <c r="A396" s="10" t="s">
        <v>21</v>
      </c>
      <c r="B396" s="10" t="s">
        <v>22</v>
      </c>
      <c r="C396" s="10" t="s">
        <v>870</v>
      </c>
      <c r="D396" s="10" t="s">
        <v>871</v>
      </c>
      <c r="E396" s="10" t="s">
        <v>872</v>
      </c>
      <c r="F396" s="10" t="s">
        <v>873</v>
      </c>
      <c r="G396" s="11">
        <v>2150</v>
      </c>
      <c r="H396" s="163" t="s">
        <v>876</v>
      </c>
      <c r="I396" s="158" t="s">
        <v>877</v>
      </c>
      <c r="J396" s="163" t="s">
        <v>876</v>
      </c>
      <c r="K396" s="10" t="s">
        <v>30</v>
      </c>
      <c r="L396" s="10">
        <v>5</v>
      </c>
      <c r="M396" s="10">
        <f t="shared" si="25"/>
        <v>1.67</v>
      </c>
      <c r="N396" s="10">
        <v>15</v>
      </c>
      <c r="O396" s="12">
        <v>5</v>
      </c>
      <c r="P396" s="11">
        <v>2150</v>
      </c>
      <c r="Q396" s="10" t="s">
        <v>33</v>
      </c>
      <c r="R396" s="4" t="s">
        <v>1284</v>
      </c>
      <c r="S396" s="4" t="s">
        <v>1279</v>
      </c>
      <c r="T396" s="4" t="s">
        <v>19</v>
      </c>
      <c r="U396" s="4" t="s">
        <v>507</v>
      </c>
      <c r="V396" s="4" t="str">
        <f t="shared" si="26"/>
        <v>UTILITIESINDUSTRY SOLUTIONAUTHORIZEDADD-ON</v>
      </c>
    </row>
    <row r="397" spans="1:22" ht="15" thickBot="1">
      <c r="A397" s="10" t="s">
        <v>21</v>
      </c>
      <c r="B397" s="10" t="s">
        <v>22</v>
      </c>
      <c r="C397" s="10" t="s">
        <v>870</v>
      </c>
      <c r="D397" s="10" t="s">
        <v>871</v>
      </c>
      <c r="E397" s="10" t="s">
        <v>872</v>
      </c>
      <c r="F397" s="10" t="s">
        <v>873</v>
      </c>
      <c r="G397" s="11">
        <v>1300</v>
      </c>
      <c r="H397" s="163" t="s">
        <v>878</v>
      </c>
      <c r="I397" s="158" t="s">
        <v>879</v>
      </c>
      <c r="J397" s="163" t="s">
        <v>876</v>
      </c>
      <c r="K397" s="10" t="s">
        <v>30</v>
      </c>
      <c r="L397" s="10">
        <v>5</v>
      </c>
      <c r="M397" s="10">
        <f t="shared" si="25"/>
        <v>1.67</v>
      </c>
      <c r="N397" s="10">
        <v>15</v>
      </c>
      <c r="O397" s="12">
        <v>5</v>
      </c>
      <c r="P397" s="11">
        <v>2150</v>
      </c>
      <c r="Q397" s="10" t="s">
        <v>36</v>
      </c>
      <c r="R397" s="4" t="s">
        <v>1284</v>
      </c>
      <c r="S397" s="4" t="s">
        <v>1279</v>
      </c>
      <c r="T397" s="4" t="s">
        <v>19</v>
      </c>
      <c r="U397" s="4" t="s">
        <v>507</v>
      </c>
      <c r="V397" s="4" t="str">
        <f t="shared" si="26"/>
        <v>UTILITIESINDUSTRY SOLUTIONAUTHORIZEDADD-ON</v>
      </c>
    </row>
    <row r="398" spans="1:22" ht="15" thickBot="1">
      <c r="A398" s="10" t="s">
        <v>21</v>
      </c>
      <c r="B398" s="10" t="s">
        <v>22</v>
      </c>
      <c r="C398" s="10" t="s">
        <v>870</v>
      </c>
      <c r="D398" s="10" t="s">
        <v>871</v>
      </c>
      <c r="E398" s="10" t="s">
        <v>872</v>
      </c>
      <c r="F398" s="10" t="s">
        <v>873</v>
      </c>
      <c r="G398" s="11">
        <v>1320</v>
      </c>
      <c r="H398" s="163" t="s">
        <v>880</v>
      </c>
      <c r="I398" s="158" t="s">
        <v>881</v>
      </c>
      <c r="J398" s="163" t="s">
        <v>882</v>
      </c>
      <c r="K398" s="10" t="s">
        <v>40</v>
      </c>
      <c r="L398" s="10">
        <v>5</v>
      </c>
      <c r="M398" s="10">
        <f t="shared" si="25"/>
        <v>5</v>
      </c>
      <c r="N398" s="10">
        <v>15</v>
      </c>
      <c r="O398" s="12">
        <v>1</v>
      </c>
      <c r="P398" s="11">
        <v>6570</v>
      </c>
      <c r="Q398" s="10" t="s">
        <v>31</v>
      </c>
      <c r="R398" s="4" t="s">
        <v>1284</v>
      </c>
      <c r="S398" s="4" t="s">
        <v>1279</v>
      </c>
      <c r="T398" s="4" t="s">
        <v>19</v>
      </c>
      <c r="U398" s="4" t="s">
        <v>507</v>
      </c>
      <c r="V398" s="4" t="str">
        <f t="shared" si="26"/>
        <v>UTILITIESINDUSTRY SOLUTIONAUTHORIZEDADD-ON</v>
      </c>
    </row>
    <row r="399" spans="1:22" ht="15" thickBot="1">
      <c r="A399" s="10" t="s">
        <v>21</v>
      </c>
      <c r="B399" s="10" t="s">
        <v>22</v>
      </c>
      <c r="C399" s="10" t="s">
        <v>870</v>
      </c>
      <c r="D399" s="10" t="s">
        <v>871</v>
      </c>
      <c r="E399" s="10" t="s">
        <v>872</v>
      </c>
      <c r="F399" s="10" t="s">
        <v>873</v>
      </c>
      <c r="G399" s="11">
        <v>6570</v>
      </c>
      <c r="H399" s="163" t="s">
        <v>882</v>
      </c>
      <c r="I399" s="158" t="s">
        <v>883</v>
      </c>
      <c r="J399" s="163" t="s">
        <v>882</v>
      </c>
      <c r="K399" s="10" t="s">
        <v>40</v>
      </c>
      <c r="L399" s="10">
        <v>5</v>
      </c>
      <c r="M399" s="10">
        <f t="shared" si="25"/>
        <v>5</v>
      </c>
      <c r="N399" s="10">
        <v>15</v>
      </c>
      <c r="O399" s="12">
        <v>1</v>
      </c>
      <c r="P399" s="11">
        <v>6570</v>
      </c>
      <c r="Q399" s="10" t="s">
        <v>33</v>
      </c>
      <c r="R399" s="4" t="s">
        <v>1284</v>
      </c>
      <c r="S399" s="4" t="s">
        <v>1279</v>
      </c>
      <c r="T399" s="4" t="s">
        <v>19</v>
      </c>
      <c r="U399" s="4" t="s">
        <v>507</v>
      </c>
      <c r="V399" s="4" t="str">
        <f t="shared" si="26"/>
        <v>UTILITIESINDUSTRY SOLUTIONAUTHORIZEDADD-ON</v>
      </c>
    </row>
    <row r="400" spans="1:22" ht="15" thickBot="1">
      <c r="A400" s="10" t="s">
        <v>21</v>
      </c>
      <c r="B400" s="10" t="s">
        <v>22</v>
      </c>
      <c r="C400" s="10" t="s">
        <v>870</v>
      </c>
      <c r="D400" s="10" t="s">
        <v>871</v>
      </c>
      <c r="E400" s="10" t="s">
        <v>872</v>
      </c>
      <c r="F400" s="10" t="s">
        <v>873</v>
      </c>
      <c r="G400" s="11">
        <v>3940</v>
      </c>
      <c r="H400" s="163" t="s">
        <v>884</v>
      </c>
      <c r="I400" s="158" t="s">
        <v>885</v>
      </c>
      <c r="J400" s="163" t="s">
        <v>882</v>
      </c>
      <c r="K400" s="10" t="s">
        <v>40</v>
      </c>
      <c r="L400" s="10">
        <v>5</v>
      </c>
      <c r="M400" s="10">
        <f t="shared" si="25"/>
        <v>5</v>
      </c>
      <c r="N400" s="10">
        <v>15</v>
      </c>
      <c r="O400" s="12">
        <v>1</v>
      </c>
      <c r="P400" s="11">
        <v>6570</v>
      </c>
      <c r="Q400" s="10" t="s">
        <v>36</v>
      </c>
      <c r="R400" s="4" t="s">
        <v>1284</v>
      </c>
      <c r="S400" s="4" t="s">
        <v>1279</v>
      </c>
      <c r="T400" s="4" t="s">
        <v>19</v>
      </c>
      <c r="U400" s="4" t="s">
        <v>507</v>
      </c>
      <c r="V400" s="4" t="str">
        <f t="shared" si="26"/>
        <v>UTILITIESINDUSTRY SOLUTIONAUTHORIZEDADD-ON</v>
      </c>
    </row>
    <row r="401" spans="1:22" ht="27" thickBot="1">
      <c r="A401" s="10" t="s">
        <v>21</v>
      </c>
      <c r="B401" s="10" t="s">
        <v>22</v>
      </c>
      <c r="C401" s="10" t="s">
        <v>870</v>
      </c>
      <c r="D401" s="10" t="s">
        <v>871</v>
      </c>
      <c r="E401" s="10" t="s">
        <v>872</v>
      </c>
      <c r="F401" s="10" t="s">
        <v>873</v>
      </c>
      <c r="G401" s="11">
        <v>1410</v>
      </c>
      <c r="H401" s="163" t="s">
        <v>886</v>
      </c>
      <c r="I401" s="166" t="s">
        <v>887</v>
      </c>
      <c r="J401" s="163" t="s">
        <v>888</v>
      </c>
      <c r="K401" s="10" t="s">
        <v>40</v>
      </c>
      <c r="L401" s="10">
        <v>5</v>
      </c>
      <c r="M401" s="10">
        <f t="shared" si="25"/>
        <v>5</v>
      </c>
      <c r="N401" s="10">
        <v>15</v>
      </c>
      <c r="O401" s="12">
        <v>1</v>
      </c>
      <c r="P401" s="11">
        <v>6570</v>
      </c>
      <c r="Q401" s="10" t="s">
        <v>48</v>
      </c>
      <c r="R401" s="4" t="s">
        <v>1284</v>
      </c>
      <c r="S401" s="4" t="s">
        <v>1279</v>
      </c>
      <c r="T401" s="4" t="s">
        <v>19</v>
      </c>
      <c r="U401" s="4" t="s">
        <v>507</v>
      </c>
      <c r="V401" s="4" t="str">
        <f t="shared" si="26"/>
        <v>UTILITIESINDUSTRY SOLUTIONAUTHORIZEDADD-ON</v>
      </c>
    </row>
    <row r="402" spans="1:22" ht="15" thickBot="1">
      <c r="A402" s="10" t="s">
        <v>21</v>
      </c>
      <c r="B402" s="10" t="s">
        <v>22</v>
      </c>
      <c r="C402" s="10" t="s">
        <v>870</v>
      </c>
      <c r="D402" s="10" t="s">
        <v>871</v>
      </c>
      <c r="E402" s="10" t="s">
        <v>872</v>
      </c>
      <c r="F402" s="10" t="s">
        <v>873</v>
      </c>
      <c r="G402" s="11">
        <v>1410</v>
      </c>
      <c r="H402" s="163" t="s">
        <v>889</v>
      </c>
      <c r="I402" s="166" t="s">
        <v>890</v>
      </c>
      <c r="J402" s="163" t="s">
        <v>882</v>
      </c>
      <c r="K402" s="10" t="s">
        <v>40</v>
      </c>
      <c r="L402" s="10">
        <v>5</v>
      </c>
      <c r="M402" s="10">
        <f t="shared" si="25"/>
        <v>5</v>
      </c>
      <c r="N402" s="10">
        <v>15</v>
      </c>
      <c r="O402" s="12">
        <v>1</v>
      </c>
      <c r="P402" s="11">
        <v>6570</v>
      </c>
      <c r="Q402" s="10" t="s">
        <v>48</v>
      </c>
      <c r="R402" s="4" t="s">
        <v>1284</v>
      </c>
      <c r="S402" s="4" t="s">
        <v>1279</v>
      </c>
      <c r="T402" s="4" t="s">
        <v>19</v>
      </c>
      <c r="U402" s="4" t="s">
        <v>507</v>
      </c>
      <c r="V402" s="4" t="str">
        <f t="shared" si="26"/>
        <v>UTILITIESINDUSTRY SOLUTIONAUTHORIZEDADD-ON</v>
      </c>
    </row>
    <row r="403" spans="1:22" ht="15" thickBot="1">
      <c r="A403" s="10" t="s">
        <v>21</v>
      </c>
      <c r="B403" s="10" t="s">
        <v>22</v>
      </c>
      <c r="C403" s="10" t="s">
        <v>870</v>
      </c>
      <c r="D403" s="10" t="s">
        <v>871</v>
      </c>
      <c r="E403" s="10" t="s">
        <v>872</v>
      </c>
      <c r="F403" s="10" t="s">
        <v>873</v>
      </c>
      <c r="G403" s="11">
        <v>1320</v>
      </c>
      <c r="H403" s="163" t="s">
        <v>891</v>
      </c>
      <c r="I403" s="158" t="s">
        <v>892</v>
      </c>
      <c r="J403" s="163" t="s">
        <v>888</v>
      </c>
      <c r="K403" s="10" t="s">
        <v>40</v>
      </c>
      <c r="L403" s="10">
        <v>5</v>
      </c>
      <c r="M403" s="10">
        <f t="shared" si="25"/>
        <v>5</v>
      </c>
      <c r="N403" s="10">
        <v>15</v>
      </c>
      <c r="O403" s="12">
        <v>1</v>
      </c>
      <c r="P403" s="11">
        <v>6570</v>
      </c>
      <c r="Q403" s="10" t="s">
        <v>31</v>
      </c>
      <c r="R403" s="4" t="s">
        <v>1284</v>
      </c>
      <c r="S403" s="4" t="s">
        <v>1279</v>
      </c>
      <c r="T403" s="4" t="s">
        <v>19</v>
      </c>
      <c r="U403" s="4" t="str">
        <f t="shared" ref="U403:U466" si="27">IF(ISNUMBER(SEARCH("ADD-ON",$I403)),"ADD-ON","NOT AN ADD-ON")</f>
        <v>ADD-ON</v>
      </c>
      <c r="V403" s="4" t="str">
        <f t="shared" si="26"/>
        <v>UTILITIESINDUSTRY SOLUTIONAUTHORIZEDADD-ON</v>
      </c>
    </row>
    <row r="404" spans="1:22" ht="15" thickBot="1">
      <c r="A404" s="10" t="s">
        <v>21</v>
      </c>
      <c r="B404" s="10" t="s">
        <v>22</v>
      </c>
      <c r="C404" s="10" t="s">
        <v>870</v>
      </c>
      <c r="D404" s="10" t="s">
        <v>871</v>
      </c>
      <c r="E404" s="10" t="s">
        <v>872</v>
      </c>
      <c r="F404" s="10" t="s">
        <v>873</v>
      </c>
      <c r="G404" s="11">
        <v>6570</v>
      </c>
      <c r="H404" s="163" t="s">
        <v>888</v>
      </c>
      <c r="I404" s="158" t="s">
        <v>893</v>
      </c>
      <c r="J404" s="163" t="s">
        <v>888</v>
      </c>
      <c r="K404" s="10" t="s">
        <v>40</v>
      </c>
      <c r="L404" s="10">
        <v>5</v>
      </c>
      <c r="M404" s="10">
        <f t="shared" si="25"/>
        <v>5</v>
      </c>
      <c r="N404" s="10">
        <v>15</v>
      </c>
      <c r="O404" s="12">
        <v>1</v>
      </c>
      <c r="P404" s="11">
        <v>6570</v>
      </c>
      <c r="Q404" s="10" t="s">
        <v>33</v>
      </c>
      <c r="R404" s="4" t="s">
        <v>1284</v>
      </c>
      <c r="S404" s="4" t="s">
        <v>1279</v>
      </c>
      <c r="T404" s="4" t="s">
        <v>19</v>
      </c>
      <c r="U404" s="4" t="str">
        <f t="shared" si="27"/>
        <v>ADD-ON</v>
      </c>
      <c r="V404" s="4" t="str">
        <f t="shared" si="26"/>
        <v>UTILITIESINDUSTRY SOLUTIONAUTHORIZEDADD-ON</v>
      </c>
    </row>
    <row r="405" spans="1:22" ht="15" thickBot="1">
      <c r="A405" s="10" t="s">
        <v>21</v>
      </c>
      <c r="B405" s="10" t="s">
        <v>22</v>
      </c>
      <c r="C405" s="10" t="s">
        <v>870</v>
      </c>
      <c r="D405" s="10" t="s">
        <v>871</v>
      </c>
      <c r="E405" s="10" t="s">
        <v>872</v>
      </c>
      <c r="F405" s="10" t="s">
        <v>873</v>
      </c>
      <c r="G405" s="11">
        <v>3940</v>
      </c>
      <c r="H405" s="163" t="s">
        <v>894</v>
      </c>
      <c r="I405" s="158" t="s">
        <v>895</v>
      </c>
      <c r="J405" s="163" t="s">
        <v>888</v>
      </c>
      <c r="K405" s="10" t="s">
        <v>40</v>
      </c>
      <c r="L405" s="10">
        <v>5</v>
      </c>
      <c r="M405" s="10">
        <f t="shared" si="25"/>
        <v>5</v>
      </c>
      <c r="N405" s="10">
        <v>15</v>
      </c>
      <c r="O405" s="12">
        <v>1</v>
      </c>
      <c r="P405" s="11">
        <v>6570</v>
      </c>
      <c r="Q405" s="10" t="s">
        <v>36</v>
      </c>
      <c r="R405" s="4" t="s">
        <v>1284</v>
      </c>
      <c r="S405" s="4" t="s">
        <v>1279</v>
      </c>
      <c r="T405" s="4" t="s">
        <v>19</v>
      </c>
      <c r="U405" s="4" t="str">
        <f t="shared" si="27"/>
        <v>ADD-ON</v>
      </c>
      <c r="V405" s="4" t="str">
        <f t="shared" si="26"/>
        <v>UTILITIESINDUSTRY SOLUTIONAUTHORIZEDADD-ON</v>
      </c>
    </row>
    <row r="406" spans="1:22" ht="15" thickBot="1">
      <c r="A406" s="10" t="s">
        <v>21</v>
      </c>
      <c r="B406" s="10" t="s">
        <v>22</v>
      </c>
      <c r="C406" s="10" t="s">
        <v>870</v>
      </c>
      <c r="D406" s="10" t="s">
        <v>871</v>
      </c>
      <c r="E406" s="10" t="s">
        <v>872</v>
      </c>
      <c r="F406" s="10" t="s">
        <v>873</v>
      </c>
      <c r="G406" s="11">
        <v>2680</v>
      </c>
      <c r="H406" s="163" t="s">
        <v>896</v>
      </c>
      <c r="I406" s="166" t="s">
        <v>897</v>
      </c>
      <c r="J406" s="163" t="s">
        <v>898</v>
      </c>
      <c r="K406" s="10" t="s">
        <v>30</v>
      </c>
      <c r="L406" s="10">
        <v>15</v>
      </c>
      <c r="M406" s="10">
        <f t="shared" si="25"/>
        <v>5</v>
      </c>
      <c r="N406" s="10">
        <v>15</v>
      </c>
      <c r="O406" s="12">
        <v>5</v>
      </c>
      <c r="P406" s="11">
        <v>7660</v>
      </c>
      <c r="Q406" s="10" t="s">
        <v>48</v>
      </c>
      <c r="R406" s="4" t="s">
        <v>1284</v>
      </c>
      <c r="S406" s="4" t="s">
        <v>1279</v>
      </c>
      <c r="T406" s="4" t="s">
        <v>19</v>
      </c>
      <c r="U406" s="4" t="str">
        <f t="shared" si="27"/>
        <v>NOT AN ADD-ON</v>
      </c>
      <c r="V406" s="4" t="str">
        <f t="shared" si="26"/>
        <v>UTILITIESINDUSTRY SOLUTIONAUTHORIZEDNOT AN ADD-ON</v>
      </c>
    </row>
    <row r="407" spans="1:22" ht="15" thickBot="1">
      <c r="A407" s="10" t="s">
        <v>21</v>
      </c>
      <c r="B407" s="10" t="s">
        <v>22</v>
      </c>
      <c r="C407" s="10" t="s">
        <v>870</v>
      </c>
      <c r="D407" s="10" t="s">
        <v>871</v>
      </c>
      <c r="E407" s="10" t="s">
        <v>872</v>
      </c>
      <c r="F407" s="10" t="s">
        <v>873</v>
      </c>
      <c r="G407" s="11">
        <v>5470</v>
      </c>
      <c r="H407" s="163" t="s">
        <v>899</v>
      </c>
      <c r="I407" s="166" t="s">
        <v>900</v>
      </c>
      <c r="J407" s="163" t="s">
        <v>898</v>
      </c>
      <c r="K407" s="10" t="s">
        <v>30</v>
      </c>
      <c r="L407" s="10">
        <v>15</v>
      </c>
      <c r="M407" s="10">
        <f t="shared" si="25"/>
        <v>5</v>
      </c>
      <c r="N407" s="10">
        <v>15</v>
      </c>
      <c r="O407" s="12">
        <v>5</v>
      </c>
      <c r="P407" s="11">
        <v>7660</v>
      </c>
      <c r="Q407" s="10" t="s">
        <v>48</v>
      </c>
      <c r="R407" s="4" t="s">
        <v>1284</v>
      </c>
      <c r="S407" s="4" t="s">
        <v>1279</v>
      </c>
      <c r="T407" s="4" t="s">
        <v>19</v>
      </c>
      <c r="U407" s="4" t="str">
        <f t="shared" si="27"/>
        <v>NOT AN ADD-ON</v>
      </c>
      <c r="V407" s="4" t="str">
        <f t="shared" si="26"/>
        <v>UTILITIESINDUSTRY SOLUTIONAUTHORIZEDNOT AN ADD-ON</v>
      </c>
    </row>
    <row r="408" spans="1:22" ht="15" thickBot="1">
      <c r="A408" s="10" t="s">
        <v>21</v>
      </c>
      <c r="B408" s="10" t="s">
        <v>22</v>
      </c>
      <c r="C408" s="10" t="s">
        <v>870</v>
      </c>
      <c r="D408" s="10" t="s">
        <v>871</v>
      </c>
      <c r="E408" s="10" t="s">
        <v>872</v>
      </c>
      <c r="F408" s="10" t="s">
        <v>873</v>
      </c>
      <c r="G408" s="11">
        <v>4900</v>
      </c>
      <c r="H408" s="163" t="s">
        <v>901</v>
      </c>
      <c r="I408" s="166" t="s">
        <v>902</v>
      </c>
      <c r="J408" s="163" t="s">
        <v>898</v>
      </c>
      <c r="K408" s="10" t="s">
        <v>30</v>
      </c>
      <c r="L408" s="10">
        <v>15</v>
      </c>
      <c r="M408" s="10">
        <f t="shared" si="25"/>
        <v>5</v>
      </c>
      <c r="N408" s="10">
        <v>15</v>
      </c>
      <c r="O408" s="12">
        <v>5</v>
      </c>
      <c r="P408" s="11">
        <v>7660</v>
      </c>
      <c r="Q408" s="10" t="s">
        <v>48</v>
      </c>
      <c r="R408" s="4" t="s">
        <v>1284</v>
      </c>
      <c r="S408" s="4" t="s">
        <v>1279</v>
      </c>
      <c r="T408" s="4" t="s">
        <v>19</v>
      </c>
      <c r="U408" s="4" t="str">
        <f t="shared" si="27"/>
        <v>NOT AN ADD-ON</v>
      </c>
      <c r="V408" s="4" t="str">
        <f t="shared" si="26"/>
        <v>UTILITIESINDUSTRY SOLUTIONAUTHORIZEDNOT AN ADD-ON</v>
      </c>
    </row>
    <row r="409" spans="1:22" ht="15" thickBot="1">
      <c r="A409" s="10" t="s">
        <v>21</v>
      </c>
      <c r="B409" s="10" t="s">
        <v>22</v>
      </c>
      <c r="C409" s="10" t="s">
        <v>870</v>
      </c>
      <c r="D409" s="10" t="s">
        <v>871</v>
      </c>
      <c r="E409" s="10" t="s">
        <v>872</v>
      </c>
      <c r="F409" s="10" t="s">
        <v>873</v>
      </c>
      <c r="G409" s="11">
        <v>1520</v>
      </c>
      <c r="H409" s="163" t="s">
        <v>903</v>
      </c>
      <c r="I409" s="158" t="s">
        <v>904</v>
      </c>
      <c r="J409" s="163" t="s">
        <v>898</v>
      </c>
      <c r="K409" s="10" t="s">
        <v>30</v>
      </c>
      <c r="L409" s="10">
        <v>15</v>
      </c>
      <c r="M409" s="10">
        <f t="shared" si="25"/>
        <v>5</v>
      </c>
      <c r="N409" s="10">
        <v>15</v>
      </c>
      <c r="O409" s="12">
        <v>5</v>
      </c>
      <c r="P409" s="11">
        <v>7660</v>
      </c>
      <c r="Q409" s="10" t="s">
        <v>31</v>
      </c>
      <c r="R409" s="4" t="s">
        <v>1284</v>
      </c>
      <c r="S409" s="4" t="s">
        <v>1279</v>
      </c>
      <c r="T409" s="4" t="s">
        <v>19</v>
      </c>
      <c r="U409" s="4" t="str">
        <f t="shared" si="27"/>
        <v>NOT AN ADD-ON</v>
      </c>
      <c r="V409" s="4" t="str">
        <f t="shared" si="26"/>
        <v>UTILITIESINDUSTRY SOLUTIONAUTHORIZEDNOT AN ADD-ON</v>
      </c>
    </row>
    <row r="410" spans="1:22" ht="15" thickBot="1">
      <c r="A410" s="10" t="s">
        <v>21</v>
      </c>
      <c r="B410" s="10" t="s">
        <v>22</v>
      </c>
      <c r="C410" s="10" t="s">
        <v>870</v>
      </c>
      <c r="D410" s="10" t="s">
        <v>871</v>
      </c>
      <c r="E410" s="10" t="s">
        <v>872</v>
      </c>
      <c r="F410" s="10" t="s">
        <v>873</v>
      </c>
      <c r="G410" s="11">
        <v>7660</v>
      </c>
      <c r="H410" s="163" t="s">
        <v>898</v>
      </c>
      <c r="I410" s="158" t="s">
        <v>905</v>
      </c>
      <c r="J410" s="163" t="s">
        <v>898</v>
      </c>
      <c r="K410" s="10" t="s">
        <v>30</v>
      </c>
      <c r="L410" s="10">
        <v>15</v>
      </c>
      <c r="M410" s="10">
        <f t="shared" si="25"/>
        <v>5</v>
      </c>
      <c r="N410" s="10">
        <v>15</v>
      </c>
      <c r="O410" s="12">
        <v>5</v>
      </c>
      <c r="P410" s="11">
        <v>7660</v>
      </c>
      <c r="Q410" s="10" t="s">
        <v>33</v>
      </c>
      <c r="R410" s="4" t="s">
        <v>1284</v>
      </c>
      <c r="S410" s="4" t="s">
        <v>1279</v>
      </c>
      <c r="T410" s="4" t="s">
        <v>19</v>
      </c>
      <c r="U410" s="4" t="str">
        <f t="shared" si="27"/>
        <v>NOT AN ADD-ON</v>
      </c>
      <c r="V410" s="4" t="str">
        <f t="shared" si="26"/>
        <v>UTILITIESINDUSTRY SOLUTIONAUTHORIZEDNOT AN ADD-ON</v>
      </c>
    </row>
    <row r="411" spans="1:22" ht="15" thickBot="1">
      <c r="A411" s="10" t="s">
        <v>21</v>
      </c>
      <c r="B411" s="10" t="s">
        <v>22</v>
      </c>
      <c r="C411" s="10" t="s">
        <v>870</v>
      </c>
      <c r="D411" s="10" t="s">
        <v>871</v>
      </c>
      <c r="E411" s="10" t="s">
        <v>872</v>
      </c>
      <c r="F411" s="10" t="s">
        <v>873</v>
      </c>
      <c r="G411" s="11">
        <v>4600</v>
      </c>
      <c r="H411" s="163" t="s">
        <v>906</v>
      </c>
      <c r="I411" s="158" t="s">
        <v>907</v>
      </c>
      <c r="J411" s="163" t="s">
        <v>898</v>
      </c>
      <c r="K411" s="10" t="s">
        <v>30</v>
      </c>
      <c r="L411" s="10">
        <v>15</v>
      </c>
      <c r="M411" s="10">
        <f t="shared" si="25"/>
        <v>5</v>
      </c>
      <c r="N411" s="10">
        <v>15</v>
      </c>
      <c r="O411" s="12">
        <v>5</v>
      </c>
      <c r="P411" s="11">
        <v>7660</v>
      </c>
      <c r="Q411" s="10" t="s">
        <v>36</v>
      </c>
      <c r="R411" s="4" t="s">
        <v>1284</v>
      </c>
      <c r="S411" s="4" t="s">
        <v>1279</v>
      </c>
      <c r="T411" s="4" t="s">
        <v>19</v>
      </c>
      <c r="U411" s="4" t="str">
        <f t="shared" si="27"/>
        <v>NOT AN ADD-ON</v>
      </c>
      <c r="V411" s="4" t="str">
        <f t="shared" si="26"/>
        <v>UTILITIESINDUSTRY SOLUTIONAUTHORIZEDNOT AN ADD-ON</v>
      </c>
    </row>
    <row r="412" spans="1:22" ht="15" thickBot="1">
      <c r="A412" s="10" t="s">
        <v>21</v>
      </c>
      <c r="B412" s="10" t="s">
        <v>22</v>
      </c>
      <c r="C412" s="10" t="s">
        <v>870</v>
      </c>
      <c r="D412" s="10" t="s">
        <v>871</v>
      </c>
      <c r="E412" s="10" t="s">
        <v>872</v>
      </c>
      <c r="F412" s="10" t="s">
        <v>873</v>
      </c>
      <c r="G412" s="11">
        <v>4680</v>
      </c>
      <c r="H412" s="163" t="s">
        <v>908</v>
      </c>
      <c r="I412" s="158" t="s">
        <v>909</v>
      </c>
      <c r="J412" s="163" t="s">
        <v>910</v>
      </c>
      <c r="K412" s="10" t="s">
        <v>40</v>
      </c>
      <c r="L412" s="10">
        <v>15</v>
      </c>
      <c r="M412" s="10">
        <f t="shared" si="25"/>
        <v>15</v>
      </c>
      <c r="N412" s="10">
        <v>15</v>
      </c>
      <c r="O412" s="12">
        <v>1</v>
      </c>
      <c r="P412" s="11">
        <v>23400</v>
      </c>
      <c r="Q412" s="10" t="s">
        <v>31</v>
      </c>
      <c r="R412" s="4" t="s">
        <v>1284</v>
      </c>
      <c r="S412" s="4" t="s">
        <v>1279</v>
      </c>
      <c r="T412" s="4" t="s">
        <v>19</v>
      </c>
      <c r="U412" s="4" t="str">
        <f t="shared" si="27"/>
        <v>NOT AN ADD-ON</v>
      </c>
      <c r="V412" s="4" t="str">
        <f t="shared" si="26"/>
        <v>UTILITIESINDUSTRY SOLUTIONAUTHORIZEDNOT AN ADD-ON</v>
      </c>
    </row>
    <row r="413" spans="1:22" ht="15" thickBot="1">
      <c r="A413" s="10" t="s">
        <v>21</v>
      </c>
      <c r="B413" s="10" t="s">
        <v>22</v>
      </c>
      <c r="C413" s="10" t="s">
        <v>870</v>
      </c>
      <c r="D413" s="10" t="s">
        <v>871</v>
      </c>
      <c r="E413" s="10" t="s">
        <v>872</v>
      </c>
      <c r="F413" s="10" t="s">
        <v>873</v>
      </c>
      <c r="G413" s="11">
        <v>23400</v>
      </c>
      <c r="H413" s="163" t="s">
        <v>910</v>
      </c>
      <c r="I413" s="158" t="s">
        <v>911</v>
      </c>
      <c r="J413" s="163" t="s">
        <v>910</v>
      </c>
      <c r="K413" s="10" t="s">
        <v>40</v>
      </c>
      <c r="L413" s="10">
        <v>15</v>
      </c>
      <c r="M413" s="10">
        <f t="shared" si="25"/>
        <v>15</v>
      </c>
      <c r="N413" s="10">
        <v>15</v>
      </c>
      <c r="O413" s="12">
        <v>1</v>
      </c>
      <c r="P413" s="11">
        <v>23400</v>
      </c>
      <c r="Q413" s="10" t="s">
        <v>33</v>
      </c>
      <c r="R413" s="4" t="s">
        <v>1284</v>
      </c>
      <c r="S413" s="4" t="s">
        <v>1279</v>
      </c>
      <c r="T413" s="4" t="s">
        <v>19</v>
      </c>
      <c r="U413" s="4" t="str">
        <f t="shared" si="27"/>
        <v>NOT AN ADD-ON</v>
      </c>
      <c r="V413" s="4" t="str">
        <f t="shared" si="26"/>
        <v>UTILITIESINDUSTRY SOLUTIONAUTHORIZEDNOT AN ADD-ON</v>
      </c>
    </row>
    <row r="414" spans="1:22" ht="15" thickBot="1">
      <c r="A414" s="10" t="s">
        <v>21</v>
      </c>
      <c r="B414" s="10" t="s">
        <v>22</v>
      </c>
      <c r="C414" s="10" t="s">
        <v>870</v>
      </c>
      <c r="D414" s="10" t="s">
        <v>871</v>
      </c>
      <c r="E414" s="10" t="s">
        <v>872</v>
      </c>
      <c r="F414" s="10" t="s">
        <v>873</v>
      </c>
      <c r="G414" s="11">
        <v>14000</v>
      </c>
      <c r="H414" s="163" t="s">
        <v>912</v>
      </c>
      <c r="I414" s="158" t="s">
        <v>913</v>
      </c>
      <c r="J414" s="163" t="s">
        <v>910</v>
      </c>
      <c r="K414" s="10" t="s">
        <v>40</v>
      </c>
      <c r="L414" s="10">
        <v>15</v>
      </c>
      <c r="M414" s="10">
        <f t="shared" si="25"/>
        <v>15</v>
      </c>
      <c r="N414" s="10">
        <v>15</v>
      </c>
      <c r="O414" s="12">
        <v>1</v>
      </c>
      <c r="P414" s="11">
        <v>23400</v>
      </c>
      <c r="Q414" s="10" t="s">
        <v>36</v>
      </c>
      <c r="R414" s="4" t="s">
        <v>1284</v>
      </c>
      <c r="S414" s="4" t="s">
        <v>1279</v>
      </c>
      <c r="T414" s="4" t="s">
        <v>19</v>
      </c>
      <c r="U414" s="4" t="str">
        <f t="shared" si="27"/>
        <v>NOT AN ADD-ON</v>
      </c>
      <c r="V414" s="4" t="str">
        <f t="shared" si="26"/>
        <v>UTILITIESINDUSTRY SOLUTIONAUTHORIZEDNOT AN ADD-ON</v>
      </c>
    </row>
    <row r="415" spans="1:22" ht="15" thickBot="1">
      <c r="A415" s="10" t="s">
        <v>21</v>
      </c>
      <c r="B415" s="10" t="s">
        <v>22</v>
      </c>
      <c r="C415" s="10" t="s">
        <v>870</v>
      </c>
      <c r="D415" s="10" t="s">
        <v>871</v>
      </c>
      <c r="E415" s="10" t="s">
        <v>872</v>
      </c>
      <c r="F415" s="10" t="s">
        <v>873</v>
      </c>
      <c r="G415" s="11">
        <v>4680</v>
      </c>
      <c r="H415" s="163" t="s">
        <v>914</v>
      </c>
      <c r="I415" s="158" t="s">
        <v>915</v>
      </c>
      <c r="J415" s="163" t="s">
        <v>916</v>
      </c>
      <c r="K415" s="10" t="s">
        <v>40</v>
      </c>
      <c r="L415" s="10">
        <v>15</v>
      </c>
      <c r="M415" s="10">
        <f t="shared" si="25"/>
        <v>15</v>
      </c>
      <c r="N415" s="10">
        <v>15</v>
      </c>
      <c r="O415" s="12">
        <v>1</v>
      </c>
      <c r="P415" s="11">
        <v>23400</v>
      </c>
      <c r="Q415" s="10" t="s">
        <v>31</v>
      </c>
      <c r="R415" s="4" t="s">
        <v>1284</v>
      </c>
      <c r="S415" s="4" t="s">
        <v>1279</v>
      </c>
      <c r="T415" s="4" t="s">
        <v>19</v>
      </c>
      <c r="U415" s="4" t="str">
        <f t="shared" si="27"/>
        <v>NOT AN ADD-ON</v>
      </c>
      <c r="V415" s="4" t="str">
        <f t="shared" si="26"/>
        <v>UTILITIESINDUSTRY SOLUTIONAUTHORIZEDNOT AN ADD-ON</v>
      </c>
    </row>
    <row r="416" spans="1:22" ht="15" thickBot="1">
      <c r="A416" s="10" t="s">
        <v>21</v>
      </c>
      <c r="B416" s="10" t="s">
        <v>22</v>
      </c>
      <c r="C416" s="10" t="s">
        <v>870</v>
      </c>
      <c r="D416" s="10" t="s">
        <v>871</v>
      </c>
      <c r="E416" s="10" t="s">
        <v>872</v>
      </c>
      <c r="F416" s="10" t="s">
        <v>873</v>
      </c>
      <c r="G416" s="11">
        <v>23400</v>
      </c>
      <c r="H416" s="163" t="s">
        <v>916</v>
      </c>
      <c r="I416" s="158" t="s">
        <v>917</v>
      </c>
      <c r="J416" s="163" t="s">
        <v>916</v>
      </c>
      <c r="K416" s="10" t="s">
        <v>40</v>
      </c>
      <c r="L416" s="10">
        <v>15</v>
      </c>
      <c r="M416" s="10">
        <f t="shared" si="25"/>
        <v>15</v>
      </c>
      <c r="N416" s="10">
        <v>15</v>
      </c>
      <c r="O416" s="12">
        <v>1</v>
      </c>
      <c r="P416" s="11">
        <v>23400</v>
      </c>
      <c r="Q416" s="10" t="s">
        <v>33</v>
      </c>
      <c r="R416" s="4" t="s">
        <v>1284</v>
      </c>
      <c r="S416" s="4" t="s">
        <v>1279</v>
      </c>
      <c r="T416" s="4" t="s">
        <v>19</v>
      </c>
      <c r="U416" s="4" t="str">
        <f t="shared" si="27"/>
        <v>NOT AN ADD-ON</v>
      </c>
      <c r="V416" s="4" t="str">
        <f t="shared" si="26"/>
        <v>UTILITIESINDUSTRY SOLUTIONAUTHORIZEDNOT AN ADD-ON</v>
      </c>
    </row>
    <row r="417" spans="1:22" ht="15" thickBot="1">
      <c r="A417" s="10" t="s">
        <v>21</v>
      </c>
      <c r="B417" s="10" t="s">
        <v>22</v>
      </c>
      <c r="C417" s="10" t="s">
        <v>870</v>
      </c>
      <c r="D417" s="10" t="s">
        <v>871</v>
      </c>
      <c r="E417" s="10" t="s">
        <v>872</v>
      </c>
      <c r="F417" s="10" t="s">
        <v>873</v>
      </c>
      <c r="G417" s="11">
        <v>14000</v>
      </c>
      <c r="H417" s="163" t="s">
        <v>918</v>
      </c>
      <c r="I417" s="158" t="s">
        <v>919</v>
      </c>
      <c r="J417" s="163" t="s">
        <v>916</v>
      </c>
      <c r="K417" s="10" t="s">
        <v>40</v>
      </c>
      <c r="L417" s="10">
        <v>15</v>
      </c>
      <c r="M417" s="10">
        <f t="shared" si="25"/>
        <v>15</v>
      </c>
      <c r="N417" s="10">
        <v>15</v>
      </c>
      <c r="O417" s="12">
        <v>1</v>
      </c>
      <c r="P417" s="11">
        <v>23400</v>
      </c>
      <c r="Q417" s="10" t="s">
        <v>36</v>
      </c>
      <c r="R417" s="4" t="s">
        <v>1284</v>
      </c>
      <c r="S417" s="4" t="s">
        <v>1279</v>
      </c>
      <c r="T417" s="4" t="s">
        <v>19</v>
      </c>
      <c r="U417" s="4" t="str">
        <f t="shared" si="27"/>
        <v>NOT AN ADD-ON</v>
      </c>
      <c r="V417" s="4" t="str">
        <f t="shared" si="26"/>
        <v>UTILITIESINDUSTRY SOLUTIONAUTHORIZEDNOT AN ADD-ON</v>
      </c>
    </row>
    <row r="418" spans="1:22" ht="15" thickBot="1">
      <c r="A418" s="10" t="s">
        <v>21</v>
      </c>
      <c r="B418" s="10" t="s">
        <v>22</v>
      </c>
      <c r="C418" s="10" t="s">
        <v>870</v>
      </c>
      <c r="D418" s="10" t="s">
        <v>871</v>
      </c>
      <c r="E418" s="10" t="s">
        <v>872</v>
      </c>
      <c r="F418" s="10" t="s">
        <v>873</v>
      </c>
      <c r="G418" s="11">
        <v>5030</v>
      </c>
      <c r="H418" s="163" t="s">
        <v>920</v>
      </c>
      <c r="I418" s="158" t="s">
        <v>921</v>
      </c>
      <c r="J418" s="163" t="s">
        <v>910</v>
      </c>
      <c r="K418" s="10" t="s">
        <v>40</v>
      </c>
      <c r="L418" s="10">
        <v>15</v>
      </c>
      <c r="M418" s="10">
        <f t="shared" si="25"/>
        <v>15</v>
      </c>
      <c r="N418" s="10">
        <v>15</v>
      </c>
      <c r="O418" s="12">
        <v>1</v>
      </c>
      <c r="P418" s="11">
        <v>23400</v>
      </c>
      <c r="Q418" s="10" t="s">
        <v>48</v>
      </c>
      <c r="R418" s="4" t="s">
        <v>1284</v>
      </c>
      <c r="S418" s="4" t="s">
        <v>1279</v>
      </c>
      <c r="T418" s="4" t="s">
        <v>19</v>
      </c>
      <c r="U418" s="4" t="str">
        <f t="shared" si="27"/>
        <v>NOT AN ADD-ON</v>
      </c>
      <c r="V418" s="4" t="str">
        <f t="shared" si="26"/>
        <v>UTILITIESINDUSTRY SOLUTIONAUTHORIZEDNOT AN ADD-ON</v>
      </c>
    </row>
    <row r="419" spans="1:22" ht="15" thickBot="1">
      <c r="A419" s="10" t="s">
        <v>21</v>
      </c>
      <c r="B419" s="10" t="s">
        <v>22</v>
      </c>
      <c r="C419" s="10" t="s">
        <v>870</v>
      </c>
      <c r="D419" s="10" t="s">
        <v>871</v>
      </c>
      <c r="E419" s="10" t="s">
        <v>872</v>
      </c>
      <c r="F419" s="10" t="s">
        <v>873</v>
      </c>
      <c r="G419" s="11">
        <v>8260</v>
      </c>
      <c r="H419" s="163" t="s">
        <v>922</v>
      </c>
      <c r="I419" s="166" t="s">
        <v>923</v>
      </c>
      <c r="J419" s="163" t="s">
        <v>910</v>
      </c>
      <c r="K419" s="10" t="s">
        <v>40</v>
      </c>
      <c r="L419" s="10">
        <v>15</v>
      </c>
      <c r="M419" s="10">
        <f t="shared" si="25"/>
        <v>15</v>
      </c>
      <c r="N419" s="10">
        <v>15</v>
      </c>
      <c r="O419" s="12">
        <v>1</v>
      </c>
      <c r="P419" s="11">
        <v>23400</v>
      </c>
      <c r="Q419" s="10" t="s">
        <v>48</v>
      </c>
      <c r="R419" s="4" t="s">
        <v>1284</v>
      </c>
      <c r="S419" s="4" t="s">
        <v>1279</v>
      </c>
      <c r="T419" s="4" t="s">
        <v>19</v>
      </c>
      <c r="U419" s="4" t="str">
        <f t="shared" si="27"/>
        <v>NOT AN ADD-ON</v>
      </c>
      <c r="V419" s="4" t="str">
        <f t="shared" si="26"/>
        <v>UTILITIESINDUSTRY SOLUTIONAUTHORIZEDNOT AN ADD-ON</v>
      </c>
    </row>
    <row r="420" spans="1:22" ht="15" thickBot="1">
      <c r="A420" s="10" t="s">
        <v>21</v>
      </c>
      <c r="B420" s="10" t="s">
        <v>22</v>
      </c>
      <c r="C420" s="10" t="s">
        <v>870</v>
      </c>
      <c r="D420" s="10" t="s">
        <v>871</v>
      </c>
      <c r="E420" s="10" t="s">
        <v>872</v>
      </c>
      <c r="F420" s="10" t="s">
        <v>873</v>
      </c>
      <c r="G420" s="11">
        <v>431</v>
      </c>
      <c r="H420" s="163" t="s">
        <v>924</v>
      </c>
      <c r="I420" s="158" t="s">
        <v>925</v>
      </c>
      <c r="J420" s="163" t="s">
        <v>926</v>
      </c>
      <c r="K420" s="10" t="s">
        <v>30</v>
      </c>
      <c r="L420" s="10">
        <v>15</v>
      </c>
      <c r="M420" s="10">
        <f t="shared" si="25"/>
        <v>5</v>
      </c>
      <c r="N420" s="10">
        <v>15</v>
      </c>
      <c r="O420" s="12">
        <v>5</v>
      </c>
      <c r="P420" s="11">
        <v>2150</v>
      </c>
      <c r="Q420" s="10" t="s">
        <v>31</v>
      </c>
      <c r="R420" s="4" t="s">
        <v>1284</v>
      </c>
      <c r="S420" s="4" t="s">
        <v>1279</v>
      </c>
      <c r="T420" s="4" t="s">
        <v>19</v>
      </c>
      <c r="U420" s="4" t="str">
        <f t="shared" si="27"/>
        <v>NOT AN ADD-ON</v>
      </c>
      <c r="V420" s="4" t="str">
        <f t="shared" si="26"/>
        <v>UTILITIESINDUSTRY SOLUTIONAUTHORIZEDNOT AN ADD-ON</v>
      </c>
    </row>
    <row r="421" spans="1:22" ht="15" thickBot="1">
      <c r="A421" s="10" t="s">
        <v>21</v>
      </c>
      <c r="B421" s="10" t="s">
        <v>22</v>
      </c>
      <c r="C421" s="10" t="s">
        <v>870</v>
      </c>
      <c r="D421" s="10" t="s">
        <v>871</v>
      </c>
      <c r="E421" s="10" t="s">
        <v>872</v>
      </c>
      <c r="F421" s="10" t="s">
        <v>873</v>
      </c>
      <c r="G421" s="11">
        <v>2150</v>
      </c>
      <c r="H421" s="163" t="s">
        <v>926</v>
      </c>
      <c r="I421" s="158" t="s">
        <v>927</v>
      </c>
      <c r="J421" s="163" t="s">
        <v>926</v>
      </c>
      <c r="K421" s="10" t="s">
        <v>30</v>
      </c>
      <c r="L421" s="10">
        <v>15</v>
      </c>
      <c r="M421" s="10">
        <f t="shared" si="25"/>
        <v>5</v>
      </c>
      <c r="N421" s="10">
        <v>15</v>
      </c>
      <c r="O421" s="12">
        <v>5</v>
      </c>
      <c r="P421" s="11">
        <v>2150</v>
      </c>
      <c r="Q421" s="10" t="s">
        <v>33</v>
      </c>
      <c r="R421" s="4" t="s">
        <v>1284</v>
      </c>
      <c r="S421" s="4" t="s">
        <v>1279</v>
      </c>
      <c r="T421" s="4" t="s">
        <v>19</v>
      </c>
      <c r="U421" s="4" t="str">
        <f t="shared" si="27"/>
        <v>NOT AN ADD-ON</v>
      </c>
      <c r="V421" s="4" t="str">
        <f t="shared" si="26"/>
        <v>UTILITIESINDUSTRY SOLUTIONAUTHORIZEDNOT AN ADD-ON</v>
      </c>
    </row>
    <row r="422" spans="1:22" ht="15" thickBot="1">
      <c r="A422" s="10" t="s">
        <v>21</v>
      </c>
      <c r="B422" s="10" t="s">
        <v>22</v>
      </c>
      <c r="C422" s="10" t="s">
        <v>870</v>
      </c>
      <c r="D422" s="10" t="s">
        <v>871</v>
      </c>
      <c r="E422" s="10" t="s">
        <v>872</v>
      </c>
      <c r="F422" s="10" t="s">
        <v>873</v>
      </c>
      <c r="G422" s="11">
        <v>1300</v>
      </c>
      <c r="H422" s="163" t="s">
        <v>928</v>
      </c>
      <c r="I422" s="158" t="s">
        <v>929</v>
      </c>
      <c r="J422" s="163" t="s">
        <v>926</v>
      </c>
      <c r="K422" s="10" t="s">
        <v>30</v>
      </c>
      <c r="L422" s="10">
        <v>15</v>
      </c>
      <c r="M422" s="10">
        <f t="shared" si="25"/>
        <v>5</v>
      </c>
      <c r="N422" s="10">
        <v>15</v>
      </c>
      <c r="O422" s="12">
        <v>5</v>
      </c>
      <c r="P422" s="11">
        <v>2150</v>
      </c>
      <c r="Q422" s="10" t="s">
        <v>36</v>
      </c>
      <c r="R422" s="4" t="s">
        <v>1284</v>
      </c>
      <c r="S422" s="4" t="s">
        <v>1279</v>
      </c>
      <c r="T422" s="4" t="s">
        <v>19</v>
      </c>
      <c r="U422" s="4" t="str">
        <f t="shared" si="27"/>
        <v>NOT AN ADD-ON</v>
      </c>
      <c r="V422" s="4" t="str">
        <f t="shared" si="26"/>
        <v>UTILITIESINDUSTRY SOLUTIONAUTHORIZEDNOT AN ADD-ON</v>
      </c>
    </row>
    <row r="423" spans="1:22" ht="27" thickBot="1">
      <c r="A423" s="10" t="s">
        <v>21</v>
      </c>
      <c r="B423" s="10" t="s">
        <v>22</v>
      </c>
      <c r="C423" s="10" t="s">
        <v>870</v>
      </c>
      <c r="D423" s="10" t="s">
        <v>871</v>
      </c>
      <c r="E423" s="10" t="s">
        <v>872</v>
      </c>
      <c r="F423" s="10" t="s">
        <v>873</v>
      </c>
      <c r="G423" s="11">
        <v>2680</v>
      </c>
      <c r="H423" s="163" t="s">
        <v>930</v>
      </c>
      <c r="I423" s="166" t="s">
        <v>931</v>
      </c>
      <c r="J423" s="163" t="s">
        <v>932</v>
      </c>
      <c r="K423" s="10" t="s">
        <v>30</v>
      </c>
      <c r="L423" s="10">
        <v>15</v>
      </c>
      <c r="M423" s="10">
        <f t="shared" si="25"/>
        <v>5</v>
      </c>
      <c r="N423" s="10">
        <v>15</v>
      </c>
      <c r="O423" s="12">
        <v>5</v>
      </c>
      <c r="P423" s="11">
        <v>7660</v>
      </c>
      <c r="Q423" s="10" t="s">
        <v>48</v>
      </c>
      <c r="R423" s="4" t="s">
        <v>1284</v>
      </c>
      <c r="S423" s="4" t="s">
        <v>1279</v>
      </c>
      <c r="T423" s="4" t="s">
        <v>19</v>
      </c>
      <c r="U423" s="4" t="str">
        <f t="shared" si="27"/>
        <v>NOT AN ADD-ON</v>
      </c>
      <c r="V423" s="4" t="str">
        <f t="shared" si="26"/>
        <v>UTILITIESINDUSTRY SOLUTIONAUTHORIZEDNOT AN ADD-ON</v>
      </c>
    </row>
    <row r="424" spans="1:22" ht="27" thickBot="1">
      <c r="A424" s="10" t="s">
        <v>21</v>
      </c>
      <c r="B424" s="10" t="s">
        <v>22</v>
      </c>
      <c r="C424" s="10" t="s">
        <v>870</v>
      </c>
      <c r="D424" s="10" t="s">
        <v>871</v>
      </c>
      <c r="E424" s="10" t="s">
        <v>872</v>
      </c>
      <c r="F424" s="10" t="s">
        <v>873</v>
      </c>
      <c r="G424" s="11">
        <v>5470</v>
      </c>
      <c r="H424" s="163" t="s">
        <v>933</v>
      </c>
      <c r="I424" s="166" t="s">
        <v>934</v>
      </c>
      <c r="J424" s="163" t="s">
        <v>932</v>
      </c>
      <c r="K424" s="10" t="s">
        <v>30</v>
      </c>
      <c r="L424" s="10">
        <v>15</v>
      </c>
      <c r="M424" s="10">
        <f t="shared" si="25"/>
        <v>5</v>
      </c>
      <c r="N424" s="10">
        <v>15</v>
      </c>
      <c r="O424" s="12">
        <v>5</v>
      </c>
      <c r="P424" s="11">
        <v>7660</v>
      </c>
      <c r="Q424" s="10" t="s">
        <v>48</v>
      </c>
      <c r="R424" s="4" t="s">
        <v>1284</v>
      </c>
      <c r="S424" s="4" t="s">
        <v>1279</v>
      </c>
      <c r="T424" s="4" t="s">
        <v>19</v>
      </c>
      <c r="U424" s="4" t="str">
        <f t="shared" si="27"/>
        <v>NOT AN ADD-ON</v>
      </c>
      <c r="V424" s="4" t="str">
        <f t="shared" si="26"/>
        <v>UTILITIESINDUSTRY SOLUTIONAUTHORIZEDNOT AN ADD-ON</v>
      </c>
    </row>
    <row r="425" spans="1:22" ht="27" thickBot="1">
      <c r="A425" s="10" t="s">
        <v>21</v>
      </c>
      <c r="B425" s="10" t="s">
        <v>22</v>
      </c>
      <c r="C425" s="10" t="s">
        <v>870</v>
      </c>
      <c r="D425" s="10" t="s">
        <v>871</v>
      </c>
      <c r="E425" s="10" t="s">
        <v>872</v>
      </c>
      <c r="F425" s="10" t="s">
        <v>873</v>
      </c>
      <c r="G425" s="11">
        <v>4900</v>
      </c>
      <c r="H425" s="163" t="s">
        <v>935</v>
      </c>
      <c r="I425" s="166" t="s">
        <v>936</v>
      </c>
      <c r="J425" s="163" t="s">
        <v>932</v>
      </c>
      <c r="K425" s="10" t="s">
        <v>30</v>
      </c>
      <c r="L425" s="10">
        <v>15</v>
      </c>
      <c r="M425" s="10">
        <f t="shared" si="25"/>
        <v>5</v>
      </c>
      <c r="N425" s="10">
        <v>15</v>
      </c>
      <c r="O425" s="12">
        <v>5</v>
      </c>
      <c r="P425" s="11">
        <v>7660</v>
      </c>
      <c r="Q425" s="10" t="s">
        <v>48</v>
      </c>
      <c r="R425" s="4" t="s">
        <v>1284</v>
      </c>
      <c r="S425" s="4" t="s">
        <v>1279</v>
      </c>
      <c r="T425" s="4" t="s">
        <v>19</v>
      </c>
      <c r="U425" s="4" t="str">
        <f t="shared" si="27"/>
        <v>NOT AN ADD-ON</v>
      </c>
      <c r="V425" s="4" t="str">
        <f t="shared" si="26"/>
        <v>UTILITIESINDUSTRY SOLUTIONAUTHORIZEDNOT AN ADD-ON</v>
      </c>
    </row>
    <row r="426" spans="1:22" ht="15" thickBot="1">
      <c r="A426" s="10" t="s">
        <v>21</v>
      </c>
      <c r="B426" s="10" t="s">
        <v>22</v>
      </c>
      <c r="C426" s="10" t="s">
        <v>870</v>
      </c>
      <c r="D426" s="10" t="s">
        <v>871</v>
      </c>
      <c r="E426" s="10" t="s">
        <v>872</v>
      </c>
      <c r="F426" s="10" t="s">
        <v>873</v>
      </c>
      <c r="G426" s="11">
        <v>1520</v>
      </c>
      <c r="H426" s="163" t="s">
        <v>937</v>
      </c>
      <c r="I426" s="158" t="s">
        <v>938</v>
      </c>
      <c r="J426" s="163" t="s">
        <v>932</v>
      </c>
      <c r="K426" s="10" t="s">
        <v>30</v>
      </c>
      <c r="L426" s="10">
        <v>15</v>
      </c>
      <c r="M426" s="10">
        <f t="shared" si="25"/>
        <v>5</v>
      </c>
      <c r="N426" s="10">
        <v>15</v>
      </c>
      <c r="O426" s="12">
        <v>5</v>
      </c>
      <c r="P426" s="11">
        <v>7660</v>
      </c>
      <c r="Q426" s="10" t="s">
        <v>31</v>
      </c>
      <c r="R426" s="4" t="s">
        <v>1284</v>
      </c>
      <c r="S426" s="4" t="s">
        <v>1279</v>
      </c>
      <c r="T426" s="4" t="s">
        <v>19</v>
      </c>
      <c r="U426" s="4" t="str">
        <f t="shared" si="27"/>
        <v>NOT AN ADD-ON</v>
      </c>
      <c r="V426" s="4" t="str">
        <f t="shared" si="26"/>
        <v>UTILITIESINDUSTRY SOLUTIONAUTHORIZEDNOT AN ADD-ON</v>
      </c>
    </row>
    <row r="427" spans="1:22" ht="29.25" customHeight="1" thickBot="1">
      <c r="A427" s="10" t="s">
        <v>21</v>
      </c>
      <c r="B427" s="10" t="s">
        <v>22</v>
      </c>
      <c r="C427" s="10" t="s">
        <v>870</v>
      </c>
      <c r="D427" s="10" t="s">
        <v>871</v>
      </c>
      <c r="E427" s="10" t="s">
        <v>872</v>
      </c>
      <c r="F427" s="10" t="s">
        <v>873</v>
      </c>
      <c r="G427" s="11">
        <v>7660</v>
      </c>
      <c r="H427" s="163" t="s">
        <v>932</v>
      </c>
      <c r="I427" s="158" t="s">
        <v>939</v>
      </c>
      <c r="J427" s="163" t="s">
        <v>932</v>
      </c>
      <c r="K427" s="10" t="s">
        <v>30</v>
      </c>
      <c r="L427" s="10">
        <v>15</v>
      </c>
      <c r="M427" s="10">
        <f t="shared" si="25"/>
        <v>5</v>
      </c>
      <c r="N427" s="10">
        <v>15</v>
      </c>
      <c r="O427" s="12">
        <v>5</v>
      </c>
      <c r="P427" s="11">
        <v>7660</v>
      </c>
      <c r="Q427" s="10" t="s">
        <v>33</v>
      </c>
      <c r="R427" s="4" t="s">
        <v>1284</v>
      </c>
      <c r="S427" s="4" t="s">
        <v>1279</v>
      </c>
      <c r="T427" s="4" t="s">
        <v>19</v>
      </c>
      <c r="U427" s="4" t="str">
        <f t="shared" si="27"/>
        <v>NOT AN ADD-ON</v>
      </c>
      <c r="V427" s="4" t="str">
        <f t="shared" si="26"/>
        <v>UTILITIESINDUSTRY SOLUTIONAUTHORIZEDNOT AN ADD-ON</v>
      </c>
    </row>
    <row r="428" spans="1:22" ht="15" thickBot="1">
      <c r="A428" s="10" t="s">
        <v>21</v>
      </c>
      <c r="B428" s="10" t="s">
        <v>22</v>
      </c>
      <c r="C428" s="10" t="s">
        <v>870</v>
      </c>
      <c r="D428" s="10" t="s">
        <v>871</v>
      </c>
      <c r="E428" s="10" t="s">
        <v>872</v>
      </c>
      <c r="F428" s="10" t="s">
        <v>873</v>
      </c>
      <c r="G428" s="11">
        <v>4600</v>
      </c>
      <c r="H428" s="163" t="s">
        <v>940</v>
      </c>
      <c r="I428" s="158" t="s">
        <v>941</v>
      </c>
      <c r="J428" s="163" t="s">
        <v>932</v>
      </c>
      <c r="K428" s="10" t="s">
        <v>30</v>
      </c>
      <c r="L428" s="10">
        <v>15</v>
      </c>
      <c r="M428" s="10">
        <f t="shared" si="25"/>
        <v>5</v>
      </c>
      <c r="N428" s="10">
        <v>15</v>
      </c>
      <c r="O428" s="12">
        <v>5</v>
      </c>
      <c r="P428" s="11">
        <v>7660</v>
      </c>
      <c r="Q428" s="10" t="s">
        <v>36</v>
      </c>
      <c r="R428" s="4" t="s">
        <v>1284</v>
      </c>
      <c r="S428" s="4" t="s">
        <v>1279</v>
      </c>
      <c r="T428" s="4" t="s">
        <v>19</v>
      </c>
      <c r="U428" s="4" t="str">
        <f t="shared" si="27"/>
        <v>NOT AN ADD-ON</v>
      </c>
      <c r="V428" s="4" t="str">
        <f t="shared" si="26"/>
        <v>UTILITIESINDUSTRY SOLUTIONAUTHORIZEDNOT AN ADD-ON</v>
      </c>
    </row>
    <row r="429" spans="1:22" ht="15" thickBot="1">
      <c r="A429" s="10" t="s">
        <v>21</v>
      </c>
      <c r="B429" s="10" t="s">
        <v>22</v>
      </c>
      <c r="C429" s="10" t="s">
        <v>870</v>
      </c>
      <c r="D429" s="10" t="s">
        <v>871</v>
      </c>
      <c r="E429" s="10" t="s">
        <v>872</v>
      </c>
      <c r="F429" s="10" t="s">
        <v>873</v>
      </c>
      <c r="G429" s="11">
        <v>1330</v>
      </c>
      <c r="H429" s="163" t="s">
        <v>942</v>
      </c>
      <c r="I429" s="166" t="s">
        <v>943</v>
      </c>
      <c r="J429" s="163" t="s">
        <v>944</v>
      </c>
      <c r="K429" s="10" t="s">
        <v>30</v>
      </c>
      <c r="L429" s="10">
        <v>5</v>
      </c>
      <c r="M429" s="10">
        <f t="shared" si="25"/>
        <v>1.67</v>
      </c>
      <c r="N429" s="10">
        <v>5</v>
      </c>
      <c r="O429" s="12">
        <v>1.6666666666666667</v>
      </c>
      <c r="P429" s="11">
        <v>3840</v>
      </c>
      <c r="Q429" s="10" t="s">
        <v>48</v>
      </c>
      <c r="R429" s="4" t="s">
        <v>1284</v>
      </c>
      <c r="S429" s="4" t="s">
        <v>1279</v>
      </c>
      <c r="T429" s="4" t="s">
        <v>672</v>
      </c>
      <c r="U429" s="4" t="str">
        <f t="shared" si="27"/>
        <v>NOT AN ADD-ON</v>
      </c>
      <c r="V429" s="4" t="str">
        <f t="shared" si="26"/>
        <v>UTILITIESINDUSTRY SOLUTIONLIMITEDNOT AN ADD-ON</v>
      </c>
    </row>
    <row r="430" spans="1:22" ht="15" thickBot="1">
      <c r="A430" s="10" t="s">
        <v>21</v>
      </c>
      <c r="B430" s="10" t="s">
        <v>22</v>
      </c>
      <c r="C430" s="10" t="s">
        <v>870</v>
      </c>
      <c r="D430" s="10" t="s">
        <v>871</v>
      </c>
      <c r="E430" s="10" t="s">
        <v>872</v>
      </c>
      <c r="F430" s="10" t="s">
        <v>873</v>
      </c>
      <c r="G430" s="11">
        <v>767</v>
      </c>
      <c r="H430" s="163" t="s">
        <v>945</v>
      </c>
      <c r="I430" s="158" t="s">
        <v>946</v>
      </c>
      <c r="J430" s="163" t="s">
        <v>944</v>
      </c>
      <c r="K430" s="10" t="s">
        <v>30</v>
      </c>
      <c r="L430" s="10">
        <v>5</v>
      </c>
      <c r="M430" s="10">
        <f t="shared" si="25"/>
        <v>1.67</v>
      </c>
      <c r="N430" s="10">
        <v>5</v>
      </c>
      <c r="O430" s="12">
        <v>1.6666666666666667</v>
      </c>
      <c r="P430" s="11">
        <v>3840</v>
      </c>
      <c r="Q430" s="10" t="s">
        <v>31</v>
      </c>
      <c r="R430" s="4" t="s">
        <v>1284</v>
      </c>
      <c r="S430" s="4" t="s">
        <v>1279</v>
      </c>
      <c r="T430" s="4" t="s">
        <v>672</v>
      </c>
      <c r="U430" s="4" t="str">
        <f t="shared" si="27"/>
        <v>NOT AN ADD-ON</v>
      </c>
      <c r="V430" s="4" t="str">
        <f t="shared" si="26"/>
        <v>UTILITIESINDUSTRY SOLUTIONLIMITEDNOT AN ADD-ON</v>
      </c>
    </row>
    <row r="431" spans="1:22" ht="15" thickBot="1">
      <c r="A431" s="10" t="s">
        <v>21</v>
      </c>
      <c r="B431" s="10" t="s">
        <v>22</v>
      </c>
      <c r="C431" s="10" t="s">
        <v>870</v>
      </c>
      <c r="D431" s="10" t="s">
        <v>871</v>
      </c>
      <c r="E431" s="10" t="s">
        <v>872</v>
      </c>
      <c r="F431" s="10" t="s">
        <v>873</v>
      </c>
      <c r="G431" s="11">
        <v>3840</v>
      </c>
      <c r="H431" s="163" t="s">
        <v>944</v>
      </c>
      <c r="I431" s="158" t="s">
        <v>947</v>
      </c>
      <c r="J431" s="163" t="s">
        <v>944</v>
      </c>
      <c r="K431" s="10" t="s">
        <v>30</v>
      </c>
      <c r="L431" s="10">
        <v>5</v>
      </c>
      <c r="M431" s="10">
        <f t="shared" si="25"/>
        <v>1.67</v>
      </c>
      <c r="N431" s="10">
        <v>5</v>
      </c>
      <c r="O431" s="12">
        <v>1.6666666666666667</v>
      </c>
      <c r="P431" s="11">
        <v>3840</v>
      </c>
      <c r="Q431" s="10" t="s">
        <v>33</v>
      </c>
      <c r="R431" s="4" t="s">
        <v>1284</v>
      </c>
      <c r="S431" s="4" t="s">
        <v>1279</v>
      </c>
      <c r="T431" s="4" t="s">
        <v>672</v>
      </c>
      <c r="U431" s="4" t="str">
        <f t="shared" si="27"/>
        <v>NOT AN ADD-ON</v>
      </c>
      <c r="V431" s="4" t="str">
        <f t="shared" si="26"/>
        <v>UTILITIESINDUSTRY SOLUTIONLIMITEDNOT AN ADD-ON</v>
      </c>
    </row>
    <row r="432" spans="1:22" ht="15" thickBot="1">
      <c r="A432" s="10" t="s">
        <v>21</v>
      </c>
      <c r="B432" s="10" t="s">
        <v>22</v>
      </c>
      <c r="C432" s="10" t="s">
        <v>870</v>
      </c>
      <c r="D432" s="10" t="s">
        <v>871</v>
      </c>
      <c r="E432" s="10" t="s">
        <v>872</v>
      </c>
      <c r="F432" s="10" t="s">
        <v>873</v>
      </c>
      <c r="G432" s="11">
        <v>2310</v>
      </c>
      <c r="H432" s="163" t="s">
        <v>948</v>
      </c>
      <c r="I432" s="158" t="s">
        <v>949</v>
      </c>
      <c r="J432" s="163" t="s">
        <v>944</v>
      </c>
      <c r="K432" s="10" t="s">
        <v>30</v>
      </c>
      <c r="L432" s="10">
        <v>5</v>
      </c>
      <c r="M432" s="10">
        <f t="shared" si="25"/>
        <v>1.67</v>
      </c>
      <c r="N432" s="10">
        <v>5</v>
      </c>
      <c r="O432" s="12">
        <v>1.6666666666666667</v>
      </c>
      <c r="P432" s="11">
        <v>3840</v>
      </c>
      <c r="Q432" s="10" t="s">
        <v>36</v>
      </c>
      <c r="R432" s="4" t="s">
        <v>1284</v>
      </c>
      <c r="S432" s="4" t="s">
        <v>1279</v>
      </c>
      <c r="T432" s="4" t="s">
        <v>672</v>
      </c>
      <c r="U432" s="4" t="str">
        <f t="shared" si="27"/>
        <v>NOT AN ADD-ON</v>
      </c>
      <c r="V432" s="4" t="str">
        <f t="shared" si="26"/>
        <v>UTILITIESINDUSTRY SOLUTIONLIMITEDNOT AN ADD-ON</v>
      </c>
    </row>
    <row r="433" spans="1:22" ht="27" thickBot="1">
      <c r="A433" s="10" t="s">
        <v>21</v>
      </c>
      <c r="B433" s="10" t="s">
        <v>22</v>
      </c>
      <c r="C433" s="10" t="s">
        <v>870</v>
      </c>
      <c r="D433" s="10" t="s">
        <v>871</v>
      </c>
      <c r="E433" s="10" t="s">
        <v>872</v>
      </c>
      <c r="F433" s="10" t="s">
        <v>873</v>
      </c>
      <c r="G433" s="11">
        <v>1330</v>
      </c>
      <c r="H433" s="163" t="s">
        <v>950</v>
      </c>
      <c r="I433" s="166" t="s">
        <v>951</v>
      </c>
      <c r="J433" s="163" t="s">
        <v>952</v>
      </c>
      <c r="K433" s="10" t="s">
        <v>30</v>
      </c>
      <c r="L433" s="10">
        <v>5</v>
      </c>
      <c r="M433" s="10">
        <f t="shared" si="25"/>
        <v>1.67</v>
      </c>
      <c r="N433" s="10">
        <v>5</v>
      </c>
      <c r="O433" s="12">
        <v>1.6666666666666667</v>
      </c>
      <c r="P433" s="11">
        <v>3840</v>
      </c>
      <c r="Q433" s="10" t="s">
        <v>48</v>
      </c>
      <c r="R433" s="4" t="s">
        <v>1284</v>
      </c>
      <c r="S433" s="4" t="s">
        <v>1279</v>
      </c>
      <c r="T433" s="4" t="s">
        <v>672</v>
      </c>
      <c r="U433" s="4" t="str">
        <f t="shared" si="27"/>
        <v>NOT AN ADD-ON</v>
      </c>
      <c r="V433" s="4" t="str">
        <f t="shared" si="26"/>
        <v>UTILITIESINDUSTRY SOLUTIONLIMITEDNOT AN ADD-ON</v>
      </c>
    </row>
    <row r="434" spans="1:22" ht="15" thickBot="1">
      <c r="A434" s="10" t="s">
        <v>21</v>
      </c>
      <c r="B434" s="10" t="s">
        <v>22</v>
      </c>
      <c r="C434" s="10" t="s">
        <v>870</v>
      </c>
      <c r="D434" s="10" t="s">
        <v>871</v>
      </c>
      <c r="E434" s="10" t="s">
        <v>872</v>
      </c>
      <c r="F434" s="10" t="s">
        <v>873</v>
      </c>
      <c r="G434" s="11">
        <v>767</v>
      </c>
      <c r="H434" s="163" t="s">
        <v>953</v>
      </c>
      <c r="I434" s="158" t="s">
        <v>954</v>
      </c>
      <c r="J434" s="163" t="s">
        <v>952</v>
      </c>
      <c r="K434" s="10" t="s">
        <v>30</v>
      </c>
      <c r="L434" s="10">
        <v>5</v>
      </c>
      <c r="M434" s="10">
        <f t="shared" si="25"/>
        <v>1.67</v>
      </c>
      <c r="N434" s="10">
        <v>5</v>
      </c>
      <c r="O434" s="12">
        <v>1.6666666666666667</v>
      </c>
      <c r="P434" s="11">
        <v>3840</v>
      </c>
      <c r="Q434" s="10" t="s">
        <v>31</v>
      </c>
      <c r="R434" s="4" t="s">
        <v>1284</v>
      </c>
      <c r="S434" s="4" t="s">
        <v>1279</v>
      </c>
      <c r="T434" s="4" t="s">
        <v>672</v>
      </c>
      <c r="U434" s="4" t="str">
        <f t="shared" si="27"/>
        <v>NOT AN ADD-ON</v>
      </c>
      <c r="V434" s="4" t="str">
        <f t="shared" si="26"/>
        <v>UTILITIESINDUSTRY SOLUTIONLIMITEDNOT AN ADD-ON</v>
      </c>
    </row>
    <row r="435" spans="1:22" ht="15" thickBot="1">
      <c r="A435" s="10" t="s">
        <v>21</v>
      </c>
      <c r="B435" s="10" t="s">
        <v>22</v>
      </c>
      <c r="C435" s="10" t="s">
        <v>870</v>
      </c>
      <c r="D435" s="10" t="s">
        <v>871</v>
      </c>
      <c r="E435" s="10" t="s">
        <v>872</v>
      </c>
      <c r="F435" s="10" t="s">
        <v>873</v>
      </c>
      <c r="G435" s="11">
        <v>3840</v>
      </c>
      <c r="H435" s="163" t="s">
        <v>952</v>
      </c>
      <c r="I435" s="158" t="s">
        <v>955</v>
      </c>
      <c r="J435" s="163" t="s">
        <v>952</v>
      </c>
      <c r="K435" s="10" t="s">
        <v>30</v>
      </c>
      <c r="L435" s="10">
        <v>5</v>
      </c>
      <c r="M435" s="10">
        <f t="shared" si="25"/>
        <v>1.67</v>
      </c>
      <c r="N435" s="10">
        <v>5</v>
      </c>
      <c r="O435" s="12">
        <v>1.6666666666666667</v>
      </c>
      <c r="P435" s="11">
        <v>3840</v>
      </c>
      <c r="Q435" s="10" t="s">
        <v>33</v>
      </c>
      <c r="R435" s="4" t="s">
        <v>1284</v>
      </c>
      <c r="S435" s="4" t="s">
        <v>1279</v>
      </c>
      <c r="T435" s="4" t="s">
        <v>672</v>
      </c>
      <c r="U435" s="4" t="str">
        <f t="shared" si="27"/>
        <v>NOT AN ADD-ON</v>
      </c>
      <c r="V435" s="4" t="str">
        <f t="shared" si="26"/>
        <v>UTILITIESINDUSTRY SOLUTIONLIMITEDNOT AN ADD-ON</v>
      </c>
    </row>
    <row r="436" spans="1:22" ht="15" thickBot="1">
      <c r="A436" s="10" t="s">
        <v>21</v>
      </c>
      <c r="B436" s="10" t="s">
        <v>22</v>
      </c>
      <c r="C436" s="10" t="s">
        <v>870</v>
      </c>
      <c r="D436" s="10" t="s">
        <v>871</v>
      </c>
      <c r="E436" s="10" t="s">
        <v>872</v>
      </c>
      <c r="F436" s="10" t="s">
        <v>873</v>
      </c>
      <c r="G436" s="11">
        <v>2310</v>
      </c>
      <c r="H436" s="163" t="s">
        <v>956</v>
      </c>
      <c r="I436" s="158" t="s">
        <v>957</v>
      </c>
      <c r="J436" s="163" t="s">
        <v>952</v>
      </c>
      <c r="K436" s="10" t="s">
        <v>30</v>
      </c>
      <c r="L436" s="10">
        <v>5</v>
      </c>
      <c r="M436" s="10">
        <f t="shared" si="25"/>
        <v>1.67</v>
      </c>
      <c r="N436" s="10">
        <v>5</v>
      </c>
      <c r="O436" s="12">
        <v>1.6666666666666667</v>
      </c>
      <c r="P436" s="11">
        <v>3840</v>
      </c>
      <c r="Q436" s="10" t="s">
        <v>36</v>
      </c>
      <c r="R436" s="4" t="s">
        <v>1284</v>
      </c>
      <c r="S436" s="4" t="s">
        <v>1279</v>
      </c>
      <c r="T436" s="4" t="s">
        <v>672</v>
      </c>
      <c r="U436" s="4" t="str">
        <f t="shared" si="27"/>
        <v>NOT AN ADD-ON</v>
      </c>
      <c r="V436" s="4" t="str">
        <f t="shared" si="26"/>
        <v>UTILITIESINDUSTRY SOLUTIONLIMITEDNOT AN ADD-ON</v>
      </c>
    </row>
    <row r="437" spans="1:22" ht="15" thickBot="1">
      <c r="A437" s="10" t="s">
        <v>21</v>
      </c>
      <c r="B437" s="10" t="s">
        <v>22</v>
      </c>
      <c r="C437" s="10" t="s">
        <v>870</v>
      </c>
      <c r="D437" s="10" t="s">
        <v>871</v>
      </c>
      <c r="E437" s="10" t="s">
        <v>872</v>
      </c>
      <c r="F437" s="10" t="s">
        <v>873</v>
      </c>
      <c r="G437" s="11">
        <v>5030</v>
      </c>
      <c r="H437" s="163" t="s">
        <v>958</v>
      </c>
      <c r="I437" s="166" t="s">
        <v>959</v>
      </c>
      <c r="J437" s="163" t="s">
        <v>916</v>
      </c>
      <c r="K437" s="10" t="s">
        <v>40</v>
      </c>
      <c r="L437" s="10">
        <v>15</v>
      </c>
      <c r="M437" s="10">
        <f t="shared" si="25"/>
        <v>15</v>
      </c>
      <c r="N437" s="10">
        <v>15</v>
      </c>
      <c r="O437" s="12">
        <v>1</v>
      </c>
      <c r="P437" s="11">
        <v>23400</v>
      </c>
      <c r="Q437" s="10" t="s">
        <v>48</v>
      </c>
      <c r="R437" s="4" t="s">
        <v>1284</v>
      </c>
      <c r="S437" s="4" t="s">
        <v>1279</v>
      </c>
      <c r="T437" s="4" t="s">
        <v>19</v>
      </c>
      <c r="U437" s="4" t="str">
        <f t="shared" si="27"/>
        <v>NOT AN ADD-ON</v>
      </c>
      <c r="V437" s="4" t="str">
        <f t="shared" si="26"/>
        <v>UTILITIESINDUSTRY SOLUTIONAUTHORIZEDNOT AN ADD-ON</v>
      </c>
    </row>
    <row r="438" spans="1:22" ht="15" thickBot="1">
      <c r="A438" s="10" t="s">
        <v>21</v>
      </c>
      <c r="B438" s="10" t="s">
        <v>22</v>
      </c>
      <c r="C438" s="10" t="s">
        <v>870</v>
      </c>
      <c r="D438" s="10" t="s">
        <v>871</v>
      </c>
      <c r="E438" s="10" t="s">
        <v>872</v>
      </c>
      <c r="F438" s="10" t="s">
        <v>873</v>
      </c>
      <c r="G438" s="11">
        <v>8260</v>
      </c>
      <c r="H438" s="163" t="s">
        <v>960</v>
      </c>
      <c r="I438" s="166" t="s">
        <v>961</v>
      </c>
      <c r="J438" s="163" t="s">
        <v>916</v>
      </c>
      <c r="K438" s="10" t="s">
        <v>40</v>
      </c>
      <c r="L438" s="10">
        <v>15</v>
      </c>
      <c r="M438" s="10">
        <f t="shared" si="25"/>
        <v>15</v>
      </c>
      <c r="N438" s="10">
        <v>15</v>
      </c>
      <c r="O438" s="12">
        <v>1</v>
      </c>
      <c r="P438" s="11">
        <v>23400</v>
      </c>
      <c r="Q438" s="10" t="s">
        <v>48</v>
      </c>
      <c r="R438" s="4" t="s">
        <v>1284</v>
      </c>
      <c r="S438" s="4" t="s">
        <v>1279</v>
      </c>
      <c r="T438" s="4" t="s">
        <v>19</v>
      </c>
      <c r="U438" s="4" t="str">
        <f t="shared" si="27"/>
        <v>NOT AN ADD-ON</v>
      </c>
      <c r="V438" s="4" t="str">
        <f t="shared" si="26"/>
        <v>UTILITIESINDUSTRY SOLUTIONAUTHORIZEDNOT AN ADD-ON</v>
      </c>
    </row>
    <row r="439" spans="1:22" ht="15" thickBot="1">
      <c r="A439" s="10" t="s">
        <v>21</v>
      </c>
      <c r="B439" s="10" t="s">
        <v>22</v>
      </c>
      <c r="C439" s="10" t="s">
        <v>338</v>
      </c>
      <c r="D439" s="10" t="s">
        <v>141</v>
      </c>
      <c r="E439" s="10" t="s">
        <v>142</v>
      </c>
      <c r="F439" s="10" t="s">
        <v>339</v>
      </c>
      <c r="G439" s="11">
        <v>165</v>
      </c>
      <c r="H439" s="163" t="s">
        <v>962</v>
      </c>
      <c r="I439" s="158" t="s">
        <v>963</v>
      </c>
      <c r="J439" s="163" t="s">
        <v>964</v>
      </c>
      <c r="K439" s="10" t="s">
        <v>30</v>
      </c>
      <c r="L439" s="10">
        <v>0</v>
      </c>
      <c r="M439" s="10">
        <f t="shared" si="25"/>
        <v>0</v>
      </c>
      <c r="N439" s="10">
        <v>10</v>
      </c>
      <c r="O439" s="12">
        <v>3.3333333333333335</v>
      </c>
      <c r="P439" s="11">
        <v>820</v>
      </c>
      <c r="Q439" s="10" t="s">
        <v>31</v>
      </c>
      <c r="R439" s="4" t="s">
        <v>1287</v>
      </c>
      <c r="S439" s="4" t="s">
        <v>507</v>
      </c>
      <c r="T439" s="4" t="s">
        <v>19</v>
      </c>
      <c r="U439" s="4" t="str">
        <f t="shared" si="27"/>
        <v>NOT AN ADD-ON</v>
      </c>
      <c r="V439" s="4" t="str">
        <f t="shared" si="26"/>
        <v>GRAPHICAL APPOINTMENT BOOKADD-ONAUTHORIZEDNOT AN ADD-ON</v>
      </c>
    </row>
    <row r="440" spans="1:22" ht="15" thickBot="1">
      <c r="A440" s="10" t="s">
        <v>21</v>
      </c>
      <c r="B440" s="10" t="s">
        <v>22</v>
      </c>
      <c r="C440" s="10" t="s">
        <v>338</v>
      </c>
      <c r="D440" s="10" t="s">
        <v>141</v>
      </c>
      <c r="E440" s="10" t="s">
        <v>142</v>
      </c>
      <c r="F440" s="10" t="s">
        <v>339</v>
      </c>
      <c r="G440" s="11">
        <v>820</v>
      </c>
      <c r="H440" s="163" t="s">
        <v>964</v>
      </c>
      <c r="I440" s="158" t="s">
        <v>965</v>
      </c>
      <c r="J440" s="163" t="s">
        <v>964</v>
      </c>
      <c r="K440" s="10" t="s">
        <v>30</v>
      </c>
      <c r="L440" s="10">
        <v>0</v>
      </c>
      <c r="M440" s="10">
        <f t="shared" si="25"/>
        <v>0</v>
      </c>
      <c r="N440" s="10">
        <v>10</v>
      </c>
      <c r="O440" s="12">
        <v>3.3333333333333335</v>
      </c>
      <c r="P440" s="11">
        <v>820</v>
      </c>
      <c r="Q440" s="10" t="s">
        <v>33</v>
      </c>
      <c r="R440" s="4" t="s">
        <v>1287</v>
      </c>
      <c r="S440" s="4" t="s">
        <v>507</v>
      </c>
      <c r="T440" s="4" t="s">
        <v>19</v>
      </c>
      <c r="U440" s="4" t="str">
        <f t="shared" si="27"/>
        <v>NOT AN ADD-ON</v>
      </c>
      <c r="V440" s="4" t="str">
        <f t="shared" si="26"/>
        <v>GRAPHICAL APPOINTMENT BOOKADD-ONAUTHORIZEDNOT AN ADD-ON</v>
      </c>
    </row>
    <row r="441" spans="1:22" ht="15" thickBot="1">
      <c r="A441" s="10" t="s">
        <v>21</v>
      </c>
      <c r="B441" s="10" t="s">
        <v>22</v>
      </c>
      <c r="C441" s="10" t="s">
        <v>338</v>
      </c>
      <c r="D441" s="10" t="s">
        <v>141</v>
      </c>
      <c r="E441" s="10" t="s">
        <v>142</v>
      </c>
      <c r="F441" s="10" t="s">
        <v>339</v>
      </c>
      <c r="G441" s="11">
        <v>492</v>
      </c>
      <c r="H441" s="163" t="s">
        <v>966</v>
      </c>
      <c r="I441" s="158" t="s">
        <v>967</v>
      </c>
      <c r="J441" s="163" t="s">
        <v>964</v>
      </c>
      <c r="K441" s="10" t="s">
        <v>30</v>
      </c>
      <c r="L441" s="10">
        <v>0</v>
      </c>
      <c r="M441" s="10">
        <f t="shared" si="25"/>
        <v>0</v>
      </c>
      <c r="N441" s="10">
        <v>10</v>
      </c>
      <c r="O441" s="12">
        <v>3.3333333333333335</v>
      </c>
      <c r="P441" s="11">
        <v>820</v>
      </c>
      <c r="Q441" s="10" t="s">
        <v>36</v>
      </c>
      <c r="R441" s="4" t="s">
        <v>1287</v>
      </c>
      <c r="S441" s="4" t="s">
        <v>507</v>
      </c>
      <c r="T441" s="4" t="s">
        <v>19</v>
      </c>
      <c r="U441" s="4" t="str">
        <f t="shared" si="27"/>
        <v>NOT AN ADD-ON</v>
      </c>
      <c r="V441" s="4" t="str">
        <f t="shared" si="26"/>
        <v>GRAPHICAL APPOINTMENT BOOKADD-ONAUTHORIZEDNOT AN ADD-ON</v>
      </c>
    </row>
    <row r="442" spans="1:22" ht="15" thickBot="1">
      <c r="A442" s="10" t="s">
        <v>21</v>
      </c>
      <c r="B442" s="10" t="s">
        <v>22</v>
      </c>
      <c r="C442" s="10" t="s">
        <v>338</v>
      </c>
      <c r="D442" s="10" t="s">
        <v>141</v>
      </c>
      <c r="E442" s="10" t="s">
        <v>142</v>
      </c>
      <c r="F442" s="10" t="s">
        <v>339</v>
      </c>
      <c r="G442" s="11">
        <v>165</v>
      </c>
      <c r="H442" s="163" t="s">
        <v>968</v>
      </c>
      <c r="I442" s="166" t="s">
        <v>969</v>
      </c>
      <c r="J442" s="163" t="s">
        <v>970</v>
      </c>
      <c r="K442" s="10" t="s">
        <v>30</v>
      </c>
      <c r="L442" s="10">
        <v>0</v>
      </c>
      <c r="M442" s="10">
        <f t="shared" si="25"/>
        <v>0</v>
      </c>
      <c r="N442" s="10">
        <v>10</v>
      </c>
      <c r="O442" s="12">
        <v>3.3333333333333335</v>
      </c>
      <c r="P442" s="11">
        <v>820</v>
      </c>
      <c r="Q442" s="10" t="s">
        <v>31</v>
      </c>
      <c r="R442" s="4" t="s">
        <v>1287</v>
      </c>
      <c r="S442" s="4" t="s">
        <v>507</v>
      </c>
      <c r="T442" s="4" t="s">
        <v>19</v>
      </c>
      <c r="U442" s="4" t="str">
        <f t="shared" si="27"/>
        <v>NOT AN ADD-ON</v>
      </c>
      <c r="V442" s="4" t="str">
        <f t="shared" si="26"/>
        <v>GRAPHICAL APPOINTMENT BOOKADD-ONAUTHORIZEDNOT AN ADD-ON</v>
      </c>
    </row>
    <row r="443" spans="1:22" ht="15" thickBot="1">
      <c r="A443" s="10" t="s">
        <v>21</v>
      </c>
      <c r="B443" s="10" t="s">
        <v>22</v>
      </c>
      <c r="C443" s="10" t="s">
        <v>338</v>
      </c>
      <c r="D443" s="10" t="s">
        <v>141</v>
      </c>
      <c r="E443" s="10" t="s">
        <v>142</v>
      </c>
      <c r="F443" s="10" t="s">
        <v>339</v>
      </c>
      <c r="G443" s="11">
        <v>820</v>
      </c>
      <c r="H443" s="163" t="s">
        <v>970</v>
      </c>
      <c r="I443" s="166" t="s">
        <v>971</v>
      </c>
      <c r="J443" s="163" t="s">
        <v>970</v>
      </c>
      <c r="K443" s="10" t="s">
        <v>30</v>
      </c>
      <c r="L443" s="10">
        <v>0</v>
      </c>
      <c r="M443" s="10">
        <f t="shared" si="25"/>
        <v>0</v>
      </c>
      <c r="N443" s="10">
        <v>10</v>
      </c>
      <c r="O443" s="12">
        <v>3.3333333333333335</v>
      </c>
      <c r="P443" s="11">
        <v>820</v>
      </c>
      <c r="Q443" s="10" t="s">
        <v>33</v>
      </c>
      <c r="R443" s="4" t="s">
        <v>1287</v>
      </c>
      <c r="S443" s="4" t="s">
        <v>507</v>
      </c>
      <c r="T443" s="4" t="s">
        <v>19</v>
      </c>
      <c r="U443" s="4" t="str">
        <f t="shared" si="27"/>
        <v>NOT AN ADD-ON</v>
      </c>
      <c r="V443" s="4" t="str">
        <f t="shared" si="26"/>
        <v>GRAPHICAL APPOINTMENT BOOKADD-ONAUTHORIZEDNOT AN ADD-ON</v>
      </c>
    </row>
    <row r="444" spans="1:22" ht="15" thickBot="1">
      <c r="A444" s="10" t="s">
        <v>21</v>
      </c>
      <c r="B444" s="10" t="s">
        <v>22</v>
      </c>
      <c r="C444" s="10" t="s">
        <v>338</v>
      </c>
      <c r="D444" s="10" t="s">
        <v>141</v>
      </c>
      <c r="E444" s="10" t="s">
        <v>142</v>
      </c>
      <c r="F444" s="10" t="s">
        <v>339</v>
      </c>
      <c r="G444" s="11">
        <v>492</v>
      </c>
      <c r="H444" s="163" t="s">
        <v>972</v>
      </c>
      <c r="I444" s="166" t="s">
        <v>973</v>
      </c>
      <c r="J444" s="163" t="s">
        <v>970</v>
      </c>
      <c r="K444" s="10" t="s">
        <v>30</v>
      </c>
      <c r="L444" s="10">
        <v>0</v>
      </c>
      <c r="M444" s="10">
        <f t="shared" si="25"/>
        <v>0</v>
      </c>
      <c r="N444" s="10">
        <v>10</v>
      </c>
      <c r="O444" s="12">
        <v>3.3333333333333335</v>
      </c>
      <c r="P444" s="11">
        <v>820</v>
      </c>
      <c r="Q444" s="10" t="s">
        <v>36</v>
      </c>
      <c r="R444" s="4" t="s">
        <v>1287</v>
      </c>
      <c r="S444" s="4" t="s">
        <v>507</v>
      </c>
      <c r="T444" s="4" t="s">
        <v>19</v>
      </c>
      <c r="U444" s="4" t="str">
        <f t="shared" si="27"/>
        <v>NOT AN ADD-ON</v>
      </c>
      <c r="V444" s="4" t="str">
        <f t="shared" si="26"/>
        <v>GRAPHICAL APPOINTMENT BOOKADD-ONAUTHORIZEDNOT AN ADD-ON</v>
      </c>
    </row>
    <row r="445" spans="1:22" ht="15" thickBot="1">
      <c r="A445" s="10" t="s">
        <v>21</v>
      </c>
      <c r="B445" s="10" t="s">
        <v>22</v>
      </c>
      <c r="C445" s="10" t="s">
        <v>338</v>
      </c>
      <c r="D445" s="10" t="s">
        <v>141</v>
      </c>
      <c r="E445" s="10" t="s">
        <v>142</v>
      </c>
      <c r="F445" s="10" t="s">
        <v>339</v>
      </c>
      <c r="G445" s="11">
        <v>492</v>
      </c>
      <c r="H445" s="163" t="s">
        <v>974</v>
      </c>
      <c r="I445" s="158" t="s">
        <v>975</v>
      </c>
      <c r="J445" s="163" t="s">
        <v>976</v>
      </c>
      <c r="K445" s="10" t="s">
        <v>40</v>
      </c>
      <c r="L445" s="10">
        <v>0</v>
      </c>
      <c r="M445" s="10">
        <f t="shared" si="25"/>
        <v>0</v>
      </c>
      <c r="N445" s="10">
        <v>10</v>
      </c>
      <c r="O445" s="12">
        <v>1</v>
      </c>
      <c r="P445" s="11">
        <v>2460</v>
      </c>
      <c r="Q445" s="10" t="s">
        <v>31</v>
      </c>
      <c r="R445" s="4" t="s">
        <v>1287</v>
      </c>
      <c r="S445" s="4" t="s">
        <v>507</v>
      </c>
      <c r="T445" s="4" t="s">
        <v>19</v>
      </c>
      <c r="U445" s="4" t="str">
        <f t="shared" si="27"/>
        <v>NOT AN ADD-ON</v>
      </c>
      <c r="V445" s="4" t="str">
        <f t="shared" si="26"/>
        <v>GRAPHICAL APPOINTMENT BOOKADD-ONAUTHORIZEDNOT AN ADD-ON</v>
      </c>
    </row>
    <row r="446" spans="1:22" ht="15" thickBot="1">
      <c r="A446" s="10" t="s">
        <v>21</v>
      </c>
      <c r="B446" s="10" t="s">
        <v>22</v>
      </c>
      <c r="C446" s="10" t="s">
        <v>338</v>
      </c>
      <c r="D446" s="10" t="s">
        <v>141</v>
      </c>
      <c r="E446" s="10" t="s">
        <v>142</v>
      </c>
      <c r="F446" s="10" t="s">
        <v>339</v>
      </c>
      <c r="G446" s="11">
        <v>2460</v>
      </c>
      <c r="H446" s="163" t="s">
        <v>976</v>
      </c>
      <c r="I446" s="158" t="s">
        <v>977</v>
      </c>
      <c r="J446" s="163" t="s">
        <v>976</v>
      </c>
      <c r="K446" s="10" t="s">
        <v>40</v>
      </c>
      <c r="L446" s="10">
        <v>0</v>
      </c>
      <c r="M446" s="10">
        <f t="shared" si="25"/>
        <v>0</v>
      </c>
      <c r="N446" s="15">
        <v>10</v>
      </c>
      <c r="O446" s="16">
        <v>1</v>
      </c>
      <c r="P446" s="11">
        <v>2460</v>
      </c>
      <c r="Q446" s="10" t="s">
        <v>33</v>
      </c>
      <c r="R446" s="4" t="s">
        <v>1287</v>
      </c>
      <c r="S446" s="4" t="s">
        <v>507</v>
      </c>
      <c r="T446" s="4" t="s">
        <v>19</v>
      </c>
      <c r="U446" s="4" t="str">
        <f t="shared" si="27"/>
        <v>NOT AN ADD-ON</v>
      </c>
      <c r="V446" s="4" t="str">
        <f t="shared" si="26"/>
        <v>GRAPHICAL APPOINTMENT BOOKADD-ONAUTHORIZEDNOT AN ADD-ON</v>
      </c>
    </row>
    <row r="447" spans="1:22" ht="15" thickBot="1">
      <c r="A447" s="10" t="s">
        <v>21</v>
      </c>
      <c r="B447" s="10" t="s">
        <v>22</v>
      </c>
      <c r="C447" s="10" t="s">
        <v>338</v>
      </c>
      <c r="D447" s="10" t="s">
        <v>141</v>
      </c>
      <c r="E447" s="10" t="s">
        <v>142</v>
      </c>
      <c r="F447" s="10" t="s">
        <v>339</v>
      </c>
      <c r="G447" s="11">
        <v>1470</v>
      </c>
      <c r="H447" s="163" t="s">
        <v>978</v>
      </c>
      <c r="I447" s="158" t="s">
        <v>979</v>
      </c>
      <c r="J447" s="163" t="s">
        <v>976</v>
      </c>
      <c r="K447" s="10" t="s">
        <v>40</v>
      </c>
      <c r="L447" s="10">
        <v>0</v>
      </c>
      <c r="M447" s="10">
        <f t="shared" si="25"/>
        <v>0</v>
      </c>
      <c r="N447" s="15">
        <v>10</v>
      </c>
      <c r="O447" s="16">
        <v>1</v>
      </c>
      <c r="P447" s="11">
        <v>2460</v>
      </c>
      <c r="Q447" s="10" t="s">
        <v>36</v>
      </c>
      <c r="R447" s="4" t="s">
        <v>1287</v>
      </c>
      <c r="S447" s="4" t="s">
        <v>507</v>
      </c>
      <c r="T447" s="4" t="s">
        <v>19</v>
      </c>
      <c r="U447" s="4" t="str">
        <f t="shared" si="27"/>
        <v>NOT AN ADD-ON</v>
      </c>
      <c r="V447" s="4" t="str">
        <f t="shared" si="26"/>
        <v>GRAPHICAL APPOINTMENT BOOKADD-ONAUTHORIZEDNOT AN ADD-ON</v>
      </c>
    </row>
    <row r="448" spans="1:22" ht="15" thickBot="1">
      <c r="A448" s="10" t="s">
        <v>21</v>
      </c>
      <c r="B448" s="10" t="s">
        <v>22</v>
      </c>
      <c r="C448" s="10" t="s">
        <v>338</v>
      </c>
      <c r="D448" s="10" t="s">
        <v>141</v>
      </c>
      <c r="E448" s="10" t="s">
        <v>142</v>
      </c>
      <c r="F448" s="10" t="s">
        <v>339</v>
      </c>
      <c r="G448" s="11">
        <v>492</v>
      </c>
      <c r="H448" s="163" t="s">
        <v>980</v>
      </c>
      <c r="I448" s="166" t="s">
        <v>981</v>
      </c>
      <c r="J448" s="163" t="s">
        <v>982</v>
      </c>
      <c r="K448" s="10" t="s">
        <v>40</v>
      </c>
      <c r="L448" s="10">
        <v>0</v>
      </c>
      <c r="M448" s="10">
        <f t="shared" si="25"/>
        <v>0</v>
      </c>
      <c r="N448" s="15">
        <v>10</v>
      </c>
      <c r="O448" s="16">
        <v>1</v>
      </c>
      <c r="P448" s="11">
        <v>2460</v>
      </c>
      <c r="Q448" s="10" t="s">
        <v>31</v>
      </c>
      <c r="R448" s="4" t="s">
        <v>1287</v>
      </c>
      <c r="S448" s="4" t="s">
        <v>507</v>
      </c>
      <c r="T448" s="4" t="s">
        <v>19</v>
      </c>
      <c r="U448" s="4" t="str">
        <f t="shared" si="27"/>
        <v>NOT AN ADD-ON</v>
      </c>
      <c r="V448" s="4" t="str">
        <f t="shared" si="26"/>
        <v>GRAPHICAL APPOINTMENT BOOKADD-ONAUTHORIZEDNOT AN ADD-ON</v>
      </c>
    </row>
    <row r="449" spans="1:22" ht="15" thickBot="1">
      <c r="A449" s="10" t="s">
        <v>21</v>
      </c>
      <c r="B449" s="10" t="s">
        <v>22</v>
      </c>
      <c r="C449" s="10" t="s">
        <v>338</v>
      </c>
      <c r="D449" s="10" t="s">
        <v>141</v>
      </c>
      <c r="E449" s="10" t="s">
        <v>142</v>
      </c>
      <c r="F449" s="10" t="s">
        <v>339</v>
      </c>
      <c r="G449" s="11">
        <v>2460</v>
      </c>
      <c r="H449" s="163" t="s">
        <v>982</v>
      </c>
      <c r="I449" s="166" t="s">
        <v>983</v>
      </c>
      <c r="J449" s="163" t="s">
        <v>982</v>
      </c>
      <c r="K449" s="10" t="s">
        <v>40</v>
      </c>
      <c r="L449" s="10">
        <v>0</v>
      </c>
      <c r="M449" s="10">
        <f t="shared" si="25"/>
        <v>0</v>
      </c>
      <c r="N449" s="15">
        <v>10</v>
      </c>
      <c r="O449" s="16">
        <v>1</v>
      </c>
      <c r="P449" s="11">
        <v>2460</v>
      </c>
      <c r="Q449" s="10" t="s">
        <v>33</v>
      </c>
      <c r="R449" s="4" t="s">
        <v>1287</v>
      </c>
      <c r="S449" s="4" t="s">
        <v>507</v>
      </c>
      <c r="T449" s="4" t="s">
        <v>19</v>
      </c>
      <c r="U449" s="4" t="str">
        <f t="shared" si="27"/>
        <v>NOT AN ADD-ON</v>
      </c>
      <c r="V449" s="4" t="str">
        <f t="shared" si="26"/>
        <v>GRAPHICAL APPOINTMENT BOOKADD-ONAUTHORIZEDNOT AN ADD-ON</v>
      </c>
    </row>
    <row r="450" spans="1:22" ht="15" thickBot="1">
      <c r="A450" s="10" t="s">
        <v>21</v>
      </c>
      <c r="B450" s="10" t="s">
        <v>22</v>
      </c>
      <c r="C450" s="10" t="s">
        <v>338</v>
      </c>
      <c r="D450" s="10" t="s">
        <v>141</v>
      </c>
      <c r="E450" s="10" t="s">
        <v>142</v>
      </c>
      <c r="F450" s="10" t="s">
        <v>339</v>
      </c>
      <c r="G450" s="11">
        <v>1470</v>
      </c>
      <c r="H450" s="163" t="s">
        <v>984</v>
      </c>
      <c r="I450" s="166" t="s">
        <v>985</v>
      </c>
      <c r="J450" s="163" t="s">
        <v>982</v>
      </c>
      <c r="K450" s="10" t="s">
        <v>40</v>
      </c>
      <c r="L450" s="10">
        <v>0</v>
      </c>
      <c r="M450" s="10">
        <f t="shared" si="25"/>
        <v>0</v>
      </c>
      <c r="N450" s="15">
        <v>10</v>
      </c>
      <c r="O450" s="16">
        <v>1</v>
      </c>
      <c r="P450" s="11">
        <v>2460</v>
      </c>
      <c r="Q450" s="10" t="s">
        <v>36</v>
      </c>
      <c r="R450" s="4" t="s">
        <v>1287</v>
      </c>
      <c r="S450" s="4" t="s">
        <v>507</v>
      </c>
      <c r="T450" s="4" t="s">
        <v>19</v>
      </c>
      <c r="U450" s="4" t="str">
        <f t="shared" si="27"/>
        <v>NOT AN ADD-ON</v>
      </c>
      <c r="V450" s="4" t="str">
        <f t="shared" si="26"/>
        <v>GRAPHICAL APPOINTMENT BOOKADD-ONAUTHORIZEDNOT AN ADD-ON</v>
      </c>
    </row>
    <row r="451" spans="1:22" ht="15" thickBot="1">
      <c r="A451" s="10" t="s">
        <v>21</v>
      </c>
      <c r="B451" s="10" t="s">
        <v>22</v>
      </c>
      <c r="C451" s="10" t="s">
        <v>986</v>
      </c>
      <c r="D451" s="10" t="s">
        <v>141</v>
      </c>
      <c r="E451" s="10" t="s">
        <v>142</v>
      </c>
      <c r="F451" s="10" t="s">
        <v>143</v>
      </c>
      <c r="G451" s="11">
        <v>1630</v>
      </c>
      <c r="H451" s="163" t="s">
        <v>987</v>
      </c>
      <c r="I451" s="158" t="s">
        <v>988</v>
      </c>
      <c r="J451" s="163" t="s">
        <v>989</v>
      </c>
      <c r="K451" s="10" t="s">
        <v>40</v>
      </c>
      <c r="L451" s="10">
        <v>15</v>
      </c>
      <c r="M451" s="10">
        <f t="shared" ref="M451:M504" si="28">ROUND(IF(K451="Authorized User",L451/3,L451),2)</f>
        <v>15</v>
      </c>
      <c r="N451" s="10">
        <v>15</v>
      </c>
      <c r="O451" s="12">
        <v>1</v>
      </c>
      <c r="P451" s="11">
        <v>8160</v>
      </c>
      <c r="Q451" s="10" t="s">
        <v>31</v>
      </c>
      <c r="R451" s="4" t="s">
        <v>1289</v>
      </c>
      <c r="S451" s="4" t="s">
        <v>507</v>
      </c>
      <c r="T451" s="4" t="s">
        <v>19</v>
      </c>
      <c r="U451" s="4" t="str">
        <f t="shared" si="27"/>
        <v>NOT AN ADD-ON</v>
      </c>
      <c r="V451" s="4" t="str">
        <f t="shared" ref="V451:V509" si="29">CONCATENATE(R451,S451,T451,U451)</f>
        <v>SAFETY AND ENVIRONMENT MANAGERADD-ONAUTHORIZEDNOT AN ADD-ON</v>
      </c>
    </row>
    <row r="452" spans="1:22" ht="15" thickBot="1">
      <c r="A452" s="10" t="s">
        <v>21</v>
      </c>
      <c r="B452" s="10" t="s">
        <v>22</v>
      </c>
      <c r="C452" s="10" t="s">
        <v>986</v>
      </c>
      <c r="D452" s="10" t="s">
        <v>141</v>
      </c>
      <c r="E452" s="10" t="s">
        <v>142</v>
      </c>
      <c r="F452" s="10" t="s">
        <v>143</v>
      </c>
      <c r="G452" s="11">
        <v>8160</v>
      </c>
      <c r="H452" s="163" t="s">
        <v>989</v>
      </c>
      <c r="I452" s="158" t="s">
        <v>990</v>
      </c>
      <c r="J452" s="163" t="s">
        <v>989</v>
      </c>
      <c r="K452" s="10" t="s">
        <v>40</v>
      </c>
      <c r="L452" s="10">
        <v>15</v>
      </c>
      <c r="M452" s="10">
        <f t="shared" si="28"/>
        <v>15</v>
      </c>
      <c r="N452" s="10">
        <v>15</v>
      </c>
      <c r="O452" s="12">
        <v>1</v>
      </c>
      <c r="P452" s="11">
        <v>8160</v>
      </c>
      <c r="Q452" s="10" t="s">
        <v>33</v>
      </c>
      <c r="R452" s="4" t="s">
        <v>1293</v>
      </c>
      <c r="S452" s="4" t="s">
        <v>1383</v>
      </c>
      <c r="T452" s="4" t="s">
        <v>19</v>
      </c>
      <c r="U452" s="4" t="str">
        <f t="shared" si="27"/>
        <v>NOT AN ADD-ON</v>
      </c>
      <c r="V452" s="4" t="str">
        <f t="shared" si="29"/>
        <v>HEALTH SAFETY AND ENVIRONMENT MANAGERHSEAUTHORIZEDNOT AN ADD-ON</v>
      </c>
    </row>
    <row r="453" spans="1:22" ht="15" thickBot="1">
      <c r="A453" s="10" t="s">
        <v>21</v>
      </c>
      <c r="B453" s="10" t="s">
        <v>22</v>
      </c>
      <c r="C453" s="10" t="s">
        <v>986</v>
      </c>
      <c r="D453" s="10" t="s">
        <v>141</v>
      </c>
      <c r="E453" s="10" t="s">
        <v>142</v>
      </c>
      <c r="F453" s="10" t="s">
        <v>143</v>
      </c>
      <c r="G453" s="11">
        <v>4890</v>
      </c>
      <c r="H453" s="163" t="s">
        <v>991</v>
      </c>
      <c r="I453" s="158" t="s">
        <v>992</v>
      </c>
      <c r="J453" s="163" t="s">
        <v>989</v>
      </c>
      <c r="K453" s="10" t="s">
        <v>40</v>
      </c>
      <c r="L453" s="10">
        <v>15</v>
      </c>
      <c r="M453" s="10">
        <f t="shared" si="28"/>
        <v>15</v>
      </c>
      <c r="N453" s="10">
        <v>15</v>
      </c>
      <c r="O453" s="12">
        <v>1</v>
      </c>
      <c r="P453" s="11">
        <v>8160</v>
      </c>
      <c r="Q453" s="10" t="s">
        <v>36</v>
      </c>
      <c r="R453" s="4" t="s">
        <v>1293</v>
      </c>
      <c r="S453" s="4" t="s">
        <v>1383</v>
      </c>
      <c r="T453" s="4" t="s">
        <v>19</v>
      </c>
      <c r="U453" s="4" t="str">
        <f t="shared" si="27"/>
        <v>NOT AN ADD-ON</v>
      </c>
      <c r="V453" s="4" t="str">
        <f t="shared" si="29"/>
        <v>HEALTH SAFETY AND ENVIRONMENT MANAGERHSEAUTHORIZEDNOT AN ADD-ON</v>
      </c>
    </row>
    <row r="454" spans="1:22" ht="15" thickBot="1">
      <c r="A454" s="10" t="s">
        <v>21</v>
      </c>
      <c r="B454" s="10" t="s">
        <v>22</v>
      </c>
      <c r="C454" s="10" t="s">
        <v>986</v>
      </c>
      <c r="D454" s="10" t="s">
        <v>141</v>
      </c>
      <c r="E454" s="10" t="s">
        <v>142</v>
      </c>
      <c r="F454" s="10" t="s">
        <v>143</v>
      </c>
      <c r="G454" s="11">
        <v>536</v>
      </c>
      <c r="H454" s="163" t="s">
        <v>993</v>
      </c>
      <c r="I454" s="166" t="s">
        <v>994</v>
      </c>
      <c r="J454" s="163" t="s">
        <v>995</v>
      </c>
      <c r="K454" s="10" t="s">
        <v>30</v>
      </c>
      <c r="L454" s="10">
        <v>15</v>
      </c>
      <c r="M454" s="10">
        <f t="shared" si="28"/>
        <v>5</v>
      </c>
      <c r="N454" s="10">
        <v>15</v>
      </c>
      <c r="O454" s="12">
        <v>5</v>
      </c>
      <c r="P454" s="11">
        <v>2680</v>
      </c>
      <c r="Q454" s="10" t="s">
        <v>31</v>
      </c>
      <c r="R454" s="4" t="s">
        <v>1293</v>
      </c>
      <c r="S454" s="4" t="s">
        <v>1383</v>
      </c>
      <c r="T454" s="4" t="s">
        <v>19</v>
      </c>
      <c r="U454" s="4" t="str">
        <f t="shared" si="27"/>
        <v>NOT AN ADD-ON</v>
      </c>
      <c r="V454" s="4" t="str">
        <f t="shared" si="29"/>
        <v>HEALTH SAFETY AND ENVIRONMENT MANAGERHSEAUTHORIZEDNOT AN ADD-ON</v>
      </c>
    </row>
    <row r="455" spans="1:22" ht="15" thickBot="1">
      <c r="A455" s="10" t="s">
        <v>21</v>
      </c>
      <c r="B455" s="10" t="s">
        <v>22</v>
      </c>
      <c r="C455" s="10" t="s">
        <v>986</v>
      </c>
      <c r="D455" s="10" t="s">
        <v>141</v>
      </c>
      <c r="E455" s="10" t="s">
        <v>142</v>
      </c>
      <c r="F455" s="10" t="s">
        <v>143</v>
      </c>
      <c r="G455" s="11">
        <v>2680</v>
      </c>
      <c r="H455" s="163" t="s">
        <v>995</v>
      </c>
      <c r="I455" s="166" t="s">
        <v>996</v>
      </c>
      <c r="J455" s="163" t="s">
        <v>995</v>
      </c>
      <c r="K455" s="10" t="s">
        <v>30</v>
      </c>
      <c r="L455" s="10">
        <v>15</v>
      </c>
      <c r="M455" s="10">
        <f t="shared" si="28"/>
        <v>5</v>
      </c>
      <c r="N455" s="10">
        <v>15</v>
      </c>
      <c r="O455" s="12">
        <v>5</v>
      </c>
      <c r="P455" s="11">
        <v>2680</v>
      </c>
      <c r="Q455" s="10" t="s">
        <v>33</v>
      </c>
      <c r="R455" s="4" t="s">
        <v>1293</v>
      </c>
      <c r="S455" s="4" t="s">
        <v>1383</v>
      </c>
      <c r="T455" s="4" t="s">
        <v>19</v>
      </c>
      <c r="U455" s="4" t="str">
        <f t="shared" si="27"/>
        <v>NOT AN ADD-ON</v>
      </c>
      <c r="V455" s="4" t="str">
        <f t="shared" si="29"/>
        <v>HEALTH SAFETY AND ENVIRONMENT MANAGERHSEAUTHORIZEDNOT AN ADD-ON</v>
      </c>
    </row>
    <row r="456" spans="1:22" ht="15" thickBot="1">
      <c r="A456" s="10" t="s">
        <v>21</v>
      </c>
      <c r="B456" s="10" t="s">
        <v>22</v>
      </c>
      <c r="C456" s="10" t="s">
        <v>986</v>
      </c>
      <c r="D456" s="10" t="s">
        <v>141</v>
      </c>
      <c r="E456" s="10" t="s">
        <v>142</v>
      </c>
      <c r="F456" s="10" t="s">
        <v>143</v>
      </c>
      <c r="G456" s="11">
        <v>1610</v>
      </c>
      <c r="H456" s="163" t="s">
        <v>997</v>
      </c>
      <c r="I456" s="166" t="s">
        <v>998</v>
      </c>
      <c r="J456" s="163" t="s">
        <v>995</v>
      </c>
      <c r="K456" s="10" t="s">
        <v>30</v>
      </c>
      <c r="L456" s="10">
        <v>15</v>
      </c>
      <c r="M456" s="10">
        <f t="shared" si="28"/>
        <v>5</v>
      </c>
      <c r="N456" s="10">
        <v>15</v>
      </c>
      <c r="O456" s="12">
        <v>5</v>
      </c>
      <c r="P456" s="11">
        <v>2680</v>
      </c>
      <c r="Q456" s="10" t="s">
        <v>36</v>
      </c>
      <c r="R456" s="4" t="s">
        <v>1293</v>
      </c>
      <c r="S456" s="4" t="s">
        <v>1383</v>
      </c>
      <c r="T456" s="4" t="s">
        <v>19</v>
      </c>
      <c r="U456" s="4" t="str">
        <f t="shared" si="27"/>
        <v>NOT AN ADD-ON</v>
      </c>
      <c r="V456" s="4" t="str">
        <f t="shared" si="29"/>
        <v>HEALTH SAFETY AND ENVIRONMENT MANAGERHSEAUTHORIZEDNOT AN ADD-ON</v>
      </c>
    </row>
    <row r="457" spans="1:22" ht="15" thickBot="1">
      <c r="A457" s="10" t="s">
        <v>21</v>
      </c>
      <c r="B457" s="10" t="s">
        <v>22</v>
      </c>
      <c r="C457" s="10" t="s">
        <v>986</v>
      </c>
      <c r="D457" s="10" t="s">
        <v>141</v>
      </c>
      <c r="E457" s="10" t="s">
        <v>142</v>
      </c>
      <c r="F457" s="10" t="s">
        <v>143</v>
      </c>
      <c r="G457" s="11">
        <v>536</v>
      </c>
      <c r="H457" s="163" t="s">
        <v>999</v>
      </c>
      <c r="I457" s="158" t="s">
        <v>1000</v>
      </c>
      <c r="J457" s="163" t="s">
        <v>1001</v>
      </c>
      <c r="K457" s="10" t="s">
        <v>30</v>
      </c>
      <c r="L457" s="10">
        <v>15</v>
      </c>
      <c r="M457" s="10">
        <f t="shared" si="28"/>
        <v>5</v>
      </c>
      <c r="N457" s="10">
        <v>15</v>
      </c>
      <c r="O457" s="12">
        <v>5</v>
      </c>
      <c r="P457" s="11">
        <v>2680</v>
      </c>
      <c r="Q457" s="10" t="s">
        <v>31</v>
      </c>
      <c r="R457" s="4" t="s">
        <v>1293</v>
      </c>
      <c r="S457" s="4" t="s">
        <v>1383</v>
      </c>
      <c r="T457" s="4" t="s">
        <v>19</v>
      </c>
      <c r="U457" s="4" t="str">
        <f t="shared" si="27"/>
        <v>NOT AN ADD-ON</v>
      </c>
      <c r="V457" s="4" t="str">
        <f t="shared" si="29"/>
        <v>HEALTH SAFETY AND ENVIRONMENT MANAGERHSEAUTHORIZEDNOT AN ADD-ON</v>
      </c>
    </row>
    <row r="458" spans="1:22" ht="15" thickBot="1">
      <c r="A458" s="10" t="s">
        <v>21</v>
      </c>
      <c r="B458" s="10" t="s">
        <v>22</v>
      </c>
      <c r="C458" s="10" t="s">
        <v>986</v>
      </c>
      <c r="D458" s="10" t="s">
        <v>141</v>
      </c>
      <c r="E458" s="10" t="s">
        <v>142</v>
      </c>
      <c r="F458" s="10" t="s">
        <v>143</v>
      </c>
      <c r="G458" s="11">
        <v>2680</v>
      </c>
      <c r="H458" s="163" t="s">
        <v>1001</v>
      </c>
      <c r="I458" s="158" t="s">
        <v>1002</v>
      </c>
      <c r="J458" s="163" t="s">
        <v>1001</v>
      </c>
      <c r="K458" s="10" t="s">
        <v>30</v>
      </c>
      <c r="L458" s="10">
        <v>15</v>
      </c>
      <c r="M458" s="10">
        <f t="shared" si="28"/>
        <v>5</v>
      </c>
      <c r="N458" s="10">
        <v>15</v>
      </c>
      <c r="O458" s="12">
        <v>5</v>
      </c>
      <c r="P458" s="11">
        <v>2680</v>
      </c>
      <c r="Q458" s="10" t="s">
        <v>33</v>
      </c>
      <c r="R458" s="4" t="s">
        <v>1293</v>
      </c>
      <c r="S458" s="4" t="s">
        <v>1383</v>
      </c>
      <c r="T458" s="4" t="s">
        <v>19</v>
      </c>
      <c r="U458" s="4" t="str">
        <f t="shared" si="27"/>
        <v>NOT AN ADD-ON</v>
      </c>
      <c r="V458" s="4" t="str">
        <f t="shared" si="29"/>
        <v>HEALTH SAFETY AND ENVIRONMENT MANAGERHSEAUTHORIZEDNOT AN ADD-ON</v>
      </c>
    </row>
    <row r="459" spans="1:22" ht="15" thickBot="1">
      <c r="A459" s="10" t="s">
        <v>21</v>
      </c>
      <c r="B459" s="10" t="s">
        <v>22</v>
      </c>
      <c r="C459" s="10" t="s">
        <v>986</v>
      </c>
      <c r="D459" s="10" t="s">
        <v>141</v>
      </c>
      <c r="E459" s="10" t="s">
        <v>142</v>
      </c>
      <c r="F459" s="10" t="s">
        <v>143</v>
      </c>
      <c r="G459" s="11">
        <v>1610</v>
      </c>
      <c r="H459" s="163" t="s">
        <v>1003</v>
      </c>
      <c r="I459" s="158" t="s">
        <v>1004</v>
      </c>
      <c r="J459" s="163" t="s">
        <v>1001</v>
      </c>
      <c r="K459" s="10" t="s">
        <v>30</v>
      </c>
      <c r="L459" s="10">
        <v>15</v>
      </c>
      <c r="M459" s="10">
        <f t="shared" si="28"/>
        <v>5</v>
      </c>
      <c r="N459" s="10">
        <v>15</v>
      </c>
      <c r="O459" s="12">
        <v>5</v>
      </c>
      <c r="P459" s="11">
        <v>2680</v>
      </c>
      <c r="Q459" s="10" t="s">
        <v>36</v>
      </c>
      <c r="R459" s="4" t="s">
        <v>1293</v>
      </c>
      <c r="S459" s="4" t="s">
        <v>1383</v>
      </c>
      <c r="T459" s="4" t="s">
        <v>19</v>
      </c>
      <c r="U459" s="4" t="str">
        <f t="shared" si="27"/>
        <v>NOT AN ADD-ON</v>
      </c>
      <c r="V459" s="4" t="str">
        <f t="shared" si="29"/>
        <v>HEALTH SAFETY AND ENVIRONMENT MANAGERHSEAUTHORIZEDNOT AN ADD-ON</v>
      </c>
    </row>
    <row r="460" spans="1:22" ht="27" thickBot="1">
      <c r="A460" s="10" t="s">
        <v>21</v>
      </c>
      <c r="B460" s="10" t="s">
        <v>22</v>
      </c>
      <c r="C460" s="10" t="s">
        <v>986</v>
      </c>
      <c r="D460" s="10" t="s">
        <v>141</v>
      </c>
      <c r="E460" s="10" t="s">
        <v>142</v>
      </c>
      <c r="F460" s="10" t="s">
        <v>143</v>
      </c>
      <c r="G460" s="11">
        <v>1760</v>
      </c>
      <c r="H460" s="163" t="s">
        <v>1005</v>
      </c>
      <c r="I460" s="166" t="s">
        <v>1006</v>
      </c>
      <c r="J460" s="163" t="s">
        <v>1007</v>
      </c>
      <c r="K460" s="10" t="s">
        <v>40</v>
      </c>
      <c r="L460" s="10">
        <v>15</v>
      </c>
      <c r="M460" s="10">
        <f t="shared" si="28"/>
        <v>15</v>
      </c>
      <c r="N460" s="10">
        <v>15</v>
      </c>
      <c r="O460" s="12">
        <v>1</v>
      </c>
      <c r="P460" s="11">
        <v>8160</v>
      </c>
      <c r="Q460" s="10" t="s">
        <v>48</v>
      </c>
      <c r="R460" s="4" t="s">
        <v>1293</v>
      </c>
      <c r="S460" s="4" t="s">
        <v>1383</v>
      </c>
      <c r="T460" s="4" t="s">
        <v>19</v>
      </c>
      <c r="U460" s="4" t="str">
        <f t="shared" si="27"/>
        <v>NOT AN ADD-ON</v>
      </c>
      <c r="V460" s="4" t="str">
        <f t="shared" si="29"/>
        <v>HEALTH SAFETY AND ENVIRONMENT MANAGERHSEAUTHORIZEDNOT AN ADD-ON</v>
      </c>
    </row>
    <row r="461" spans="1:22" ht="15" thickBot="1">
      <c r="A461" s="10" t="s">
        <v>21</v>
      </c>
      <c r="B461" s="10" t="s">
        <v>22</v>
      </c>
      <c r="C461" s="10" t="s">
        <v>986</v>
      </c>
      <c r="D461" s="10" t="s">
        <v>141</v>
      </c>
      <c r="E461" s="10" t="s">
        <v>142</v>
      </c>
      <c r="F461" s="10" t="s">
        <v>143</v>
      </c>
      <c r="G461" s="11">
        <v>1630</v>
      </c>
      <c r="H461" s="163" t="s">
        <v>1008</v>
      </c>
      <c r="I461" s="158" t="s">
        <v>1009</v>
      </c>
      <c r="J461" s="163" t="s">
        <v>1007</v>
      </c>
      <c r="K461" s="10" t="s">
        <v>40</v>
      </c>
      <c r="L461" s="10">
        <v>15</v>
      </c>
      <c r="M461" s="10">
        <f t="shared" si="28"/>
        <v>15</v>
      </c>
      <c r="N461" s="10">
        <v>15</v>
      </c>
      <c r="O461" s="12">
        <v>1</v>
      </c>
      <c r="P461" s="11">
        <v>8160</v>
      </c>
      <c r="Q461" s="10" t="s">
        <v>31</v>
      </c>
      <c r="R461" s="4" t="s">
        <v>1293</v>
      </c>
      <c r="S461" s="4" t="s">
        <v>1383</v>
      </c>
      <c r="T461" s="4" t="s">
        <v>19</v>
      </c>
      <c r="U461" s="4" t="str">
        <f t="shared" si="27"/>
        <v>NOT AN ADD-ON</v>
      </c>
      <c r="V461" s="4" t="str">
        <f t="shared" si="29"/>
        <v>HEALTH SAFETY AND ENVIRONMENT MANAGERHSEAUTHORIZEDNOT AN ADD-ON</v>
      </c>
    </row>
    <row r="462" spans="1:22" ht="15" thickBot="1">
      <c r="A462" s="10" t="s">
        <v>21</v>
      </c>
      <c r="B462" s="10" t="s">
        <v>22</v>
      </c>
      <c r="C462" s="10" t="s">
        <v>986</v>
      </c>
      <c r="D462" s="10" t="s">
        <v>141</v>
      </c>
      <c r="E462" s="10" t="s">
        <v>142</v>
      </c>
      <c r="F462" s="10" t="s">
        <v>143</v>
      </c>
      <c r="G462" s="11">
        <v>8160</v>
      </c>
      <c r="H462" s="163" t="s">
        <v>1007</v>
      </c>
      <c r="I462" s="158" t="s">
        <v>1010</v>
      </c>
      <c r="J462" s="163" t="s">
        <v>1007</v>
      </c>
      <c r="K462" s="10" t="s">
        <v>40</v>
      </c>
      <c r="L462" s="10">
        <v>15</v>
      </c>
      <c r="M462" s="10">
        <f t="shared" si="28"/>
        <v>15</v>
      </c>
      <c r="N462" s="10">
        <v>15</v>
      </c>
      <c r="O462" s="12">
        <v>1</v>
      </c>
      <c r="P462" s="11">
        <v>8160</v>
      </c>
      <c r="Q462" s="10" t="s">
        <v>33</v>
      </c>
      <c r="R462" s="4" t="s">
        <v>1293</v>
      </c>
      <c r="S462" s="4" t="s">
        <v>1383</v>
      </c>
      <c r="T462" s="4" t="s">
        <v>19</v>
      </c>
      <c r="U462" s="4" t="str">
        <f t="shared" si="27"/>
        <v>NOT AN ADD-ON</v>
      </c>
      <c r="V462" s="4" t="str">
        <f t="shared" si="29"/>
        <v>HEALTH SAFETY AND ENVIRONMENT MANAGERHSEAUTHORIZEDNOT AN ADD-ON</v>
      </c>
    </row>
    <row r="463" spans="1:22" ht="15" thickBot="1">
      <c r="A463" s="10" t="s">
        <v>21</v>
      </c>
      <c r="B463" s="10" t="s">
        <v>22</v>
      </c>
      <c r="C463" s="10" t="s">
        <v>986</v>
      </c>
      <c r="D463" s="10" t="s">
        <v>141</v>
      </c>
      <c r="E463" s="10" t="s">
        <v>142</v>
      </c>
      <c r="F463" s="10" t="s">
        <v>143</v>
      </c>
      <c r="G463" s="11">
        <v>4890</v>
      </c>
      <c r="H463" s="163" t="s">
        <v>1011</v>
      </c>
      <c r="I463" s="166" t="s">
        <v>1012</v>
      </c>
      <c r="J463" s="163" t="s">
        <v>1007</v>
      </c>
      <c r="K463" s="10" t="s">
        <v>40</v>
      </c>
      <c r="L463" s="10">
        <v>15</v>
      </c>
      <c r="M463" s="10">
        <f t="shared" si="28"/>
        <v>15</v>
      </c>
      <c r="N463" s="10">
        <v>15</v>
      </c>
      <c r="O463" s="12">
        <v>1</v>
      </c>
      <c r="P463" s="11">
        <v>8160</v>
      </c>
      <c r="Q463" s="10" t="s">
        <v>36</v>
      </c>
      <c r="R463" s="4" t="s">
        <v>1293</v>
      </c>
      <c r="S463" s="4" t="s">
        <v>1383</v>
      </c>
      <c r="T463" s="4" t="s">
        <v>19</v>
      </c>
      <c r="U463" s="4" t="str">
        <f t="shared" si="27"/>
        <v>NOT AN ADD-ON</v>
      </c>
      <c r="V463" s="4" t="str">
        <f t="shared" si="29"/>
        <v>HEALTH SAFETY AND ENVIRONMENT MANAGERHSEAUTHORIZEDNOT AN ADD-ON</v>
      </c>
    </row>
    <row r="464" spans="1:22" ht="27" thickBot="1">
      <c r="A464" s="10" t="s">
        <v>21</v>
      </c>
      <c r="B464" s="10" t="s">
        <v>22</v>
      </c>
      <c r="C464" s="10" t="s">
        <v>986</v>
      </c>
      <c r="D464" s="10" t="s">
        <v>141</v>
      </c>
      <c r="E464" s="10" t="s">
        <v>142</v>
      </c>
      <c r="F464" s="10" t="s">
        <v>143</v>
      </c>
      <c r="G464" s="11">
        <v>1760</v>
      </c>
      <c r="H464" s="163" t="s">
        <v>1013</v>
      </c>
      <c r="I464" s="166" t="s">
        <v>1014</v>
      </c>
      <c r="J464" s="163" t="s">
        <v>989</v>
      </c>
      <c r="K464" s="10" t="s">
        <v>40</v>
      </c>
      <c r="L464" s="10">
        <v>15</v>
      </c>
      <c r="M464" s="10">
        <f t="shared" si="28"/>
        <v>15</v>
      </c>
      <c r="N464" s="10">
        <v>15</v>
      </c>
      <c r="O464" s="12">
        <v>1</v>
      </c>
      <c r="P464" s="11">
        <v>8160</v>
      </c>
      <c r="Q464" s="10" t="s">
        <v>48</v>
      </c>
      <c r="R464" s="4" t="s">
        <v>1293</v>
      </c>
      <c r="S464" s="4" t="s">
        <v>1383</v>
      </c>
      <c r="T464" s="4" t="s">
        <v>19</v>
      </c>
      <c r="U464" s="4" t="str">
        <f t="shared" si="27"/>
        <v>NOT AN ADD-ON</v>
      </c>
      <c r="V464" s="4" t="str">
        <f t="shared" si="29"/>
        <v>HEALTH SAFETY AND ENVIRONMENT MANAGERHSEAUTHORIZEDNOT AN ADD-ON</v>
      </c>
    </row>
    <row r="465" spans="1:22" ht="15" thickBot="1">
      <c r="A465" s="10" t="s">
        <v>21</v>
      </c>
      <c r="B465" s="10" t="s">
        <v>22</v>
      </c>
      <c r="C465" s="10" t="s">
        <v>1015</v>
      </c>
      <c r="D465" s="10" t="s">
        <v>141</v>
      </c>
      <c r="E465" s="10" t="s">
        <v>142</v>
      </c>
      <c r="F465" s="10" t="s">
        <v>143</v>
      </c>
      <c r="G465" s="11">
        <v>142</v>
      </c>
      <c r="H465" s="163" t="s">
        <v>1016</v>
      </c>
      <c r="I465" s="158" t="s">
        <v>1017</v>
      </c>
      <c r="J465" s="163" t="s">
        <v>1018</v>
      </c>
      <c r="K465" s="10" t="s">
        <v>30</v>
      </c>
      <c r="L465" s="10">
        <v>0</v>
      </c>
      <c r="M465" s="10">
        <f t="shared" si="28"/>
        <v>0</v>
      </c>
      <c r="N465" s="10">
        <v>5</v>
      </c>
      <c r="O465" s="12">
        <v>1.6666666666666667</v>
      </c>
      <c r="P465" s="11">
        <v>712</v>
      </c>
      <c r="Q465" s="10" t="s">
        <v>31</v>
      </c>
      <c r="R465" s="4" t="s">
        <v>1290</v>
      </c>
      <c r="S465" s="4" t="s">
        <v>507</v>
      </c>
      <c r="T465" s="4" t="s">
        <v>19</v>
      </c>
      <c r="U465" s="4" t="str">
        <f t="shared" si="27"/>
        <v>NOT AN ADD-ON</v>
      </c>
      <c r="V465" s="4" t="str">
        <f t="shared" si="29"/>
        <v>LINEARADD-ONAUTHORIZEDNOT AN ADD-ON</v>
      </c>
    </row>
    <row r="466" spans="1:22" ht="15" thickBot="1">
      <c r="A466" s="10" t="s">
        <v>21</v>
      </c>
      <c r="B466" s="10" t="s">
        <v>22</v>
      </c>
      <c r="C466" s="10" t="s">
        <v>1015</v>
      </c>
      <c r="D466" s="10" t="s">
        <v>141</v>
      </c>
      <c r="E466" s="10" t="s">
        <v>142</v>
      </c>
      <c r="F466" s="10" t="s">
        <v>143</v>
      </c>
      <c r="G466" s="11">
        <v>712</v>
      </c>
      <c r="H466" s="163" t="s">
        <v>1018</v>
      </c>
      <c r="I466" s="158" t="s">
        <v>1019</v>
      </c>
      <c r="J466" s="163" t="s">
        <v>1018</v>
      </c>
      <c r="K466" s="10" t="s">
        <v>30</v>
      </c>
      <c r="L466" s="10">
        <v>0</v>
      </c>
      <c r="M466" s="10">
        <f t="shared" si="28"/>
        <v>0</v>
      </c>
      <c r="N466" s="10">
        <v>5</v>
      </c>
      <c r="O466" s="12">
        <v>1.6666666666666667</v>
      </c>
      <c r="P466" s="11">
        <v>712</v>
      </c>
      <c r="Q466" s="10" t="s">
        <v>33</v>
      </c>
      <c r="R466" s="4" t="s">
        <v>1290</v>
      </c>
      <c r="S466" s="4" t="s">
        <v>507</v>
      </c>
      <c r="T466" s="4" t="s">
        <v>19</v>
      </c>
      <c r="U466" s="4" t="str">
        <f t="shared" si="27"/>
        <v>NOT AN ADD-ON</v>
      </c>
      <c r="V466" s="4" t="str">
        <f t="shared" si="29"/>
        <v>LINEARADD-ONAUTHORIZEDNOT AN ADD-ON</v>
      </c>
    </row>
    <row r="467" spans="1:22" ht="15" thickBot="1">
      <c r="A467" s="10" t="s">
        <v>21</v>
      </c>
      <c r="B467" s="10" t="s">
        <v>22</v>
      </c>
      <c r="C467" s="10" t="s">
        <v>1015</v>
      </c>
      <c r="D467" s="10" t="s">
        <v>141</v>
      </c>
      <c r="E467" s="10" t="s">
        <v>142</v>
      </c>
      <c r="F467" s="10" t="s">
        <v>143</v>
      </c>
      <c r="G467" s="11">
        <v>427</v>
      </c>
      <c r="H467" s="163" t="s">
        <v>1020</v>
      </c>
      <c r="I467" s="158" t="s">
        <v>1021</v>
      </c>
      <c r="J467" s="163" t="s">
        <v>1018</v>
      </c>
      <c r="K467" s="10" t="s">
        <v>30</v>
      </c>
      <c r="L467" s="10">
        <v>0</v>
      </c>
      <c r="M467" s="10">
        <f t="shared" si="28"/>
        <v>0</v>
      </c>
      <c r="N467" s="10">
        <v>5</v>
      </c>
      <c r="O467" s="12">
        <v>1.6666666666666667</v>
      </c>
      <c r="P467" s="11">
        <v>712</v>
      </c>
      <c r="Q467" s="10" t="s">
        <v>36</v>
      </c>
      <c r="R467" s="4" t="s">
        <v>1290</v>
      </c>
      <c r="S467" s="4" t="s">
        <v>507</v>
      </c>
      <c r="T467" s="4" t="s">
        <v>19</v>
      </c>
      <c r="U467" s="4" t="str">
        <f t="shared" ref="U467:U509" si="30">IF(ISNUMBER(SEARCH("ADD-ON",$I467)),"ADD-ON","NOT AN ADD-ON")</f>
        <v>NOT AN ADD-ON</v>
      </c>
      <c r="V467" s="4" t="str">
        <f t="shared" si="29"/>
        <v>LINEARADD-ONAUTHORIZEDNOT AN ADD-ON</v>
      </c>
    </row>
    <row r="468" spans="1:22" ht="15" thickBot="1">
      <c r="A468" s="10" t="s">
        <v>21</v>
      </c>
      <c r="B468" s="10" t="s">
        <v>22</v>
      </c>
      <c r="C468" s="10" t="s">
        <v>1015</v>
      </c>
      <c r="D468" s="10" t="s">
        <v>141</v>
      </c>
      <c r="E468" s="10" t="s">
        <v>142</v>
      </c>
      <c r="F468" s="10" t="s">
        <v>143</v>
      </c>
      <c r="G468" s="11">
        <v>434</v>
      </c>
      <c r="H468" s="163" t="s">
        <v>1022</v>
      </c>
      <c r="I468" s="158" t="s">
        <v>1023</v>
      </c>
      <c r="J468" s="163" t="s">
        <v>1024</v>
      </c>
      <c r="K468" s="10" t="s">
        <v>40</v>
      </c>
      <c r="L468" s="10">
        <v>0</v>
      </c>
      <c r="M468" s="10">
        <f t="shared" si="28"/>
        <v>0</v>
      </c>
      <c r="N468" s="10">
        <v>5</v>
      </c>
      <c r="O468" s="12">
        <v>1</v>
      </c>
      <c r="P468" s="11">
        <v>2170</v>
      </c>
      <c r="Q468" s="10" t="s">
        <v>31</v>
      </c>
      <c r="R468" s="4" t="s">
        <v>1290</v>
      </c>
      <c r="S468" s="4" t="s">
        <v>507</v>
      </c>
      <c r="T468" s="4" t="s">
        <v>19</v>
      </c>
      <c r="U468" s="4" t="str">
        <f t="shared" si="30"/>
        <v>NOT AN ADD-ON</v>
      </c>
      <c r="V468" s="4" t="str">
        <f t="shared" si="29"/>
        <v>LINEARADD-ONAUTHORIZEDNOT AN ADD-ON</v>
      </c>
    </row>
    <row r="469" spans="1:22" ht="15" thickBot="1">
      <c r="A469" s="10" t="s">
        <v>21</v>
      </c>
      <c r="B469" s="10" t="s">
        <v>22</v>
      </c>
      <c r="C469" s="10" t="s">
        <v>1015</v>
      </c>
      <c r="D469" s="10" t="s">
        <v>141</v>
      </c>
      <c r="E469" s="10" t="s">
        <v>142</v>
      </c>
      <c r="F469" s="10" t="s">
        <v>143</v>
      </c>
      <c r="G469" s="11">
        <v>2170</v>
      </c>
      <c r="H469" s="163" t="s">
        <v>1024</v>
      </c>
      <c r="I469" s="158" t="s">
        <v>1025</v>
      </c>
      <c r="J469" s="163" t="s">
        <v>1024</v>
      </c>
      <c r="K469" s="10" t="s">
        <v>40</v>
      </c>
      <c r="L469" s="10">
        <v>0</v>
      </c>
      <c r="M469" s="10">
        <f t="shared" si="28"/>
        <v>0</v>
      </c>
      <c r="N469" s="10">
        <v>5</v>
      </c>
      <c r="O469" s="12">
        <v>1</v>
      </c>
      <c r="P469" s="11">
        <v>2170</v>
      </c>
      <c r="Q469" s="10" t="s">
        <v>33</v>
      </c>
      <c r="R469" s="4" t="s">
        <v>1290</v>
      </c>
      <c r="S469" s="4" t="s">
        <v>507</v>
      </c>
      <c r="T469" s="4" t="s">
        <v>19</v>
      </c>
      <c r="U469" s="4" t="str">
        <f t="shared" si="30"/>
        <v>NOT AN ADD-ON</v>
      </c>
      <c r="V469" s="4" t="str">
        <f t="shared" si="29"/>
        <v>LINEARADD-ONAUTHORIZEDNOT AN ADD-ON</v>
      </c>
    </row>
    <row r="470" spans="1:22" ht="15" thickBot="1">
      <c r="A470" s="10" t="s">
        <v>21</v>
      </c>
      <c r="B470" s="10" t="s">
        <v>22</v>
      </c>
      <c r="C470" s="10" t="s">
        <v>1015</v>
      </c>
      <c r="D470" s="10" t="s">
        <v>141</v>
      </c>
      <c r="E470" s="10" t="s">
        <v>142</v>
      </c>
      <c r="F470" s="10" t="s">
        <v>143</v>
      </c>
      <c r="G470" s="11">
        <v>1310</v>
      </c>
      <c r="H470" s="163" t="s">
        <v>1026</v>
      </c>
      <c r="I470" s="158" t="s">
        <v>1027</v>
      </c>
      <c r="J470" s="163" t="s">
        <v>1024</v>
      </c>
      <c r="K470" s="10" t="s">
        <v>40</v>
      </c>
      <c r="L470" s="10">
        <v>0</v>
      </c>
      <c r="M470" s="10">
        <f t="shared" si="28"/>
        <v>0</v>
      </c>
      <c r="N470" s="10">
        <v>5</v>
      </c>
      <c r="O470" s="12">
        <v>1</v>
      </c>
      <c r="P470" s="11">
        <v>2170</v>
      </c>
      <c r="Q470" s="10" t="s">
        <v>36</v>
      </c>
      <c r="R470" s="4" t="s">
        <v>1290</v>
      </c>
      <c r="S470" s="4" t="s">
        <v>507</v>
      </c>
      <c r="T470" s="4" t="s">
        <v>19</v>
      </c>
      <c r="U470" s="4" t="str">
        <f t="shared" si="30"/>
        <v>NOT AN ADD-ON</v>
      </c>
      <c r="V470" s="4" t="str">
        <f t="shared" si="29"/>
        <v>LINEARADD-ONAUTHORIZEDNOT AN ADD-ON</v>
      </c>
    </row>
    <row r="471" spans="1:22" ht="15" thickBot="1">
      <c r="A471" s="10" t="s">
        <v>21</v>
      </c>
      <c r="B471" s="10" t="s">
        <v>22</v>
      </c>
      <c r="C471" s="10" t="s">
        <v>1015</v>
      </c>
      <c r="D471" s="10" t="s">
        <v>141</v>
      </c>
      <c r="E471" s="10" t="s">
        <v>142</v>
      </c>
      <c r="F471" s="10" t="s">
        <v>143</v>
      </c>
      <c r="G471" s="11">
        <v>434</v>
      </c>
      <c r="H471" s="163" t="s">
        <v>1028</v>
      </c>
      <c r="I471" s="158" t="s">
        <v>1029</v>
      </c>
      <c r="J471" s="163" t="s">
        <v>1030</v>
      </c>
      <c r="K471" s="10" t="s">
        <v>40</v>
      </c>
      <c r="L471" s="10">
        <v>0</v>
      </c>
      <c r="M471" s="10">
        <f t="shared" si="28"/>
        <v>0</v>
      </c>
      <c r="N471" s="10">
        <v>5</v>
      </c>
      <c r="O471" s="12">
        <v>1</v>
      </c>
      <c r="P471" s="11">
        <v>2170</v>
      </c>
      <c r="Q471" s="10" t="s">
        <v>31</v>
      </c>
      <c r="R471" s="4" t="s">
        <v>1290</v>
      </c>
      <c r="S471" s="4" t="s">
        <v>507</v>
      </c>
      <c r="T471" s="4" t="s">
        <v>19</v>
      </c>
      <c r="U471" s="4" t="str">
        <f t="shared" si="30"/>
        <v>NOT AN ADD-ON</v>
      </c>
      <c r="V471" s="4" t="str">
        <f t="shared" si="29"/>
        <v>LINEARADD-ONAUTHORIZEDNOT AN ADD-ON</v>
      </c>
    </row>
    <row r="472" spans="1:22" ht="15" thickBot="1">
      <c r="A472" s="10" t="s">
        <v>21</v>
      </c>
      <c r="B472" s="10" t="s">
        <v>22</v>
      </c>
      <c r="C472" s="10" t="s">
        <v>1015</v>
      </c>
      <c r="D472" s="10" t="s">
        <v>141</v>
      </c>
      <c r="E472" s="10" t="s">
        <v>142</v>
      </c>
      <c r="F472" s="10" t="s">
        <v>143</v>
      </c>
      <c r="G472" s="11">
        <v>2170</v>
      </c>
      <c r="H472" s="163" t="s">
        <v>1030</v>
      </c>
      <c r="I472" s="158" t="s">
        <v>1031</v>
      </c>
      <c r="J472" s="163" t="s">
        <v>1030</v>
      </c>
      <c r="K472" s="10" t="s">
        <v>40</v>
      </c>
      <c r="L472" s="10">
        <v>0</v>
      </c>
      <c r="M472" s="10">
        <f t="shared" si="28"/>
        <v>0</v>
      </c>
      <c r="N472" s="10">
        <v>5</v>
      </c>
      <c r="O472" s="12">
        <v>1</v>
      </c>
      <c r="P472" s="11">
        <v>2170</v>
      </c>
      <c r="Q472" s="10" t="s">
        <v>33</v>
      </c>
      <c r="R472" s="4" t="s">
        <v>1290</v>
      </c>
      <c r="S472" s="4" t="s">
        <v>507</v>
      </c>
      <c r="T472" s="4" t="s">
        <v>19</v>
      </c>
      <c r="U472" s="4" t="str">
        <f t="shared" si="30"/>
        <v>NOT AN ADD-ON</v>
      </c>
      <c r="V472" s="4" t="str">
        <f t="shared" si="29"/>
        <v>LINEARADD-ONAUTHORIZEDNOT AN ADD-ON</v>
      </c>
    </row>
    <row r="473" spans="1:22" ht="15" thickBot="1">
      <c r="A473" s="10" t="s">
        <v>21</v>
      </c>
      <c r="B473" s="10" t="s">
        <v>22</v>
      </c>
      <c r="C473" s="10" t="s">
        <v>1015</v>
      </c>
      <c r="D473" s="10" t="s">
        <v>141</v>
      </c>
      <c r="E473" s="10" t="s">
        <v>142</v>
      </c>
      <c r="F473" s="10" t="s">
        <v>143</v>
      </c>
      <c r="G473" s="11">
        <v>1310</v>
      </c>
      <c r="H473" s="163" t="s">
        <v>1032</v>
      </c>
      <c r="I473" s="158" t="s">
        <v>1033</v>
      </c>
      <c r="J473" s="163" t="s">
        <v>1030</v>
      </c>
      <c r="K473" s="10" t="s">
        <v>40</v>
      </c>
      <c r="L473" s="10">
        <v>0</v>
      </c>
      <c r="M473" s="10">
        <f t="shared" si="28"/>
        <v>0</v>
      </c>
      <c r="N473" s="10">
        <v>5</v>
      </c>
      <c r="O473" s="12">
        <v>1</v>
      </c>
      <c r="P473" s="11">
        <v>2170</v>
      </c>
      <c r="Q473" s="10" t="s">
        <v>36</v>
      </c>
      <c r="R473" s="4" t="s">
        <v>1290</v>
      </c>
      <c r="S473" s="4" t="s">
        <v>507</v>
      </c>
      <c r="T473" s="4" t="s">
        <v>19</v>
      </c>
      <c r="U473" s="4" t="str">
        <f t="shared" si="30"/>
        <v>NOT AN ADD-ON</v>
      </c>
      <c r="V473" s="4" t="str">
        <f t="shared" si="29"/>
        <v>LINEARADD-ONAUTHORIZEDNOT AN ADD-ON</v>
      </c>
    </row>
    <row r="474" spans="1:22" ht="27" thickBot="1">
      <c r="A474" s="10" t="s">
        <v>21</v>
      </c>
      <c r="B474" s="10" t="s">
        <v>22</v>
      </c>
      <c r="C474" s="10" t="s">
        <v>1015</v>
      </c>
      <c r="D474" s="10" t="s">
        <v>141</v>
      </c>
      <c r="E474" s="10" t="s">
        <v>142</v>
      </c>
      <c r="F474" s="10" t="s">
        <v>143</v>
      </c>
      <c r="G474" s="11">
        <v>467</v>
      </c>
      <c r="H474" s="163" t="s">
        <v>1034</v>
      </c>
      <c r="I474" s="166" t="s">
        <v>1035</v>
      </c>
      <c r="J474" s="163" t="s">
        <v>1030</v>
      </c>
      <c r="K474" s="10" t="s">
        <v>40</v>
      </c>
      <c r="L474" s="10">
        <v>0</v>
      </c>
      <c r="M474" s="10">
        <f t="shared" si="28"/>
        <v>0</v>
      </c>
      <c r="N474" s="10">
        <v>5</v>
      </c>
      <c r="O474" s="12">
        <v>1</v>
      </c>
      <c r="P474" s="11">
        <v>2170</v>
      </c>
      <c r="Q474" s="10" t="s">
        <v>48</v>
      </c>
      <c r="R474" s="4" t="s">
        <v>1290</v>
      </c>
      <c r="S474" s="4" t="s">
        <v>507</v>
      </c>
      <c r="T474" s="4" t="s">
        <v>19</v>
      </c>
      <c r="U474" s="4" t="str">
        <f t="shared" si="30"/>
        <v>NOT AN ADD-ON</v>
      </c>
      <c r="V474" s="4" t="str">
        <f t="shared" si="29"/>
        <v>LINEARADD-ONAUTHORIZEDNOT AN ADD-ON</v>
      </c>
    </row>
    <row r="475" spans="1:22" ht="15" thickBot="1">
      <c r="A475" s="10" t="s">
        <v>21</v>
      </c>
      <c r="B475" s="10" t="s">
        <v>22</v>
      </c>
      <c r="C475" s="10" t="s">
        <v>1015</v>
      </c>
      <c r="D475" s="10" t="s">
        <v>141</v>
      </c>
      <c r="E475" s="10" t="s">
        <v>142</v>
      </c>
      <c r="F475" s="10" t="s">
        <v>143</v>
      </c>
      <c r="G475" s="11">
        <v>467</v>
      </c>
      <c r="H475" s="163" t="s">
        <v>1036</v>
      </c>
      <c r="I475" s="166" t="s">
        <v>1037</v>
      </c>
      <c r="J475" s="163" t="s">
        <v>1024</v>
      </c>
      <c r="K475" s="10" t="s">
        <v>40</v>
      </c>
      <c r="L475" s="10">
        <v>0</v>
      </c>
      <c r="M475" s="10">
        <f t="shared" si="28"/>
        <v>0</v>
      </c>
      <c r="N475" s="10">
        <v>5</v>
      </c>
      <c r="O475" s="12">
        <v>1</v>
      </c>
      <c r="P475" s="11">
        <v>2170</v>
      </c>
      <c r="Q475" s="10" t="s">
        <v>48</v>
      </c>
      <c r="R475" s="4" t="s">
        <v>1290</v>
      </c>
      <c r="S475" s="4" t="s">
        <v>507</v>
      </c>
      <c r="T475" s="4" t="s">
        <v>19</v>
      </c>
      <c r="U475" s="4" t="str">
        <f t="shared" si="30"/>
        <v>NOT AN ADD-ON</v>
      </c>
      <c r="V475" s="4" t="str">
        <f t="shared" si="29"/>
        <v>LINEARADD-ONAUTHORIZEDNOT AN ADD-ON</v>
      </c>
    </row>
    <row r="476" spans="1:22" ht="15" thickBot="1">
      <c r="A476" s="10" t="s">
        <v>21</v>
      </c>
      <c r="B476" s="10" t="s">
        <v>22</v>
      </c>
      <c r="C476" s="10" t="s">
        <v>1015</v>
      </c>
      <c r="D476" s="10" t="s">
        <v>141</v>
      </c>
      <c r="E476" s="10" t="s">
        <v>142</v>
      </c>
      <c r="F476" s="10" t="s">
        <v>143</v>
      </c>
      <c r="G476" s="11">
        <v>142</v>
      </c>
      <c r="H476" s="163" t="s">
        <v>1038</v>
      </c>
      <c r="I476" s="158" t="s">
        <v>1039</v>
      </c>
      <c r="J476" s="163" t="s">
        <v>1040</v>
      </c>
      <c r="K476" s="10" t="s">
        <v>30</v>
      </c>
      <c r="L476" s="10">
        <v>0</v>
      </c>
      <c r="M476" s="10">
        <f t="shared" si="28"/>
        <v>0</v>
      </c>
      <c r="N476" s="10">
        <v>5</v>
      </c>
      <c r="O476" s="12">
        <v>1.6666666666666667</v>
      </c>
      <c r="P476" s="11">
        <v>712</v>
      </c>
      <c r="Q476" s="10" t="s">
        <v>31</v>
      </c>
      <c r="R476" s="4" t="s">
        <v>1290</v>
      </c>
      <c r="S476" s="4" t="s">
        <v>507</v>
      </c>
      <c r="T476" s="4" t="s">
        <v>19</v>
      </c>
      <c r="U476" s="4" t="str">
        <f t="shared" si="30"/>
        <v>NOT AN ADD-ON</v>
      </c>
      <c r="V476" s="4" t="str">
        <f t="shared" si="29"/>
        <v>LINEARADD-ONAUTHORIZEDNOT AN ADD-ON</v>
      </c>
    </row>
    <row r="477" spans="1:22" ht="15" thickBot="1">
      <c r="A477" s="10" t="s">
        <v>21</v>
      </c>
      <c r="B477" s="10" t="s">
        <v>22</v>
      </c>
      <c r="C477" s="10" t="s">
        <v>1015</v>
      </c>
      <c r="D477" s="10" t="s">
        <v>141</v>
      </c>
      <c r="E477" s="10" t="s">
        <v>142</v>
      </c>
      <c r="F477" s="10" t="s">
        <v>143</v>
      </c>
      <c r="G477" s="11">
        <v>712</v>
      </c>
      <c r="H477" s="163" t="s">
        <v>1040</v>
      </c>
      <c r="I477" s="158" t="s">
        <v>1041</v>
      </c>
      <c r="J477" s="163" t="s">
        <v>1040</v>
      </c>
      <c r="K477" s="10" t="s">
        <v>30</v>
      </c>
      <c r="L477" s="10">
        <v>0</v>
      </c>
      <c r="M477" s="10">
        <f t="shared" si="28"/>
        <v>0</v>
      </c>
      <c r="N477" s="10">
        <v>5</v>
      </c>
      <c r="O477" s="12">
        <v>1.6666666666666667</v>
      </c>
      <c r="P477" s="11">
        <v>712</v>
      </c>
      <c r="Q477" s="10" t="s">
        <v>33</v>
      </c>
      <c r="R477" s="4" t="s">
        <v>1290</v>
      </c>
      <c r="S477" s="4" t="s">
        <v>507</v>
      </c>
      <c r="T477" s="4" t="s">
        <v>19</v>
      </c>
      <c r="U477" s="4" t="str">
        <f t="shared" si="30"/>
        <v>NOT AN ADD-ON</v>
      </c>
      <c r="V477" s="4" t="str">
        <f t="shared" si="29"/>
        <v>LINEARADD-ONAUTHORIZEDNOT AN ADD-ON</v>
      </c>
    </row>
    <row r="478" spans="1:22" ht="15" thickBot="1">
      <c r="A478" s="10" t="s">
        <v>21</v>
      </c>
      <c r="B478" s="10" t="s">
        <v>22</v>
      </c>
      <c r="C478" s="10" t="s">
        <v>1015</v>
      </c>
      <c r="D478" s="10" t="s">
        <v>141</v>
      </c>
      <c r="E478" s="10" t="s">
        <v>142</v>
      </c>
      <c r="F478" s="10" t="s">
        <v>143</v>
      </c>
      <c r="G478" s="11">
        <v>427</v>
      </c>
      <c r="H478" s="163" t="s">
        <v>1042</v>
      </c>
      <c r="I478" s="158" t="s">
        <v>1043</v>
      </c>
      <c r="J478" s="163" t="s">
        <v>1040</v>
      </c>
      <c r="K478" s="10" t="s">
        <v>30</v>
      </c>
      <c r="L478" s="10">
        <v>0</v>
      </c>
      <c r="M478" s="10">
        <f t="shared" si="28"/>
        <v>0</v>
      </c>
      <c r="N478" s="10">
        <v>5</v>
      </c>
      <c r="O478" s="12">
        <v>1.6666666666666667</v>
      </c>
      <c r="P478" s="11">
        <v>712</v>
      </c>
      <c r="Q478" s="10" t="s">
        <v>36</v>
      </c>
      <c r="R478" s="4" t="s">
        <v>1290</v>
      </c>
      <c r="S478" s="4" t="s">
        <v>507</v>
      </c>
      <c r="T478" s="4" t="s">
        <v>19</v>
      </c>
      <c r="U478" s="4" t="str">
        <f t="shared" si="30"/>
        <v>NOT AN ADD-ON</v>
      </c>
      <c r="V478" s="4" t="str">
        <f t="shared" si="29"/>
        <v>LINEARADD-ONAUTHORIZEDNOT AN ADD-ON</v>
      </c>
    </row>
    <row r="479" spans="1:22" ht="15" thickBot="1">
      <c r="A479" s="10" t="s">
        <v>21</v>
      </c>
      <c r="B479" s="10" t="s">
        <v>22</v>
      </c>
      <c r="C479" s="10" t="s">
        <v>1044</v>
      </c>
      <c r="D479" s="10" t="s">
        <v>1045</v>
      </c>
      <c r="E479" s="10" t="s">
        <v>1046</v>
      </c>
      <c r="F479" s="10" t="s">
        <v>1047</v>
      </c>
      <c r="G479" s="11">
        <v>43.1</v>
      </c>
      <c r="H479" s="163" t="s">
        <v>1048</v>
      </c>
      <c r="I479" s="158" t="s">
        <v>1049</v>
      </c>
      <c r="J479" s="163" t="s">
        <v>1050</v>
      </c>
      <c r="K479" s="10" t="s">
        <v>30</v>
      </c>
      <c r="L479" s="10">
        <v>0</v>
      </c>
      <c r="M479" s="10">
        <f t="shared" si="28"/>
        <v>0</v>
      </c>
      <c r="N479" s="10">
        <v>5</v>
      </c>
      <c r="O479" s="12">
        <v>1.6666666666666667</v>
      </c>
      <c r="P479" s="11">
        <v>215</v>
      </c>
      <c r="Q479" s="10" t="s">
        <v>31</v>
      </c>
      <c r="R479" s="4" t="s">
        <v>1291</v>
      </c>
      <c r="S479" s="4" t="s">
        <v>507</v>
      </c>
      <c r="T479" s="4" t="s">
        <v>19</v>
      </c>
      <c r="U479" s="4" t="str">
        <f t="shared" si="30"/>
        <v>NOT AN ADD-ON</v>
      </c>
      <c r="V479" s="4" t="str">
        <f t="shared" si="29"/>
        <v>SPATIALADD-ONAUTHORIZEDNOT AN ADD-ON</v>
      </c>
    </row>
    <row r="480" spans="1:22" ht="15" thickBot="1">
      <c r="A480" s="10" t="s">
        <v>21</v>
      </c>
      <c r="B480" s="10" t="s">
        <v>22</v>
      </c>
      <c r="C480" s="10" t="s">
        <v>1044</v>
      </c>
      <c r="D480" s="10" t="s">
        <v>1045</v>
      </c>
      <c r="E480" s="10" t="s">
        <v>1046</v>
      </c>
      <c r="F480" s="10" t="s">
        <v>1047</v>
      </c>
      <c r="G480" s="11">
        <v>215</v>
      </c>
      <c r="H480" s="163" t="s">
        <v>1050</v>
      </c>
      <c r="I480" s="158" t="s">
        <v>1051</v>
      </c>
      <c r="J480" s="163" t="s">
        <v>1050</v>
      </c>
      <c r="K480" s="10" t="s">
        <v>30</v>
      </c>
      <c r="L480" s="10">
        <v>0</v>
      </c>
      <c r="M480" s="10">
        <f t="shared" si="28"/>
        <v>0</v>
      </c>
      <c r="N480" s="10">
        <v>5</v>
      </c>
      <c r="O480" s="12">
        <v>1.6666666666666667</v>
      </c>
      <c r="P480" s="11">
        <v>215</v>
      </c>
      <c r="Q480" s="10" t="s">
        <v>33</v>
      </c>
      <c r="R480" s="4" t="s">
        <v>1291</v>
      </c>
      <c r="S480" s="4" t="s">
        <v>507</v>
      </c>
      <c r="T480" s="4" t="s">
        <v>19</v>
      </c>
      <c r="U480" s="4" t="str">
        <f t="shared" si="30"/>
        <v>NOT AN ADD-ON</v>
      </c>
      <c r="V480" s="4" t="str">
        <f t="shared" si="29"/>
        <v>SPATIALADD-ONAUTHORIZEDNOT AN ADD-ON</v>
      </c>
    </row>
    <row r="481" spans="1:22" ht="15" thickBot="1">
      <c r="A481" s="10" t="s">
        <v>21</v>
      </c>
      <c r="B481" s="10" t="s">
        <v>22</v>
      </c>
      <c r="C481" s="10" t="s">
        <v>1044</v>
      </c>
      <c r="D481" s="10" t="s">
        <v>1045</v>
      </c>
      <c r="E481" s="10" t="s">
        <v>1046</v>
      </c>
      <c r="F481" s="10" t="s">
        <v>1047</v>
      </c>
      <c r="G481" s="11">
        <v>130</v>
      </c>
      <c r="H481" s="163" t="s">
        <v>1052</v>
      </c>
      <c r="I481" s="158" t="s">
        <v>1053</v>
      </c>
      <c r="J481" s="163" t="s">
        <v>1050</v>
      </c>
      <c r="K481" s="10" t="s">
        <v>30</v>
      </c>
      <c r="L481" s="10">
        <v>0</v>
      </c>
      <c r="M481" s="10">
        <f t="shared" si="28"/>
        <v>0</v>
      </c>
      <c r="N481" s="10">
        <v>5</v>
      </c>
      <c r="O481" s="12">
        <v>1.6666666666666667</v>
      </c>
      <c r="P481" s="11">
        <v>215</v>
      </c>
      <c r="Q481" s="10" t="s">
        <v>36</v>
      </c>
      <c r="R481" s="4" t="s">
        <v>1291</v>
      </c>
      <c r="S481" s="4" t="s">
        <v>507</v>
      </c>
      <c r="T481" s="4" t="s">
        <v>19</v>
      </c>
      <c r="U481" s="4" t="str">
        <f t="shared" si="30"/>
        <v>NOT AN ADD-ON</v>
      </c>
      <c r="V481" s="4" t="str">
        <f t="shared" si="29"/>
        <v>SPATIALADD-ONAUTHORIZEDNOT AN ADD-ON</v>
      </c>
    </row>
    <row r="482" spans="1:22" ht="15" thickBot="1">
      <c r="A482" s="10" t="s">
        <v>21</v>
      </c>
      <c r="B482" s="10" t="s">
        <v>22</v>
      </c>
      <c r="C482" s="10" t="s">
        <v>1044</v>
      </c>
      <c r="D482" s="10" t="s">
        <v>1045</v>
      </c>
      <c r="E482" s="10" t="s">
        <v>1046</v>
      </c>
      <c r="F482" s="10" t="s">
        <v>1047</v>
      </c>
      <c r="G482" s="11">
        <v>132</v>
      </c>
      <c r="H482" s="163" t="s">
        <v>1054</v>
      </c>
      <c r="I482" s="158" t="s">
        <v>1055</v>
      </c>
      <c r="J482" s="163" t="s">
        <v>1056</v>
      </c>
      <c r="K482" s="10" t="s">
        <v>40</v>
      </c>
      <c r="L482" s="10">
        <v>0</v>
      </c>
      <c r="M482" s="10">
        <f t="shared" si="28"/>
        <v>0</v>
      </c>
      <c r="N482" s="10">
        <v>5</v>
      </c>
      <c r="O482" s="12">
        <v>1</v>
      </c>
      <c r="P482" s="11">
        <v>657</v>
      </c>
      <c r="Q482" s="10" t="s">
        <v>31</v>
      </c>
      <c r="R482" s="4" t="s">
        <v>1291</v>
      </c>
      <c r="S482" s="4" t="s">
        <v>507</v>
      </c>
      <c r="T482" s="4" t="s">
        <v>19</v>
      </c>
      <c r="U482" s="4" t="str">
        <f t="shared" si="30"/>
        <v>NOT AN ADD-ON</v>
      </c>
      <c r="V482" s="4" t="str">
        <f t="shared" si="29"/>
        <v>SPATIALADD-ONAUTHORIZEDNOT AN ADD-ON</v>
      </c>
    </row>
    <row r="483" spans="1:22" ht="15" thickBot="1">
      <c r="A483" s="10" t="s">
        <v>21</v>
      </c>
      <c r="B483" s="10" t="s">
        <v>22</v>
      </c>
      <c r="C483" s="10" t="s">
        <v>1044</v>
      </c>
      <c r="D483" s="10" t="s">
        <v>1045</v>
      </c>
      <c r="E483" s="10" t="s">
        <v>1046</v>
      </c>
      <c r="F483" s="10" t="s">
        <v>1047</v>
      </c>
      <c r="G483" s="11">
        <v>657</v>
      </c>
      <c r="H483" s="163" t="s">
        <v>1056</v>
      </c>
      <c r="I483" s="158" t="s">
        <v>1057</v>
      </c>
      <c r="J483" s="163" t="s">
        <v>1056</v>
      </c>
      <c r="K483" s="10" t="s">
        <v>40</v>
      </c>
      <c r="L483" s="10">
        <v>0</v>
      </c>
      <c r="M483" s="10">
        <f t="shared" si="28"/>
        <v>0</v>
      </c>
      <c r="N483" s="10">
        <v>5</v>
      </c>
      <c r="O483" s="12">
        <v>1</v>
      </c>
      <c r="P483" s="11">
        <v>657</v>
      </c>
      <c r="Q483" s="10" t="s">
        <v>33</v>
      </c>
      <c r="R483" s="4" t="s">
        <v>1291</v>
      </c>
      <c r="S483" s="4" t="s">
        <v>507</v>
      </c>
      <c r="T483" s="4" t="s">
        <v>19</v>
      </c>
      <c r="U483" s="4" t="str">
        <f t="shared" si="30"/>
        <v>NOT AN ADD-ON</v>
      </c>
      <c r="V483" s="4" t="str">
        <f t="shared" si="29"/>
        <v>SPATIALADD-ONAUTHORIZEDNOT AN ADD-ON</v>
      </c>
    </row>
    <row r="484" spans="1:22" ht="15" thickBot="1">
      <c r="A484" s="10" t="s">
        <v>21</v>
      </c>
      <c r="B484" s="10" t="s">
        <v>22</v>
      </c>
      <c r="C484" s="10" t="s">
        <v>1044</v>
      </c>
      <c r="D484" s="10" t="s">
        <v>1045</v>
      </c>
      <c r="E484" s="10" t="s">
        <v>1046</v>
      </c>
      <c r="F484" s="10" t="s">
        <v>1047</v>
      </c>
      <c r="G484" s="11">
        <v>394</v>
      </c>
      <c r="H484" s="163" t="s">
        <v>1058</v>
      </c>
      <c r="I484" s="158" t="s">
        <v>1059</v>
      </c>
      <c r="J484" s="163" t="s">
        <v>1056</v>
      </c>
      <c r="K484" s="10" t="s">
        <v>40</v>
      </c>
      <c r="L484" s="10">
        <v>0</v>
      </c>
      <c r="M484" s="10">
        <f t="shared" si="28"/>
        <v>0</v>
      </c>
      <c r="N484" s="10">
        <v>5</v>
      </c>
      <c r="O484" s="12">
        <v>1</v>
      </c>
      <c r="P484" s="11">
        <v>657</v>
      </c>
      <c r="Q484" s="10" t="s">
        <v>36</v>
      </c>
      <c r="R484" s="4" t="s">
        <v>1291</v>
      </c>
      <c r="S484" s="4" t="s">
        <v>507</v>
      </c>
      <c r="T484" s="4" t="s">
        <v>19</v>
      </c>
      <c r="U484" s="4" t="str">
        <f t="shared" si="30"/>
        <v>NOT AN ADD-ON</v>
      </c>
      <c r="V484" s="4" t="str">
        <f t="shared" si="29"/>
        <v>SPATIALADD-ONAUTHORIZEDNOT AN ADD-ON</v>
      </c>
    </row>
    <row r="485" spans="1:22" ht="15" thickBot="1">
      <c r="A485" s="10" t="s">
        <v>21</v>
      </c>
      <c r="B485" s="10" t="s">
        <v>22</v>
      </c>
      <c r="C485" s="10" t="s">
        <v>1044</v>
      </c>
      <c r="D485" s="10" t="s">
        <v>1045</v>
      </c>
      <c r="E485" s="10" t="s">
        <v>1046</v>
      </c>
      <c r="F485" s="10" t="s">
        <v>1047</v>
      </c>
      <c r="G485" s="11">
        <v>132</v>
      </c>
      <c r="H485" s="163" t="s">
        <v>1060</v>
      </c>
      <c r="I485" s="158" t="s">
        <v>1061</v>
      </c>
      <c r="J485" s="163" t="s">
        <v>1062</v>
      </c>
      <c r="K485" s="10" t="s">
        <v>40</v>
      </c>
      <c r="L485" s="10">
        <v>0</v>
      </c>
      <c r="M485" s="10">
        <f t="shared" si="28"/>
        <v>0</v>
      </c>
      <c r="N485" s="10">
        <v>5</v>
      </c>
      <c r="O485" s="12">
        <v>1</v>
      </c>
      <c r="P485" s="11">
        <v>657</v>
      </c>
      <c r="Q485" s="10" t="s">
        <v>31</v>
      </c>
      <c r="R485" s="4" t="s">
        <v>1291</v>
      </c>
      <c r="S485" s="4" t="s">
        <v>507</v>
      </c>
      <c r="T485" s="4" t="s">
        <v>19</v>
      </c>
      <c r="U485" s="4" t="str">
        <f t="shared" si="30"/>
        <v>NOT AN ADD-ON</v>
      </c>
      <c r="V485" s="4" t="str">
        <f t="shared" si="29"/>
        <v>SPATIALADD-ONAUTHORIZEDNOT AN ADD-ON</v>
      </c>
    </row>
    <row r="486" spans="1:22" ht="29.25" customHeight="1" thickBot="1">
      <c r="A486" s="10" t="s">
        <v>21</v>
      </c>
      <c r="B486" s="10" t="s">
        <v>22</v>
      </c>
      <c r="C486" s="10" t="s">
        <v>1044</v>
      </c>
      <c r="D486" s="10" t="s">
        <v>1045</v>
      </c>
      <c r="E486" s="10" t="s">
        <v>1046</v>
      </c>
      <c r="F486" s="10" t="s">
        <v>1047</v>
      </c>
      <c r="G486" s="11">
        <v>657</v>
      </c>
      <c r="H486" s="163" t="s">
        <v>1062</v>
      </c>
      <c r="I486" s="158" t="s">
        <v>1063</v>
      </c>
      <c r="J486" s="163" t="s">
        <v>1062</v>
      </c>
      <c r="K486" s="10" t="s">
        <v>40</v>
      </c>
      <c r="L486" s="10">
        <v>0</v>
      </c>
      <c r="M486" s="10">
        <f t="shared" si="28"/>
        <v>0</v>
      </c>
      <c r="N486" s="10">
        <v>5</v>
      </c>
      <c r="O486" s="12">
        <v>1</v>
      </c>
      <c r="P486" s="11">
        <v>657</v>
      </c>
      <c r="Q486" s="10" t="s">
        <v>33</v>
      </c>
      <c r="R486" s="4" t="s">
        <v>1291</v>
      </c>
      <c r="S486" s="4" t="s">
        <v>507</v>
      </c>
      <c r="T486" s="4" t="s">
        <v>19</v>
      </c>
      <c r="U486" s="4" t="str">
        <f t="shared" si="30"/>
        <v>NOT AN ADD-ON</v>
      </c>
      <c r="V486" s="4" t="str">
        <f t="shared" si="29"/>
        <v>SPATIALADD-ONAUTHORIZEDNOT AN ADD-ON</v>
      </c>
    </row>
    <row r="487" spans="1:22" ht="15" thickBot="1">
      <c r="A487" s="10" t="s">
        <v>21</v>
      </c>
      <c r="B487" s="10" t="s">
        <v>22</v>
      </c>
      <c r="C487" s="10" t="s">
        <v>1044</v>
      </c>
      <c r="D487" s="10" t="s">
        <v>1045</v>
      </c>
      <c r="E487" s="10" t="s">
        <v>1046</v>
      </c>
      <c r="F487" s="10" t="s">
        <v>1047</v>
      </c>
      <c r="G487" s="11">
        <v>394</v>
      </c>
      <c r="H487" s="163" t="s">
        <v>1064</v>
      </c>
      <c r="I487" s="158" t="s">
        <v>1065</v>
      </c>
      <c r="J487" s="163" t="s">
        <v>1062</v>
      </c>
      <c r="K487" s="10" t="s">
        <v>40</v>
      </c>
      <c r="L487" s="10">
        <v>0</v>
      </c>
      <c r="M487" s="10">
        <f t="shared" si="28"/>
        <v>0</v>
      </c>
      <c r="N487" s="10">
        <v>5</v>
      </c>
      <c r="O487" s="12">
        <v>1</v>
      </c>
      <c r="P487" s="11">
        <v>657</v>
      </c>
      <c r="Q487" s="10" t="s">
        <v>36</v>
      </c>
      <c r="R487" s="4" t="s">
        <v>1291</v>
      </c>
      <c r="S487" s="4" t="s">
        <v>507</v>
      </c>
      <c r="T487" s="4" t="s">
        <v>19</v>
      </c>
      <c r="U487" s="4" t="str">
        <f t="shared" si="30"/>
        <v>NOT AN ADD-ON</v>
      </c>
      <c r="V487" s="4" t="str">
        <f t="shared" si="29"/>
        <v>SPATIALADD-ONAUTHORIZEDNOT AN ADD-ON</v>
      </c>
    </row>
    <row r="488" spans="1:22" ht="15" thickBot="1">
      <c r="A488" s="10" t="s">
        <v>21</v>
      </c>
      <c r="B488" s="10" t="s">
        <v>22</v>
      </c>
      <c r="C488" s="10" t="s">
        <v>1044</v>
      </c>
      <c r="D488" s="10" t="s">
        <v>1045</v>
      </c>
      <c r="E488" s="10" t="s">
        <v>1046</v>
      </c>
      <c r="F488" s="10" t="s">
        <v>1047</v>
      </c>
      <c r="G488" s="11">
        <v>141</v>
      </c>
      <c r="H488" s="163" t="s">
        <v>1066</v>
      </c>
      <c r="I488" s="166" t="s">
        <v>1067</v>
      </c>
      <c r="J488" s="163" t="s">
        <v>1062</v>
      </c>
      <c r="K488" s="10" t="s">
        <v>40</v>
      </c>
      <c r="L488" s="10">
        <v>0</v>
      </c>
      <c r="M488" s="10">
        <f t="shared" si="28"/>
        <v>0</v>
      </c>
      <c r="N488" s="10">
        <v>5</v>
      </c>
      <c r="O488" s="12">
        <v>1</v>
      </c>
      <c r="P488" s="11">
        <v>657</v>
      </c>
      <c r="Q488" s="10" t="s">
        <v>48</v>
      </c>
      <c r="R488" s="4" t="s">
        <v>1291</v>
      </c>
      <c r="S488" s="4" t="s">
        <v>507</v>
      </c>
      <c r="T488" s="4" t="s">
        <v>19</v>
      </c>
      <c r="U488" s="4" t="str">
        <f t="shared" si="30"/>
        <v>NOT AN ADD-ON</v>
      </c>
      <c r="V488" s="4" t="str">
        <f t="shared" si="29"/>
        <v>SPATIALADD-ONAUTHORIZEDNOT AN ADD-ON</v>
      </c>
    </row>
    <row r="489" spans="1:22" ht="15" thickBot="1">
      <c r="A489" s="10" t="s">
        <v>21</v>
      </c>
      <c r="B489" s="10" t="s">
        <v>22</v>
      </c>
      <c r="C489" s="10" t="s">
        <v>1044</v>
      </c>
      <c r="D489" s="10" t="s">
        <v>1045</v>
      </c>
      <c r="E489" s="10" t="s">
        <v>1046</v>
      </c>
      <c r="F489" s="10" t="s">
        <v>1047</v>
      </c>
      <c r="G489" s="11">
        <v>141</v>
      </c>
      <c r="H489" s="163" t="s">
        <v>1068</v>
      </c>
      <c r="I489" s="166" t="s">
        <v>1069</v>
      </c>
      <c r="J489" s="163" t="s">
        <v>1056</v>
      </c>
      <c r="K489" s="10" t="s">
        <v>40</v>
      </c>
      <c r="L489" s="10">
        <v>0</v>
      </c>
      <c r="M489" s="10">
        <f t="shared" si="28"/>
        <v>0</v>
      </c>
      <c r="N489" s="10">
        <v>5</v>
      </c>
      <c r="O489" s="12">
        <v>1</v>
      </c>
      <c r="P489" s="11">
        <v>657</v>
      </c>
      <c r="Q489" s="10" t="s">
        <v>48</v>
      </c>
      <c r="R489" s="4" t="s">
        <v>1291</v>
      </c>
      <c r="S489" s="4" t="s">
        <v>507</v>
      </c>
      <c r="T489" s="4" t="s">
        <v>19</v>
      </c>
      <c r="U489" s="4" t="str">
        <f t="shared" si="30"/>
        <v>NOT AN ADD-ON</v>
      </c>
      <c r="V489" s="4" t="str">
        <f t="shared" si="29"/>
        <v>SPATIALADD-ONAUTHORIZEDNOT AN ADD-ON</v>
      </c>
    </row>
    <row r="490" spans="1:22" ht="15" thickBot="1">
      <c r="A490" s="10" t="s">
        <v>21</v>
      </c>
      <c r="B490" s="10" t="s">
        <v>22</v>
      </c>
      <c r="C490" s="10" t="s">
        <v>1044</v>
      </c>
      <c r="D490" s="10" t="s">
        <v>1045</v>
      </c>
      <c r="E490" s="10" t="s">
        <v>1046</v>
      </c>
      <c r="F490" s="10" t="s">
        <v>1047</v>
      </c>
      <c r="G490" s="11">
        <v>43.1</v>
      </c>
      <c r="H490" s="163" t="s">
        <v>1070</v>
      </c>
      <c r="I490" s="158" t="s">
        <v>1071</v>
      </c>
      <c r="J490" s="163" t="s">
        <v>1072</v>
      </c>
      <c r="K490" s="10" t="s">
        <v>30</v>
      </c>
      <c r="L490" s="10">
        <v>0</v>
      </c>
      <c r="M490" s="10">
        <f t="shared" si="28"/>
        <v>0</v>
      </c>
      <c r="N490" s="10">
        <v>5</v>
      </c>
      <c r="O490" s="12">
        <v>1.6666666666666667</v>
      </c>
      <c r="P490" s="11">
        <v>215</v>
      </c>
      <c r="Q490" s="10" t="s">
        <v>31</v>
      </c>
      <c r="R490" s="4" t="s">
        <v>1291</v>
      </c>
      <c r="S490" s="4" t="s">
        <v>507</v>
      </c>
      <c r="T490" s="4" t="s">
        <v>19</v>
      </c>
      <c r="U490" s="4" t="str">
        <f t="shared" si="30"/>
        <v>NOT AN ADD-ON</v>
      </c>
      <c r="V490" s="4" t="str">
        <f t="shared" si="29"/>
        <v>SPATIALADD-ONAUTHORIZEDNOT AN ADD-ON</v>
      </c>
    </row>
    <row r="491" spans="1:22" ht="15" thickBot="1">
      <c r="A491" s="10" t="s">
        <v>21</v>
      </c>
      <c r="B491" s="10" t="s">
        <v>22</v>
      </c>
      <c r="C491" s="10" t="s">
        <v>1044</v>
      </c>
      <c r="D491" s="10" t="s">
        <v>1045</v>
      </c>
      <c r="E491" s="10" t="s">
        <v>1046</v>
      </c>
      <c r="F491" s="10" t="s">
        <v>1047</v>
      </c>
      <c r="G491" s="11">
        <v>215</v>
      </c>
      <c r="H491" s="163" t="s">
        <v>1072</v>
      </c>
      <c r="I491" s="158" t="s">
        <v>1073</v>
      </c>
      <c r="J491" s="163" t="s">
        <v>1072</v>
      </c>
      <c r="K491" s="10" t="s">
        <v>30</v>
      </c>
      <c r="L491" s="10">
        <v>0</v>
      </c>
      <c r="M491" s="10">
        <f t="shared" si="28"/>
        <v>0</v>
      </c>
      <c r="N491" s="10">
        <v>5</v>
      </c>
      <c r="O491" s="12">
        <v>1.6666666666666667</v>
      </c>
      <c r="P491" s="11">
        <v>215</v>
      </c>
      <c r="Q491" s="10" t="s">
        <v>33</v>
      </c>
      <c r="R491" s="4" t="s">
        <v>1291</v>
      </c>
      <c r="S491" s="4" t="s">
        <v>507</v>
      </c>
      <c r="T491" s="4" t="s">
        <v>19</v>
      </c>
      <c r="U491" s="4" t="str">
        <f t="shared" si="30"/>
        <v>NOT AN ADD-ON</v>
      </c>
      <c r="V491" s="4" t="str">
        <f t="shared" si="29"/>
        <v>SPATIALADD-ONAUTHORIZEDNOT AN ADD-ON</v>
      </c>
    </row>
    <row r="492" spans="1:22" ht="15" thickBot="1">
      <c r="A492" s="10" t="s">
        <v>21</v>
      </c>
      <c r="B492" s="10" t="s">
        <v>22</v>
      </c>
      <c r="C492" s="10" t="s">
        <v>1044</v>
      </c>
      <c r="D492" s="10" t="s">
        <v>1045</v>
      </c>
      <c r="E492" s="10" t="s">
        <v>1046</v>
      </c>
      <c r="F492" s="10" t="s">
        <v>1047</v>
      </c>
      <c r="G492" s="11">
        <v>130</v>
      </c>
      <c r="H492" s="163" t="s">
        <v>1074</v>
      </c>
      <c r="I492" s="158" t="s">
        <v>1075</v>
      </c>
      <c r="J492" s="163" t="s">
        <v>1072</v>
      </c>
      <c r="K492" s="10" t="s">
        <v>30</v>
      </c>
      <c r="L492" s="10">
        <v>0</v>
      </c>
      <c r="M492" s="10">
        <f t="shared" si="28"/>
        <v>0</v>
      </c>
      <c r="N492" s="10">
        <v>5</v>
      </c>
      <c r="O492" s="12">
        <v>1.6666666666666667</v>
      </c>
      <c r="P492" s="11">
        <v>215</v>
      </c>
      <c r="Q492" s="10" t="s">
        <v>36</v>
      </c>
      <c r="R492" s="4" t="s">
        <v>1291</v>
      </c>
      <c r="S492" s="4" t="s">
        <v>507</v>
      </c>
      <c r="T492" s="4" t="s">
        <v>19</v>
      </c>
      <c r="U492" s="4" t="str">
        <f t="shared" si="30"/>
        <v>NOT AN ADD-ON</v>
      </c>
      <c r="V492" s="4" t="str">
        <f t="shared" si="29"/>
        <v>SPATIALADD-ONAUTHORIZEDNOT AN ADD-ON</v>
      </c>
    </row>
    <row r="493" spans="1:22" ht="15" thickBot="1">
      <c r="A493" s="10" t="s">
        <v>21</v>
      </c>
      <c r="B493" s="10" t="s">
        <v>22</v>
      </c>
      <c r="C493" s="10" t="s">
        <v>1044</v>
      </c>
      <c r="D493" s="10" t="s">
        <v>1045</v>
      </c>
      <c r="E493" s="10" t="s">
        <v>1046</v>
      </c>
      <c r="F493" s="10" t="s">
        <v>1047</v>
      </c>
      <c r="G493" s="11">
        <v>7150</v>
      </c>
      <c r="H493" s="163" t="s">
        <v>1076</v>
      </c>
      <c r="I493" s="158" t="s">
        <v>1077</v>
      </c>
      <c r="J493" s="163" t="s">
        <v>1078</v>
      </c>
      <c r="K493" s="10" t="s">
        <v>1079</v>
      </c>
      <c r="L493" s="10">
        <v>20</v>
      </c>
      <c r="M493" s="10">
        <f t="shared" si="28"/>
        <v>20</v>
      </c>
      <c r="N493" s="10">
        <v>20</v>
      </c>
      <c r="O493" s="12">
        <v>1</v>
      </c>
      <c r="P493" s="11">
        <v>35700</v>
      </c>
      <c r="Q493" s="10" t="s">
        <v>31</v>
      </c>
      <c r="R493" s="4" t="s">
        <v>1291</v>
      </c>
      <c r="S493" s="4" t="s">
        <v>507</v>
      </c>
      <c r="T493" s="4" t="s">
        <v>1384</v>
      </c>
      <c r="U493" s="4" t="str">
        <f t="shared" si="30"/>
        <v>NOT AN ADD-ON</v>
      </c>
      <c r="V493" s="4" t="str">
        <f t="shared" si="29"/>
        <v>SPATIALADD-ONINSTALLNOT AN ADD-ON</v>
      </c>
    </row>
    <row r="494" spans="1:22" ht="15" thickBot="1">
      <c r="A494" s="10" t="s">
        <v>21</v>
      </c>
      <c r="B494" s="10" t="s">
        <v>22</v>
      </c>
      <c r="C494" s="10" t="s">
        <v>1044</v>
      </c>
      <c r="D494" s="10" t="s">
        <v>1045</v>
      </c>
      <c r="E494" s="10" t="s">
        <v>1046</v>
      </c>
      <c r="F494" s="10" t="s">
        <v>1047</v>
      </c>
      <c r="G494" s="11">
        <v>35700</v>
      </c>
      <c r="H494" s="163" t="s">
        <v>1078</v>
      </c>
      <c r="I494" s="158" t="s">
        <v>1080</v>
      </c>
      <c r="J494" s="163" t="s">
        <v>1078</v>
      </c>
      <c r="K494" s="10" t="s">
        <v>1079</v>
      </c>
      <c r="L494" s="10">
        <v>20</v>
      </c>
      <c r="M494" s="10">
        <f t="shared" si="28"/>
        <v>20</v>
      </c>
      <c r="N494" s="10">
        <v>20</v>
      </c>
      <c r="O494" s="12">
        <v>1</v>
      </c>
      <c r="P494" s="11">
        <v>35700</v>
      </c>
      <c r="Q494" s="10" t="s">
        <v>33</v>
      </c>
      <c r="R494" s="4" t="s">
        <v>1291</v>
      </c>
      <c r="S494" s="4" t="s">
        <v>507</v>
      </c>
      <c r="T494" s="4" t="s">
        <v>1384</v>
      </c>
      <c r="U494" s="4" t="str">
        <f t="shared" si="30"/>
        <v>NOT AN ADD-ON</v>
      </c>
      <c r="V494" s="4" t="str">
        <f t="shared" si="29"/>
        <v>SPATIALADD-ONINSTALLNOT AN ADD-ON</v>
      </c>
    </row>
    <row r="495" spans="1:22" ht="15" thickBot="1">
      <c r="A495" s="10" t="s">
        <v>21</v>
      </c>
      <c r="B495" s="10" t="s">
        <v>22</v>
      </c>
      <c r="C495" s="10" t="s">
        <v>1044</v>
      </c>
      <c r="D495" s="10" t="s">
        <v>1045</v>
      </c>
      <c r="E495" s="10" t="s">
        <v>1046</v>
      </c>
      <c r="F495" s="10" t="s">
        <v>1047</v>
      </c>
      <c r="G495" s="11">
        <v>21400</v>
      </c>
      <c r="H495" s="163" t="s">
        <v>1081</v>
      </c>
      <c r="I495" s="158" t="s">
        <v>1082</v>
      </c>
      <c r="J495" s="163" t="s">
        <v>1078</v>
      </c>
      <c r="K495" s="10" t="s">
        <v>1079</v>
      </c>
      <c r="L495" s="10">
        <v>20</v>
      </c>
      <c r="M495" s="10">
        <f t="shared" si="28"/>
        <v>20</v>
      </c>
      <c r="N495" s="10">
        <v>20</v>
      </c>
      <c r="O495" s="12">
        <v>1</v>
      </c>
      <c r="P495" s="11">
        <v>35700</v>
      </c>
      <c r="Q495" s="10" t="s">
        <v>36</v>
      </c>
      <c r="R495" s="4" t="s">
        <v>1291</v>
      </c>
      <c r="S495" s="4" t="s">
        <v>507</v>
      </c>
      <c r="T495" s="4" t="s">
        <v>1384</v>
      </c>
      <c r="U495" s="4" t="str">
        <f t="shared" si="30"/>
        <v>NOT AN ADD-ON</v>
      </c>
      <c r="V495" s="4" t="str">
        <f t="shared" si="29"/>
        <v>SPATIALADD-ONINSTALLNOT AN ADD-ON</v>
      </c>
    </row>
    <row r="496" spans="1:22" ht="15" thickBot="1">
      <c r="A496" s="10" t="s">
        <v>21</v>
      </c>
      <c r="B496" s="10" t="s">
        <v>22</v>
      </c>
      <c r="C496" s="10" t="s">
        <v>1044</v>
      </c>
      <c r="D496" s="10" t="s">
        <v>1045</v>
      </c>
      <c r="E496" s="10" t="s">
        <v>1046</v>
      </c>
      <c r="F496" s="10" t="s">
        <v>1047</v>
      </c>
      <c r="G496" s="11">
        <v>7150</v>
      </c>
      <c r="H496" s="163" t="s">
        <v>1083</v>
      </c>
      <c r="I496" s="158" t="s">
        <v>1084</v>
      </c>
      <c r="J496" s="163" t="s">
        <v>1085</v>
      </c>
      <c r="K496" s="10" t="s">
        <v>1079</v>
      </c>
      <c r="L496" s="10">
        <v>20</v>
      </c>
      <c r="M496" s="10">
        <f t="shared" si="28"/>
        <v>20</v>
      </c>
      <c r="N496" s="10">
        <v>20</v>
      </c>
      <c r="O496" s="12">
        <v>1</v>
      </c>
      <c r="P496" s="11">
        <v>35700</v>
      </c>
      <c r="Q496" s="10" t="s">
        <v>31</v>
      </c>
      <c r="R496" s="4" t="s">
        <v>1291</v>
      </c>
      <c r="S496" s="4" t="s">
        <v>507</v>
      </c>
      <c r="T496" s="4" t="s">
        <v>1384</v>
      </c>
      <c r="U496" s="4" t="str">
        <f t="shared" si="30"/>
        <v>NOT AN ADD-ON</v>
      </c>
      <c r="V496" s="4" t="str">
        <f t="shared" si="29"/>
        <v>SPATIALADD-ONINSTALLNOT AN ADD-ON</v>
      </c>
    </row>
    <row r="497" spans="1:22" ht="15" thickBot="1">
      <c r="A497" s="10" t="s">
        <v>21</v>
      </c>
      <c r="B497" s="10" t="s">
        <v>22</v>
      </c>
      <c r="C497" s="10" t="s">
        <v>1044</v>
      </c>
      <c r="D497" s="10" t="s">
        <v>1045</v>
      </c>
      <c r="E497" s="10" t="s">
        <v>1046</v>
      </c>
      <c r="F497" s="10" t="s">
        <v>1047</v>
      </c>
      <c r="G497" s="11">
        <v>35700</v>
      </c>
      <c r="H497" s="163" t="s">
        <v>1085</v>
      </c>
      <c r="I497" s="158" t="s">
        <v>1086</v>
      </c>
      <c r="J497" s="163" t="s">
        <v>1085</v>
      </c>
      <c r="K497" s="10" t="s">
        <v>1079</v>
      </c>
      <c r="L497" s="10">
        <v>20</v>
      </c>
      <c r="M497" s="10">
        <f t="shared" si="28"/>
        <v>20</v>
      </c>
      <c r="N497" s="10">
        <v>20</v>
      </c>
      <c r="O497" s="12">
        <v>1</v>
      </c>
      <c r="P497" s="11">
        <v>35700</v>
      </c>
      <c r="Q497" s="10" t="s">
        <v>33</v>
      </c>
      <c r="R497" s="4" t="s">
        <v>1291</v>
      </c>
      <c r="S497" s="4" t="s">
        <v>507</v>
      </c>
      <c r="T497" s="4" t="s">
        <v>1384</v>
      </c>
      <c r="U497" s="4" t="str">
        <f t="shared" si="30"/>
        <v>NOT AN ADD-ON</v>
      </c>
      <c r="V497" s="4" t="str">
        <f t="shared" si="29"/>
        <v>SPATIALADD-ONINSTALLNOT AN ADD-ON</v>
      </c>
    </row>
    <row r="498" spans="1:22" ht="15" thickBot="1">
      <c r="A498" s="10" t="s">
        <v>21</v>
      </c>
      <c r="B498" s="10" t="s">
        <v>22</v>
      </c>
      <c r="C498" s="10" t="s">
        <v>1044</v>
      </c>
      <c r="D498" s="10" t="s">
        <v>1045</v>
      </c>
      <c r="E498" s="10" t="s">
        <v>1046</v>
      </c>
      <c r="F498" s="10" t="s">
        <v>1047</v>
      </c>
      <c r="G498" s="11">
        <v>21400</v>
      </c>
      <c r="H498" s="163" t="s">
        <v>1087</v>
      </c>
      <c r="I498" s="158" t="s">
        <v>1088</v>
      </c>
      <c r="J498" s="163" t="s">
        <v>1085</v>
      </c>
      <c r="K498" s="10" t="s">
        <v>1079</v>
      </c>
      <c r="L498" s="10">
        <v>20</v>
      </c>
      <c r="M498" s="10">
        <f t="shared" si="28"/>
        <v>20</v>
      </c>
      <c r="N498" s="10">
        <v>20</v>
      </c>
      <c r="O498" s="12">
        <v>1</v>
      </c>
      <c r="P498" s="11">
        <v>35700</v>
      </c>
      <c r="Q498" s="10" t="s">
        <v>36</v>
      </c>
      <c r="R498" s="4" t="s">
        <v>1291</v>
      </c>
      <c r="S498" s="4" t="s">
        <v>507</v>
      </c>
      <c r="T498" s="4" t="s">
        <v>1384</v>
      </c>
      <c r="U498" s="4" t="str">
        <f t="shared" si="30"/>
        <v>NOT AN ADD-ON</v>
      </c>
      <c r="V498" s="4" t="str">
        <f t="shared" si="29"/>
        <v>SPATIALADD-ONINSTALLNOT AN ADD-ON</v>
      </c>
    </row>
    <row r="499" spans="1:22" ht="29.25" customHeight="1" thickBot="1">
      <c r="A499" s="10" t="s">
        <v>21</v>
      </c>
      <c r="B499" s="10" t="s">
        <v>1256</v>
      </c>
      <c r="C499" s="10" t="s">
        <v>1257</v>
      </c>
      <c r="D499" s="10" t="s">
        <v>1134</v>
      </c>
      <c r="E499" s="10" t="s">
        <v>1135</v>
      </c>
      <c r="F499" s="10" t="s">
        <v>1258</v>
      </c>
      <c r="G499" s="116">
        <v>874</v>
      </c>
      <c r="H499" s="163" t="s">
        <v>1259</v>
      </c>
      <c r="I499" s="166" t="s">
        <v>1260</v>
      </c>
      <c r="J499" s="163" t="s">
        <v>1261</v>
      </c>
      <c r="K499" s="10" t="s">
        <v>375</v>
      </c>
      <c r="L499" s="10">
        <v>10</v>
      </c>
      <c r="M499" s="10">
        <f t="shared" si="28"/>
        <v>10</v>
      </c>
      <c r="N499" s="10">
        <v>10</v>
      </c>
      <c r="O499" s="12">
        <v>1</v>
      </c>
      <c r="P499" s="116">
        <v>4370</v>
      </c>
      <c r="Q499" s="10" t="s">
        <v>31</v>
      </c>
      <c r="R499" s="4" t="s">
        <v>1393</v>
      </c>
      <c r="S499" s="4" t="s">
        <v>1393</v>
      </c>
      <c r="T499" s="4" t="s">
        <v>1382</v>
      </c>
      <c r="U499" s="4" t="str">
        <f t="shared" si="30"/>
        <v>NOT AN ADD-ON</v>
      </c>
      <c r="V499" s="4" t="str">
        <f t="shared" si="29"/>
        <v>APM ASSET HEALTH INSIGHTSAPM ASSET HEALTH INSIGHTSRESOURCE VALUENOT AN ADD-ON</v>
      </c>
    </row>
    <row r="500" spans="1:22" ht="29.25" customHeight="1" thickBot="1">
      <c r="A500" s="10" t="s">
        <v>21</v>
      </c>
      <c r="B500" s="10" t="s">
        <v>1256</v>
      </c>
      <c r="C500" s="10" t="s">
        <v>1257</v>
      </c>
      <c r="D500" s="10" t="s">
        <v>1134</v>
      </c>
      <c r="E500" s="10" t="s">
        <v>1135</v>
      </c>
      <c r="F500" s="10" t="s">
        <v>1258</v>
      </c>
      <c r="G500" s="116">
        <v>4370</v>
      </c>
      <c r="H500" s="163" t="s">
        <v>1261</v>
      </c>
      <c r="I500" s="158" t="s">
        <v>1262</v>
      </c>
      <c r="J500" s="163" t="s">
        <v>1261</v>
      </c>
      <c r="K500" s="10" t="s">
        <v>375</v>
      </c>
      <c r="L500" s="10">
        <v>10</v>
      </c>
      <c r="M500" s="10">
        <f t="shared" si="28"/>
        <v>10</v>
      </c>
      <c r="N500" s="10">
        <v>10</v>
      </c>
      <c r="O500" s="12">
        <v>1</v>
      </c>
      <c r="P500" s="116">
        <v>4370</v>
      </c>
      <c r="Q500" s="10" t="s">
        <v>33</v>
      </c>
      <c r="R500" s="4" t="s">
        <v>1393</v>
      </c>
      <c r="S500" s="4" t="s">
        <v>1393</v>
      </c>
      <c r="T500" s="4" t="s">
        <v>1382</v>
      </c>
      <c r="U500" s="4" t="str">
        <f t="shared" si="30"/>
        <v>NOT AN ADD-ON</v>
      </c>
      <c r="V500" s="4" t="str">
        <f t="shared" si="29"/>
        <v>APM ASSET HEALTH INSIGHTSAPM ASSET HEALTH INSIGHTSRESOURCE VALUENOT AN ADD-ON</v>
      </c>
    </row>
    <row r="501" spans="1:22" ht="29.25" customHeight="1" thickBot="1">
      <c r="A501" s="10" t="s">
        <v>21</v>
      </c>
      <c r="B501" s="10" t="s">
        <v>1256</v>
      </c>
      <c r="C501" s="10" t="s">
        <v>1257</v>
      </c>
      <c r="D501" s="10" t="s">
        <v>1134</v>
      </c>
      <c r="E501" s="10" t="s">
        <v>1135</v>
      </c>
      <c r="F501" s="10" t="s">
        <v>1258</v>
      </c>
      <c r="G501" s="116">
        <v>2620</v>
      </c>
      <c r="H501" s="163" t="s">
        <v>1263</v>
      </c>
      <c r="I501" s="166" t="s">
        <v>1264</v>
      </c>
      <c r="J501" s="163" t="s">
        <v>1261</v>
      </c>
      <c r="K501" s="10" t="s">
        <v>375</v>
      </c>
      <c r="L501" s="10">
        <v>10</v>
      </c>
      <c r="M501" s="10">
        <f t="shared" si="28"/>
        <v>10</v>
      </c>
      <c r="N501" s="10">
        <v>10</v>
      </c>
      <c r="O501" s="12">
        <v>1</v>
      </c>
      <c r="P501" s="116">
        <v>4370</v>
      </c>
      <c r="Q501" s="10" t="s">
        <v>36</v>
      </c>
      <c r="R501" s="4" t="s">
        <v>1393</v>
      </c>
      <c r="S501" s="4" t="s">
        <v>1393</v>
      </c>
      <c r="T501" s="4" t="s">
        <v>1382</v>
      </c>
      <c r="U501" s="4" t="str">
        <f t="shared" si="30"/>
        <v>NOT AN ADD-ON</v>
      </c>
      <c r="V501" s="4" t="str">
        <f t="shared" si="29"/>
        <v>APM ASSET HEALTH INSIGHTSAPM ASSET HEALTH INSIGHTSRESOURCE VALUENOT AN ADD-ON</v>
      </c>
    </row>
    <row r="502" spans="1:22" ht="29.25" customHeight="1" thickBot="1">
      <c r="A502" s="10" t="s">
        <v>21</v>
      </c>
      <c r="B502" s="10" t="s">
        <v>1256</v>
      </c>
      <c r="C502" s="10" t="s">
        <v>1257</v>
      </c>
      <c r="D502" s="10" t="s">
        <v>1134</v>
      </c>
      <c r="E502" s="10" t="s">
        <v>1135</v>
      </c>
      <c r="F502" s="10" t="s">
        <v>1258</v>
      </c>
      <c r="G502" s="116">
        <v>874</v>
      </c>
      <c r="H502" s="163" t="s">
        <v>1265</v>
      </c>
      <c r="I502" s="158" t="s">
        <v>1266</v>
      </c>
      <c r="J502" s="163" t="s">
        <v>1267</v>
      </c>
      <c r="K502" s="10" t="s">
        <v>375</v>
      </c>
      <c r="L502" s="10">
        <v>10</v>
      </c>
      <c r="M502" s="10">
        <f t="shared" si="28"/>
        <v>10</v>
      </c>
      <c r="N502" s="10">
        <v>10</v>
      </c>
      <c r="O502" s="12">
        <v>1</v>
      </c>
      <c r="P502" s="116">
        <v>4370</v>
      </c>
      <c r="Q502" s="10" t="s">
        <v>31</v>
      </c>
      <c r="R502" s="4" t="s">
        <v>1393</v>
      </c>
      <c r="S502" s="4" t="s">
        <v>1393</v>
      </c>
      <c r="T502" s="4" t="s">
        <v>1382</v>
      </c>
      <c r="U502" s="4" t="str">
        <f t="shared" si="30"/>
        <v>NOT AN ADD-ON</v>
      </c>
      <c r="V502" s="4" t="str">
        <f t="shared" si="29"/>
        <v>APM ASSET HEALTH INSIGHTSAPM ASSET HEALTH INSIGHTSRESOURCE VALUENOT AN ADD-ON</v>
      </c>
    </row>
    <row r="503" spans="1:22" ht="29.25" customHeight="1" thickBot="1">
      <c r="A503" s="10" t="s">
        <v>21</v>
      </c>
      <c r="B503" s="10" t="s">
        <v>1256</v>
      </c>
      <c r="C503" s="10" t="s">
        <v>1257</v>
      </c>
      <c r="D503" s="10" t="s">
        <v>1134</v>
      </c>
      <c r="E503" s="10" t="s">
        <v>1135</v>
      </c>
      <c r="F503" s="10" t="s">
        <v>1258</v>
      </c>
      <c r="G503" s="116">
        <v>4370</v>
      </c>
      <c r="H503" s="163" t="s">
        <v>1267</v>
      </c>
      <c r="I503" s="158" t="s">
        <v>1268</v>
      </c>
      <c r="J503" s="163" t="s">
        <v>1267</v>
      </c>
      <c r="K503" s="10" t="s">
        <v>375</v>
      </c>
      <c r="L503" s="10">
        <v>10</v>
      </c>
      <c r="M503" s="10">
        <f t="shared" si="28"/>
        <v>10</v>
      </c>
      <c r="N503" s="10">
        <v>10</v>
      </c>
      <c r="O503" s="12">
        <v>100</v>
      </c>
      <c r="P503" s="116">
        <v>4370</v>
      </c>
      <c r="Q503" s="10" t="s">
        <v>33</v>
      </c>
      <c r="R503" s="4" t="s">
        <v>1393</v>
      </c>
      <c r="S503" s="4" t="s">
        <v>1393</v>
      </c>
      <c r="T503" s="4" t="s">
        <v>1382</v>
      </c>
      <c r="U503" s="4" t="str">
        <f t="shared" si="30"/>
        <v>NOT AN ADD-ON</v>
      </c>
      <c r="V503" s="4" t="str">
        <f t="shared" si="29"/>
        <v>APM ASSET HEALTH INSIGHTSAPM ASSET HEALTH INSIGHTSRESOURCE VALUENOT AN ADD-ON</v>
      </c>
    </row>
    <row r="504" spans="1:22" ht="29.25" customHeight="1" thickBot="1">
      <c r="A504" s="10" t="s">
        <v>21</v>
      </c>
      <c r="B504" s="10" t="s">
        <v>1256</v>
      </c>
      <c r="C504" s="10" t="s">
        <v>1257</v>
      </c>
      <c r="D504" s="10" t="s">
        <v>1134</v>
      </c>
      <c r="E504" s="10" t="s">
        <v>1135</v>
      </c>
      <c r="F504" s="10" t="s">
        <v>1258</v>
      </c>
      <c r="G504" s="116">
        <v>2620</v>
      </c>
      <c r="H504" s="163" t="s">
        <v>1269</v>
      </c>
      <c r="I504" s="158" t="s">
        <v>1270</v>
      </c>
      <c r="J504" s="163" t="s">
        <v>1267</v>
      </c>
      <c r="K504" s="10" t="s">
        <v>375</v>
      </c>
      <c r="L504" s="10">
        <v>10</v>
      </c>
      <c r="M504" s="10">
        <f t="shared" si="28"/>
        <v>10</v>
      </c>
      <c r="N504" s="10">
        <v>10</v>
      </c>
      <c r="O504" s="12">
        <v>1</v>
      </c>
      <c r="P504" s="116">
        <v>4370</v>
      </c>
      <c r="Q504" s="10" t="s">
        <v>36</v>
      </c>
      <c r="R504" s="4" t="s">
        <v>1393</v>
      </c>
      <c r="S504" s="4" t="s">
        <v>1393</v>
      </c>
      <c r="T504" s="4" t="s">
        <v>1382</v>
      </c>
      <c r="U504" s="4" t="str">
        <f t="shared" si="30"/>
        <v>NOT AN ADD-ON</v>
      </c>
      <c r="V504" s="4" t="str">
        <f t="shared" si="29"/>
        <v>APM ASSET HEALTH INSIGHTSAPM ASSET HEALTH INSIGHTSRESOURCE VALUENOT AN ADD-ON</v>
      </c>
    </row>
    <row r="505" spans="1:22" ht="15" thickBot="1">
      <c r="A505" s="10" t="s">
        <v>1448</v>
      </c>
      <c r="B505" s="10" t="s">
        <v>1448</v>
      </c>
      <c r="C505" s="10" t="s">
        <v>1449</v>
      </c>
      <c r="D505" s="10"/>
      <c r="E505" s="10" t="s">
        <v>1445</v>
      </c>
      <c r="F505" s="10" t="s">
        <v>1443</v>
      </c>
      <c r="G505" s="155">
        <v>500000</v>
      </c>
      <c r="H505" s="193" t="s">
        <v>1444</v>
      </c>
      <c r="I505" s="195" t="s">
        <v>1464</v>
      </c>
      <c r="J505" s="193" t="s">
        <v>1444</v>
      </c>
      <c r="K505" s="10" t="s">
        <v>1446</v>
      </c>
      <c r="L505" s="10">
        <v>175</v>
      </c>
      <c r="M505" s="10">
        <v>1</v>
      </c>
      <c r="N505" s="198">
        <v>175</v>
      </c>
      <c r="O505" s="12">
        <v>1</v>
      </c>
      <c r="P505" s="155">
        <v>500000</v>
      </c>
      <c r="Q505" s="198" t="s">
        <v>33</v>
      </c>
      <c r="R505" s="4" t="s">
        <v>1447</v>
      </c>
      <c r="S505" s="4" t="s">
        <v>1447</v>
      </c>
      <c r="T505" s="4" t="s">
        <v>1446</v>
      </c>
      <c r="U505" s="4" t="str">
        <f t="shared" si="30"/>
        <v>NOT AN ADD-ON</v>
      </c>
      <c r="V505" s="4" t="str">
        <f t="shared" si="29"/>
        <v>Visual InspectionsVisual Inspectionsper vServerNOT AN ADD-ON</v>
      </c>
    </row>
    <row r="506" spans="1:22" ht="16" thickBot="1">
      <c r="A506" s="10" t="s">
        <v>1488</v>
      </c>
      <c r="B506" s="10" t="s">
        <v>1488</v>
      </c>
      <c r="C506" s="10" t="s">
        <v>1489</v>
      </c>
      <c r="D506" s="10"/>
      <c r="E506" s="10" t="s">
        <v>1487</v>
      </c>
      <c r="F506" s="10" t="s">
        <v>1486</v>
      </c>
      <c r="G506" s="192"/>
      <c r="H506" s="194" t="s">
        <v>1193</v>
      </c>
      <c r="I506" s="196" t="s">
        <v>1194</v>
      </c>
      <c r="J506" s="194" t="s">
        <v>1193</v>
      </c>
      <c r="K506" s="197" t="s">
        <v>1437</v>
      </c>
      <c r="L506" s="201">
        <v>5</v>
      </c>
      <c r="M506" s="199">
        <v>5</v>
      </c>
      <c r="N506" s="202">
        <v>5</v>
      </c>
      <c r="O506" s="17">
        <v>1</v>
      </c>
      <c r="P506" s="192"/>
      <c r="Q506" s="66" t="s">
        <v>31</v>
      </c>
      <c r="R506" s="59" t="s">
        <v>1489</v>
      </c>
      <c r="S506" s="59" t="s">
        <v>1489</v>
      </c>
      <c r="T506" s="4" t="s">
        <v>1437</v>
      </c>
      <c r="U506" s="4" t="str">
        <f t="shared" si="30"/>
        <v>NOT AN ADD-ON</v>
      </c>
      <c r="V506" s="4" t="str">
        <f t="shared" si="29"/>
        <v>EMAEMAVPCNOT AN ADD-ON</v>
      </c>
    </row>
    <row r="507" spans="1:22" ht="16" thickBot="1">
      <c r="A507" s="10" t="s">
        <v>1488</v>
      </c>
      <c r="B507" s="10" t="s">
        <v>1488</v>
      </c>
      <c r="C507" s="10" t="s">
        <v>1489</v>
      </c>
      <c r="D507" s="10"/>
      <c r="E507" s="10" t="s">
        <v>1487</v>
      </c>
      <c r="F507" s="10" t="s">
        <v>1486</v>
      </c>
      <c r="G507" s="192"/>
      <c r="H507" s="194" t="s">
        <v>1195</v>
      </c>
      <c r="I507" s="196" t="s">
        <v>1196</v>
      </c>
      <c r="J507" s="194" t="s">
        <v>1195</v>
      </c>
      <c r="K507" s="197" t="s">
        <v>1437</v>
      </c>
      <c r="L507" s="201">
        <v>5</v>
      </c>
      <c r="M507" s="199">
        <v>5</v>
      </c>
      <c r="N507" s="202">
        <v>5</v>
      </c>
      <c r="O507" s="17">
        <v>1</v>
      </c>
      <c r="P507" s="192"/>
      <c r="Q507" s="66" t="s">
        <v>33</v>
      </c>
      <c r="R507" s="59" t="s">
        <v>1489</v>
      </c>
      <c r="S507" s="59" t="s">
        <v>1489</v>
      </c>
      <c r="T507" s="4" t="s">
        <v>1437</v>
      </c>
      <c r="U507" s="4" t="str">
        <f t="shared" si="30"/>
        <v>NOT AN ADD-ON</v>
      </c>
      <c r="V507" s="4" t="str">
        <f t="shared" si="29"/>
        <v>EMAEMAVPCNOT AN ADD-ON</v>
      </c>
    </row>
    <row r="508" spans="1:22" ht="16" thickBot="1">
      <c r="A508" s="10" t="s">
        <v>1488</v>
      </c>
      <c r="B508" s="10" t="s">
        <v>1488</v>
      </c>
      <c r="C508" s="10" t="s">
        <v>1489</v>
      </c>
      <c r="D508" s="10"/>
      <c r="E508" s="10" t="s">
        <v>1487</v>
      </c>
      <c r="F508" s="10" t="s">
        <v>1486</v>
      </c>
      <c r="G508" s="192"/>
      <c r="H508" s="194" t="s">
        <v>1212</v>
      </c>
      <c r="I508" s="196" t="s">
        <v>1213</v>
      </c>
      <c r="J508" s="194" t="s">
        <v>1212</v>
      </c>
      <c r="K508" s="197" t="s">
        <v>1490</v>
      </c>
      <c r="L508" s="201">
        <v>150</v>
      </c>
      <c r="M508" s="199">
        <v>1</v>
      </c>
      <c r="N508" s="202">
        <v>150</v>
      </c>
      <c r="O508" s="17">
        <v>1</v>
      </c>
      <c r="P508" s="192"/>
      <c r="Q508" s="66" t="s">
        <v>31</v>
      </c>
      <c r="R508" s="59" t="s">
        <v>1489</v>
      </c>
      <c r="S508" s="59" t="s">
        <v>1489</v>
      </c>
      <c r="T508" s="4" t="s">
        <v>1490</v>
      </c>
      <c r="U508" s="4" t="str">
        <f t="shared" si="30"/>
        <v>NOT AN ADD-ON</v>
      </c>
      <c r="V508" s="4" t="str">
        <f t="shared" si="29"/>
        <v>EMAEMARVUNOT AN ADD-ON</v>
      </c>
    </row>
    <row r="509" spans="1:22" ht="16" thickBot="1">
      <c r="A509" s="10" t="s">
        <v>1488</v>
      </c>
      <c r="B509" s="10" t="s">
        <v>1488</v>
      </c>
      <c r="C509" s="10" t="s">
        <v>1489</v>
      </c>
      <c r="D509" s="10"/>
      <c r="E509" s="10" t="s">
        <v>1487</v>
      </c>
      <c r="F509" s="10" t="s">
        <v>1486</v>
      </c>
      <c r="G509" s="192"/>
      <c r="H509" s="194" t="s">
        <v>1214</v>
      </c>
      <c r="I509" s="196" t="s">
        <v>1215</v>
      </c>
      <c r="J509" s="194" t="s">
        <v>1214</v>
      </c>
      <c r="K509" s="197" t="s">
        <v>1490</v>
      </c>
      <c r="L509" s="201">
        <v>150</v>
      </c>
      <c r="M509" s="199">
        <v>1</v>
      </c>
      <c r="N509" s="202">
        <v>150</v>
      </c>
      <c r="O509" s="17">
        <v>1</v>
      </c>
      <c r="P509" s="192"/>
      <c r="Q509" s="66" t="s">
        <v>33</v>
      </c>
      <c r="R509" s="59" t="s">
        <v>1489</v>
      </c>
      <c r="S509" s="59" t="s">
        <v>1489</v>
      </c>
      <c r="T509" s="4" t="s">
        <v>1490</v>
      </c>
      <c r="U509" s="4" t="str">
        <f t="shared" si="30"/>
        <v>NOT AN ADD-ON</v>
      </c>
      <c r="V509" s="4" t="str">
        <f t="shared" si="29"/>
        <v>EMAEMARVUNOT AN ADD-ON</v>
      </c>
    </row>
    <row r="510" spans="1:22" ht="15" thickBot="1">
      <c r="A510" s="10" t="s">
        <v>1089</v>
      </c>
      <c r="B510" s="10" t="s">
        <v>1090</v>
      </c>
      <c r="C510" s="10" t="s">
        <v>1091</v>
      </c>
      <c r="D510" s="10" t="s">
        <v>1092</v>
      </c>
      <c r="E510" s="10" t="s">
        <v>1093</v>
      </c>
      <c r="F510" s="10" t="s">
        <v>1094</v>
      </c>
      <c r="G510" s="116">
        <v>1550</v>
      </c>
      <c r="H510" s="163" t="s">
        <v>1095</v>
      </c>
      <c r="I510" s="158" t="s">
        <v>1096</v>
      </c>
      <c r="J510" s="163" t="s">
        <v>1097</v>
      </c>
      <c r="K510" s="10" t="s">
        <v>1491</v>
      </c>
      <c r="L510" s="201">
        <v>180</v>
      </c>
      <c r="M510" s="199">
        <v>1</v>
      </c>
      <c r="N510" s="201">
        <v>180</v>
      </c>
      <c r="O510" s="17">
        <v>1</v>
      </c>
      <c r="P510" s="116">
        <v>7730</v>
      </c>
      <c r="Q510" s="10" t="s">
        <v>31</v>
      </c>
      <c r="R510" s="4" t="s">
        <v>1385</v>
      </c>
      <c r="S510" s="4" t="s">
        <v>1385</v>
      </c>
      <c r="T510" s="4" t="s">
        <v>1491</v>
      </c>
      <c r="U510" s="4" t="str">
        <f t="shared" ref="U510:U579" si="31">IF(ISNUMBER(SEARCH("ADD-ON",$I510)),"ADD-ON","NOT AN ADD-ON")</f>
        <v>NOT AN ADD-ON</v>
      </c>
      <c r="V510" s="4" t="str">
        <f t="shared" ref="V510:V579" si="32">CONCATENATE(R510,S510,T510,U510)</f>
        <v>APM FOR E&amp;UAPM FOR E&amp;UEU RVUNOT AN ADD-ON</v>
      </c>
    </row>
    <row r="511" spans="1:22" ht="15" thickBot="1">
      <c r="A511" s="10" t="s">
        <v>1089</v>
      </c>
      <c r="B511" s="10" t="s">
        <v>1090</v>
      </c>
      <c r="C511" s="10" t="s">
        <v>1091</v>
      </c>
      <c r="D511" s="10" t="s">
        <v>1092</v>
      </c>
      <c r="E511" s="10" t="s">
        <v>1093</v>
      </c>
      <c r="F511" s="10" t="s">
        <v>1094</v>
      </c>
      <c r="G511" s="116">
        <v>7730</v>
      </c>
      <c r="H511" s="163" t="s">
        <v>1097</v>
      </c>
      <c r="I511" s="158" t="s">
        <v>1098</v>
      </c>
      <c r="J511" s="163" t="s">
        <v>1097</v>
      </c>
      <c r="K511" s="10" t="s">
        <v>1491</v>
      </c>
      <c r="L511" s="201">
        <v>180</v>
      </c>
      <c r="M511" s="10">
        <v>1</v>
      </c>
      <c r="N511" s="201">
        <v>180</v>
      </c>
      <c r="O511" s="17">
        <v>1</v>
      </c>
      <c r="P511" s="116">
        <v>7730</v>
      </c>
      <c r="Q511" s="10" t="s">
        <v>33</v>
      </c>
      <c r="R511" s="4" t="s">
        <v>1385</v>
      </c>
      <c r="S511" s="4" t="s">
        <v>1385</v>
      </c>
      <c r="T511" s="4" t="s">
        <v>1491</v>
      </c>
      <c r="U511" s="4" t="str">
        <f t="shared" si="31"/>
        <v>NOT AN ADD-ON</v>
      </c>
      <c r="V511" s="4" t="str">
        <f t="shared" si="32"/>
        <v>APM FOR E&amp;UAPM FOR E&amp;UEU RVUNOT AN ADD-ON</v>
      </c>
    </row>
    <row r="512" spans="1:22" ht="15" thickBot="1">
      <c r="A512" s="10" t="s">
        <v>1089</v>
      </c>
      <c r="B512" s="10" t="s">
        <v>1090</v>
      </c>
      <c r="C512" s="10" t="s">
        <v>1091</v>
      </c>
      <c r="D512" s="10" t="s">
        <v>1092</v>
      </c>
      <c r="E512" s="10" t="s">
        <v>1093</v>
      </c>
      <c r="F512" s="10" t="s">
        <v>1094</v>
      </c>
      <c r="G512" s="116">
        <v>4640</v>
      </c>
      <c r="H512" s="163" t="s">
        <v>1099</v>
      </c>
      <c r="I512" s="158" t="s">
        <v>1100</v>
      </c>
      <c r="J512" s="163" t="s">
        <v>1097</v>
      </c>
      <c r="K512" s="10" t="s">
        <v>1491</v>
      </c>
      <c r="L512" s="201">
        <v>180</v>
      </c>
      <c r="M512" s="10">
        <v>1</v>
      </c>
      <c r="N512" s="201">
        <v>180</v>
      </c>
      <c r="O512" s="17">
        <v>1</v>
      </c>
      <c r="P512" s="116">
        <v>7730</v>
      </c>
      <c r="Q512" s="10" t="s">
        <v>36</v>
      </c>
      <c r="R512" s="4" t="s">
        <v>1385</v>
      </c>
      <c r="S512" s="4" t="s">
        <v>1385</v>
      </c>
      <c r="T512" s="4" t="s">
        <v>1491</v>
      </c>
      <c r="U512" s="4" t="str">
        <f t="shared" si="31"/>
        <v>NOT AN ADD-ON</v>
      </c>
      <c r="V512" s="4" t="str">
        <f t="shared" si="32"/>
        <v>APM FOR E&amp;UAPM FOR E&amp;UEU RVUNOT AN ADD-ON</v>
      </c>
    </row>
    <row r="513" spans="1:22" ht="15" thickBot="1">
      <c r="A513" s="10" t="s">
        <v>1089</v>
      </c>
      <c r="B513" s="10" t="s">
        <v>1090</v>
      </c>
      <c r="C513" s="10" t="s">
        <v>1091</v>
      </c>
      <c r="D513" s="10" t="s">
        <v>1092</v>
      </c>
      <c r="E513" s="10" t="s">
        <v>1093</v>
      </c>
      <c r="F513" s="10" t="s">
        <v>1094</v>
      </c>
      <c r="G513" s="116">
        <v>36.1</v>
      </c>
      <c r="H513" s="163" t="s">
        <v>1101</v>
      </c>
      <c r="I513" s="158" t="s">
        <v>1102</v>
      </c>
      <c r="J513" s="163" t="s">
        <v>1103</v>
      </c>
      <c r="K513" s="10" t="s">
        <v>1104</v>
      </c>
      <c r="L513" s="201">
        <v>0</v>
      </c>
      <c r="M513" s="10">
        <v>0</v>
      </c>
      <c r="N513" s="201">
        <v>0</v>
      </c>
      <c r="O513" s="17">
        <v>1</v>
      </c>
      <c r="P513" s="116">
        <v>180</v>
      </c>
      <c r="Q513" s="10" t="s">
        <v>31</v>
      </c>
      <c r="R513" s="4" t="s">
        <v>1385</v>
      </c>
      <c r="S513" s="4" t="s">
        <v>1385</v>
      </c>
      <c r="T513" s="4" t="s">
        <v>672</v>
      </c>
      <c r="U513" s="4" t="str">
        <f t="shared" si="31"/>
        <v>NOT AN ADD-ON</v>
      </c>
      <c r="V513" s="4" t="str">
        <f t="shared" si="32"/>
        <v>APM FOR E&amp;UAPM FOR E&amp;ULIMITEDNOT AN ADD-ON</v>
      </c>
    </row>
    <row r="514" spans="1:22" ht="15" thickBot="1">
      <c r="A514" s="10" t="s">
        <v>1089</v>
      </c>
      <c r="B514" s="10" t="s">
        <v>1090</v>
      </c>
      <c r="C514" s="10" t="s">
        <v>1091</v>
      </c>
      <c r="D514" s="10" t="s">
        <v>1092</v>
      </c>
      <c r="E514" s="10" t="s">
        <v>1093</v>
      </c>
      <c r="F514" s="10" t="s">
        <v>1094</v>
      </c>
      <c r="G514" s="116">
        <v>180</v>
      </c>
      <c r="H514" s="163" t="s">
        <v>1103</v>
      </c>
      <c r="I514" s="158" t="s">
        <v>1105</v>
      </c>
      <c r="J514" s="163" t="s">
        <v>1103</v>
      </c>
      <c r="K514" s="10" t="s">
        <v>1104</v>
      </c>
      <c r="L514" s="201">
        <v>0</v>
      </c>
      <c r="M514" s="10">
        <v>0</v>
      </c>
      <c r="N514" s="201">
        <v>0</v>
      </c>
      <c r="O514" s="17">
        <v>1</v>
      </c>
      <c r="P514" s="116">
        <v>180</v>
      </c>
      <c r="Q514" s="10" t="s">
        <v>33</v>
      </c>
      <c r="R514" s="4" t="s">
        <v>1385</v>
      </c>
      <c r="S514" s="4" t="s">
        <v>1385</v>
      </c>
      <c r="T514" s="4" t="s">
        <v>672</v>
      </c>
      <c r="U514" s="4" t="str">
        <f t="shared" si="31"/>
        <v>NOT AN ADD-ON</v>
      </c>
      <c r="V514" s="4" t="str">
        <f t="shared" si="32"/>
        <v>APM FOR E&amp;UAPM FOR E&amp;ULIMITEDNOT AN ADD-ON</v>
      </c>
    </row>
    <row r="515" spans="1:22" ht="15" thickBot="1">
      <c r="A515" s="10" t="s">
        <v>1089</v>
      </c>
      <c r="B515" s="10" t="s">
        <v>1090</v>
      </c>
      <c r="C515" s="10" t="s">
        <v>1091</v>
      </c>
      <c r="D515" s="10" t="s">
        <v>1092</v>
      </c>
      <c r="E515" s="10" t="s">
        <v>1093</v>
      </c>
      <c r="F515" s="10" t="s">
        <v>1094</v>
      </c>
      <c r="G515" s="116">
        <v>108</v>
      </c>
      <c r="H515" s="163" t="s">
        <v>1106</v>
      </c>
      <c r="I515" s="158" t="s">
        <v>1107</v>
      </c>
      <c r="J515" s="163" t="s">
        <v>1103</v>
      </c>
      <c r="K515" s="10" t="s">
        <v>1104</v>
      </c>
      <c r="L515" s="201">
        <v>0</v>
      </c>
      <c r="M515" s="10">
        <v>0</v>
      </c>
      <c r="N515" s="201">
        <v>0</v>
      </c>
      <c r="O515" s="17">
        <v>1</v>
      </c>
      <c r="P515" s="116">
        <v>180</v>
      </c>
      <c r="Q515" s="10" t="s">
        <v>36</v>
      </c>
      <c r="R515" s="4" t="s">
        <v>1385</v>
      </c>
      <c r="S515" s="4" t="s">
        <v>1385</v>
      </c>
      <c r="T515" s="4" t="s">
        <v>672</v>
      </c>
      <c r="U515" s="4" t="str">
        <f t="shared" si="31"/>
        <v>NOT AN ADD-ON</v>
      </c>
      <c r="V515" s="4" t="str">
        <f t="shared" si="32"/>
        <v>APM FOR E&amp;UAPM FOR E&amp;ULIMITEDNOT AN ADD-ON</v>
      </c>
    </row>
    <row r="516" spans="1:22" ht="15" thickBot="1">
      <c r="A516" s="10" t="s">
        <v>1089</v>
      </c>
      <c r="B516" s="10" t="s">
        <v>1090</v>
      </c>
      <c r="C516" s="10" t="s">
        <v>1091</v>
      </c>
      <c r="D516" s="10" t="s">
        <v>1092</v>
      </c>
      <c r="E516" s="10" t="s">
        <v>1093</v>
      </c>
      <c r="F516" s="10" t="s">
        <v>1094</v>
      </c>
      <c r="G516" s="116">
        <v>20900</v>
      </c>
      <c r="H516" s="163" t="s">
        <v>1108</v>
      </c>
      <c r="I516" s="158" t="s">
        <v>1109</v>
      </c>
      <c r="J516" s="163" t="s">
        <v>1110</v>
      </c>
      <c r="K516" s="10" t="s">
        <v>30</v>
      </c>
      <c r="L516" s="201">
        <v>15</v>
      </c>
      <c r="M516" s="10">
        <v>15</v>
      </c>
      <c r="N516" s="201">
        <v>15</v>
      </c>
      <c r="O516" s="12">
        <v>1</v>
      </c>
      <c r="P516" s="116">
        <v>104000</v>
      </c>
      <c r="Q516" s="10" t="s">
        <v>31</v>
      </c>
      <c r="R516" s="4" t="s">
        <v>1385</v>
      </c>
      <c r="S516" s="4" t="s">
        <v>1385</v>
      </c>
      <c r="T516" s="4" t="s">
        <v>19</v>
      </c>
      <c r="U516" s="4" t="str">
        <f t="shared" si="31"/>
        <v>NOT AN ADD-ON</v>
      </c>
      <c r="V516" s="4" t="str">
        <f t="shared" si="32"/>
        <v>APM FOR E&amp;UAPM FOR E&amp;UAUTHORIZEDNOT AN ADD-ON</v>
      </c>
    </row>
    <row r="517" spans="1:22" ht="15" thickBot="1">
      <c r="A517" s="10" t="s">
        <v>1089</v>
      </c>
      <c r="B517" s="10" t="s">
        <v>1090</v>
      </c>
      <c r="C517" s="10" t="s">
        <v>1091</v>
      </c>
      <c r="D517" s="10" t="s">
        <v>1092</v>
      </c>
      <c r="E517" s="10" t="s">
        <v>1093</v>
      </c>
      <c r="F517" s="10" t="s">
        <v>1094</v>
      </c>
      <c r="G517" s="116">
        <v>104000</v>
      </c>
      <c r="H517" s="163" t="s">
        <v>1110</v>
      </c>
      <c r="I517" s="158" t="s">
        <v>1111</v>
      </c>
      <c r="J517" s="163" t="s">
        <v>1110</v>
      </c>
      <c r="K517" s="10" t="s">
        <v>30</v>
      </c>
      <c r="L517" s="201">
        <v>15</v>
      </c>
      <c r="M517" s="10">
        <v>15</v>
      </c>
      <c r="N517" s="201">
        <v>15</v>
      </c>
      <c r="O517" s="12">
        <v>1</v>
      </c>
      <c r="P517" s="116">
        <v>104000</v>
      </c>
      <c r="Q517" s="10" t="s">
        <v>33</v>
      </c>
      <c r="R517" s="4" t="s">
        <v>1385</v>
      </c>
      <c r="S517" s="4" t="s">
        <v>1385</v>
      </c>
      <c r="T517" s="4" t="s">
        <v>19</v>
      </c>
      <c r="U517" s="4" t="str">
        <f t="shared" si="31"/>
        <v>NOT AN ADD-ON</v>
      </c>
      <c r="V517" s="4" t="str">
        <f t="shared" si="32"/>
        <v>APM FOR E&amp;UAPM FOR E&amp;UAUTHORIZEDNOT AN ADD-ON</v>
      </c>
    </row>
    <row r="518" spans="1:22" ht="15" thickBot="1">
      <c r="A518" s="10" t="s">
        <v>1089</v>
      </c>
      <c r="B518" s="10" t="s">
        <v>1090</v>
      </c>
      <c r="C518" s="10" t="s">
        <v>1091</v>
      </c>
      <c r="D518" s="10" t="s">
        <v>1092</v>
      </c>
      <c r="E518" s="10" t="s">
        <v>1093</v>
      </c>
      <c r="F518" s="10" t="s">
        <v>1094</v>
      </c>
      <c r="G518" s="116">
        <v>62600</v>
      </c>
      <c r="H518" s="163" t="s">
        <v>1112</v>
      </c>
      <c r="I518" s="158" t="s">
        <v>1113</v>
      </c>
      <c r="J518" s="163" t="s">
        <v>1110</v>
      </c>
      <c r="K518" s="10" t="s">
        <v>30</v>
      </c>
      <c r="L518" s="201">
        <v>15</v>
      </c>
      <c r="M518" s="10">
        <v>15</v>
      </c>
      <c r="N518" s="201">
        <v>15</v>
      </c>
      <c r="O518" s="12">
        <v>1</v>
      </c>
      <c r="P518" s="116">
        <v>104000</v>
      </c>
      <c r="Q518" s="10" t="s">
        <v>36</v>
      </c>
      <c r="R518" s="4" t="s">
        <v>1385</v>
      </c>
      <c r="S518" s="4" t="s">
        <v>1385</v>
      </c>
      <c r="T518" s="4" t="s">
        <v>19</v>
      </c>
      <c r="U518" s="4" t="str">
        <f t="shared" si="31"/>
        <v>NOT AN ADD-ON</v>
      </c>
      <c r="V518" s="4" t="str">
        <f t="shared" si="32"/>
        <v>APM FOR E&amp;UAPM FOR E&amp;UAUTHORIZEDNOT AN ADD-ON</v>
      </c>
    </row>
    <row r="519" spans="1:22" ht="15" thickBot="1">
      <c r="A519" s="10" t="s">
        <v>1089</v>
      </c>
      <c r="B519" s="10" t="s">
        <v>1090</v>
      </c>
      <c r="C519" s="10" t="s">
        <v>1091</v>
      </c>
      <c r="D519" s="10" t="s">
        <v>1092</v>
      </c>
      <c r="E519" s="10" t="s">
        <v>1093</v>
      </c>
      <c r="F519" s="10" t="s">
        <v>1094</v>
      </c>
      <c r="G519" s="116">
        <v>7210</v>
      </c>
      <c r="H519" s="163" t="s">
        <v>1114</v>
      </c>
      <c r="I519" s="158" t="s">
        <v>1115</v>
      </c>
      <c r="J519" s="163" t="s">
        <v>1116</v>
      </c>
      <c r="K519" s="10" t="s">
        <v>40</v>
      </c>
      <c r="L519" s="201">
        <v>15</v>
      </c>
      <c r="M519" s="10">
        <v>15</v>
      </c>
      <c r="N519" s="201">
        <v>15</v>
      </c>
      <c r="O519" s="12">
        <v>1</v>
      </c>
      <c r="P519" s="116">
        <v>36100</v>
      </c>
      <c r="Q519" s="10" t="s">
        <v>31</v>
      </c>
      <c r="R519" s="4" t="s">
        <v>1385</v>
      </c>
      <c r="S519" s="4" t="s">
        <v>1385</v>
      </c>
      <c r="T519" s="4" t="s">
        <v>19</v>
      </c>
      <c r="U519" s="4" t="str">
        <f t="shared" si="31"/>
        <v>NOT AN ADD-ON</v>
      </c>
      <c r="V519" s="4" t="str">
        <f t="shared" si="32"/>
        <v>APM FOR E&amp;UAPM FOR E&amp;UAUTHORIZEDNOT AN ADD-ON</v>
      </c>
    </row>
    <row r="520" spans="1:22" ht="15" thickBot="1">
      <c r="A520" s="10" t="s">
        <v>1089</v>
      </c>
      <c r="B520" s="10" t="s">
        <v>1090</v>
      </c>
      <c r="C520" s="10" t="s">
        <v>1091</v>
      </c>
      <c r="D520" s="10" t="s">
        <v>1092</v>
      </c>
      <c r="E520" s="10" t="s">
        <v>1093</v>
      </c>
      <c r="F520" s="10" t="s">
        <v>1094</v>
      </c>
      <c r="G520" s="116">
        <v>36100</v>
      </c>
      <c r="H520" s="163" t="s">
        <v>1116</v>
      </c>
      <c r="I520" s="158" t="s">
        <v>1117</v>
      </c>
      <c r="J520" s="163" t="s">
        <v>1116</v>
      </c>
      <c r="K520" s="10" t="s">
        <v>40</v>
      </c>
      <c r="L520" s="201">
        <v>15</v>
      </c>
      <c r="M520" s="10">
        <v>15</v>
      </c>
      <c r="N520" s="201">
        <v>15</v>
      </c>
      <c r="O520" s="12">
        <v>1</v>
      </c>
      <c r="P520" s="116">
        <v>36100</v>
      </c>
      <c r="Q520" s="10" t="s">
        <v>33</v>
      </c>
      <c r="R520" s="4" t="s">
        <v>1385</v>
      </c>
      <c r="S520" s="4" t="s">
        <v>1385</v>
      </c>
      <c r="T520" s="4" t="s">
        <v>19</v>
      </c>
      <c r="U520" s="4" t="str">
        <f t="shared" si="31"/>
        <v>NOT AN ADD-ON</v>
      </c>
      <c r="V520" s="4" t="str">
        <f t="shared" si="32"/>
        <v>APM FOR E&amp;UAPM FOR E&amp;UAUTHORIZEDNOT AN ADD-ON</v>
      </c>
    </row>
    <row r="521" spans="1:22" ht="15" thickBot="1">
      <c r="A521" s="10" t="s">
        <v>1089</v>
      </c>
      <c r="B521" s="10" t="s">
        <v>1090</v>
      </c>
      <c r="C521" s="10" t="s">
        <v>1091</v>
      </c>
      <c r="D521" s="10" t="s">
        <v>1092</v>
      </c>
      <c r="E521" s="10" t="s">
        <v>1093</v>
      </c>
      <c r="F521" s="10" t="s">
        <v>1094</v>
      </c>
      <c r="G521" s="116">
        <v>21600</v>
      </c>
      <c r="H521" s="163" t="s">
        <v>1118</v>
      </c>
      <c r="I521" s="158" t="s">
        <v>1119</v>
      </c>
      <c r="J521" s="163" t="s">
        <v>1116</v>
      </c>
      <c r="K521" s="10" t="s">
        <v>40</v>
      </c>
      <c r="L521" s="201">
        <v>15</v>
      </c>
      <c r="M521" s="10">
        <v>15</v>
      </c>
      <c r="N521" s="201">
        <v>15</v>
      </c>
      <c r="O521" s="12">
        <v>1</v>
      </c>
      <c r="P521" s="116">
        <v>36100</v>
      </c>
      <c r="Q521" s="10" t="s">
        <v>36</v>
      </c>
      <c r="R521" s="4" t="s">
        <v>1385</v>
      </c>
      <c r="S521" s="4" t="s">
        <v>1385</v>
      </c>
      <c r="T521" s="4" t="s">
        <v>19</v>
      </c>
      <c r="U521" s="4" t="str">
        <f t="shared" si="31"/>
        <v>NOT AN ADD-ON</v>
      </c>
      <c r="V521" s="4" t="str">
        <f t="shared" si="32"/>
        <v>APM FOR E&amp;UAPM FOR E&amp;UAUTHORIZEDNOT AN ADD-ON</v>
      </c>
    </row>
    <row r="522" spans="1:22" ht="15" thickBot="1">
      <c r="A522" s="10"/>
      <c r="B522" s="10"/>
      <c r="C522" s="10"/>
      <c r="D522" s="10"/>
      <c r="E522" s="10"/>
      <c r="F522" s="10"/>
      <c r="G522" s="116"/>
      <c r="H522" s="163"/>
      <c r="I522" s="158"/>
      <c r="J522" s="163"/>
      <c r="K522" s="10"/>
      <c r="L522" s="201"/>
      <c r="M522" s="10"/>
      <c r="N522" s="201"/>
      <c r="O522" s="12"/>
      <c r="P522" s="116"/>
      <c r="Q522" s="10"/>
    </row>
    <row r="523" spans="1:22" ht="15" thickBot="1">
      <c r="A523" s="10"/>
      <c r="B523" s="10"/>
      <c r="C523" s="10"/>
      <c r="D523" s="10"/>
      <c r="E523" s="10"/>
      <c r="F523" s="10"/>
      <c r="G523" s="116"/>
      <c r="H523" s="163"/>
      <c r="I523" s="158"/>
      <c r="J523" s="163"/>
      <c r="K523" s="10"/>
      <c r="L523" s="201"/>
      <c r="M523" s="10"/>
      <c r="N523" s="201"/>
      <c r="O523" s="12"/>
      <c r="P523" s="116"/>
      <c r="Q523" s="10"/>
    </row>
    <row r="524" spans="1:22" ht="15" thickBot="1">
      <c r="A524" s="10"/>
      <c r="B524" s="10"/>
      <c r="C524" s="10"/>
      <c r="D524" s="10"/>
      <c r="E524" s="10"/>
      <c r="F524" s="10"/>
      <c r="G524" s="116"/>
      <c r="H524" s="163"/>
      <c r="I524" s="158"/>
      <c r="J524" s="163"/>
      <c r="K524" s="10"/>
      <c r="L524" s="201"/>
      <c r="M524" s="10"/>
      <c r="N524" s="201"/>
      <c r="O524" s="12"/>
      <c r="P524" s="116"/>
      <c r="Q524" s="10"/>
    </row>
    <row r="525" spans="1:22" s="21" customFormat="1" ht="15" thickBot="1">
      <c r="A525" s="18" t="s">
        <v>1089</v>
      </c>
      <c r="B525" s="18" t="s">
        <v>1090</v>
      </c>
      <c r="C525" s="18" t="s">
        <v>1091</v>
      </c>
      <c r="D525" s="18" t="s">
        <v>1092</v>
      </c>
      <c r="E525" s="18" t="s">
        <v>1093</v>
      </c>
      <c r="F525" s="18" t="s">
        <v>1094</v>
      </c>
      <c r="G525" s="19">
        <v>25800</v>
      </c>
      <c r="H525" s="165" t="s">
        <v>1120</v>
      </c>
      <c r="I525" s="160" t="s">
        <v>1121</v>
      </c>
      <c r="J525" s="165" t="s">
        <v>1122</v>
      </c>
      <c r="K525" s="18" t="s">
        <v>1123</v>
      </c>
      <c r="L525" s="18" t="e">
        <v>#N/A</v>
      </c>
      <c r="M525" s="18" t="e">
        <f t="shared" ref="M525:M547" si="33">ROUND(IF(K525="Authorized User",L525/3,L525),2)</f>
        <v>#N/A</v>
      </c>
      <c r="N525" s="18"/>
      <c r="O525" s="20"/>
      <c r="P525" s="19">
        <v>129000</v>
      </c>
      <c r="Q525" s="18" t="s">
        <v>31</v>
      </c>
      <c r="R525" s="21" t="e">
        <v>#N/A</v>
      </c>
      <c r="S525" s="21" t="e">
        <v>#N/A</v>
      </c>
      <c r="T525" s="21" t="e">
        <v>#N/A</v>
      </c>
      <c r="U525" s="21" t="str">
        <f t="shared" si="31"/>
        <v>NOT AN ADD-ON</v>
      </c>
      <c r="V525" s="21" t="e">
        <f t="shared" si="32"/>
        <v>#N/A</v>
      </c>
    </row>
    <row r="526" spans="1:22" s="21" customFormat="1" ht="15" thickBot="1">
      <c r="A526" s="18" t="s">
        <v>1089</v>
      </c>
      <c r="B526" s="18" t="s">
        <v>1090</v>
      </c>
      <c r="C526" s="18" t="s">
        <v>1091</v>
      </c>
      <c r="D526" s="18" t="s">
        <v>1092</v>
      </c>
      <c r="E526" s="18" t="s">
        <v>1093</v>
      </c>
      <c r="F526" s="18" t="s">
        <v>1094</v>
      </c>
      <c r="G526" s="19">
        <v>129000</v>
      </c>
      <c r="H526" s="165" t="s">
        <v>1122</v>
      </c>
      <c r="I526" s="167" t="s">
        <v>1124</v>
      </c>
      <c r="J526" s="165" t="s">
        <v>1122</v>
      </c>
      <c r="K526" s="18" t="s">
        <v>1123</v>
      </c>
      <c r="L526" s="18" t="e">
        <v>#N/A</v>
      </c>
      <c r="M526" s="18" t="e">
        <f t="shared" si="33"/>
        <v>#N/A</v>
      </c>
      <c r="N526" s="18"/>
      <c r="O526" s="20"/>
      <c r="P526" s="19">
        <v>129000</v>
      </c>
      <c r="Q526" s="18" t="s">
        <v>33</v>
      </c>
      <c r="R526" s="21" t="e">
        <v>#N/A</v>
      </c>
      <c r="S526" s="21" t="e">
        <v>#N/A</v>
      </c>
      <c r="T526" s="21" t="e">
        <v>#N/A</v>
      </c>
      <c r="U526" s="21" t="str">
        <f t="shared" si="31"/>
        <v>NOT AN ADD-ON</v>
      </c>
      <c r="V526" s="21" t="e">
        <f t="shared" si="32"/>
        <v>#N/A</v>
      </c>
    </row>
    <row r="527" spans="1:22" s="21" customFormat="1" ht="15" thickBot="1">
      <c r="A527" s="18" t="s">
        <v>1089</v>
      </c>
      <c r="B527" s="18" t="s">
        <v>1090</v>
      </c>
      <c r="C527" s="18" t="s">
        <v>1091</v>
      </c>
      <c r="D527" s="18" t="s">
        <v>1092</v>
      </c>
      <c r="E527" s="18" t="s">
        <v>1093</v>
      </c>
      <c r="F527" s="18" t="s">
        <v>1094</v>
      </c>
      <c r="G527" s="19">
        <v>77300</v>
      </c>
      <c r="H527" s="165" t="s">
        <v>1125</v>
      </c>
      <c r="I527" s="167" t="s">
        <v>1126</v>
      </c>
      <c r="J527" s="165" t="s">
        <v>1122</v>
      </c>
      <c r="K527" s="18" t="s">
        <v>1123</v>
      </c>
      <c r="L527" s="18" t="e">
        <v>#N/A</v>
      </c>
      <c r="M527" s="18" t="e">
        <f t="shared" si="33"/>
        <v>#N/A</v>
      </c>
      <c r="N527" s="18"/>
      <c r="O527" s="20"/>
      <c r="P527" s="19">
        <v>129000</v>
      </c>
      <c r="Q527" s="18" t="s">
        <v>36</v>
      </c>
      <c r="R527" s="21" t="s">
        <v>1385</v>
      </c>
      <c r="S527" s="21" t="s">
        <v>1385</v>
      </c>
      <c r="T527" s="21" t="s">
        <v>1386</v>
      </c>
      <c r="U527" s="21" t="str">
        <f t="shared" si="31"/>
        <v>NOT AN ADD-ON</v>
      </c>
      <c r="V527" s="21" t="str">
        <f t="shared" si="32"/>
        <v>APM FOR E&amp;UAPM FOR E&amp;UADDRESSABLE DEVICENOT AN ADD-ON</v>
      </c>
    </row>
    <row r="528" spans="1:22" s="21" customFormat="1" ht="15" thickBot="1">
      <c r="A528" s="18" t="s">
        <v>1089</v>
      </c>
      <c r="B528" s="18" t="s">
        <v>1090</v>
      </c>
      <c r="C528" s="18" t="s">
        <v>1091</v>
      </c>
      <c r="D528" s="18" t="s">
        <v>1092</v>
      </c>
      <c r="E528" s="18" t="s">
        <v>1093</v>
      </c>
      <c r="F528" s="18" t="s">
        <v>1094</v>
      </c>
      <c r="G528" s="19">
        <v>51500</v>
      </c>
      <c r="H528" s="165" t="s">
        <v>1127</v>
      </c>
      <c r="I528" s="160" t="s">
        <v>1128</v>
      </c>
      <c r="J528" s="165" t="s">
        <v>1129</v>
      </c>
      <c r="K528" s="18" t="s">
        <v>1123</v>
      </c>
      <c r="L528" s="18" t="e">
        <v>#N/A</v>
      </c>
      <c r="M528" s="18" t="e">
        <f t="shared" si="33"/>
        <v>#N/A</v>
      </c>
      <c r="N528" s="18"/>
      <c r="O528" s="20"/>
      <c r="P528" s="19">
        <v>258000</v>
      </c>
      <c r="Q528" s="18" t="s">
        <v>31</v>
      </c>
      <c r="R528" s="21" t="e">
        <v>#N/A</v>
      </c>
      <c r="S528" s="21" t="e">
        <v>#N/A</v>
      </c>
      <c r="T528" s="21" t="e">
        <v>#N/A</v>
      </c>
      <c r="U528" s="21" t="str">
        <f t="shared" si="31"/>
        <v>NOT AN ADD-ON</v>
      </c>
      <c r="V528" s="21" t="e">
        <f t="shared" si="32"/>
        <v>#N/A</v>
      </c>
    </row>
    <row r="529" spans="1:22" s="21" customFormat="1" ht="15" thickBot="1">
      <c r="A529" s="18" t="s">
        <v>1089</v>
      </c>
      <c r="B529" s="18" t="s">
        <v>1090</v>
      </c>
      <c r="C529" s="18" t="s">
        <v>1091</v>
      </c>
      <c r="D529" s="18" t="s">
        <v>1092</v>
      </c>
      <c r="E529" s="18" t="s">
        <v>1093</v>
      </c>
      <c r="F529" s="18" t="s">
        <v>1094</v>
      </c>
      <c r="G529" s="19">
        <v>258000</v>
      </c>
      <c r="H529" s="165" t="s">
        <v>1129</v>
      </c>
      <c r="I529" s="160" t="s">
        <v>1130</v>
      </c>
      <c r="J529" s="165" t="s">
        <v>1129</v>
      </c>
      <c r="K529" s="18" t="s">
        <v>1123</v>
      </c>
      <c r="L529" s="18" t="e">
        <v>#N/A</v>
      </c>
      <c r="M529" s="18" t="e">
        <f t="shared" si="33"/>
        <v>#N/A</v>
      </c>
      <c r="N529" s="18"/>
      <c r="O529" s="20"/>
      <c r="P529" s="19">
        <v>258000</v>
      </c>
      <c r="Q529" s="18" t="s">
        <v>33</v>
      </c>
      <c r="R529" s="21" t="e">
        <v>#N/A</v>
      </c>
      <c r="S529" s="21" t="e">
        <v>#N/A</v>
      </c>
      <c r="T529" s="21" t="e">
        <v>#N/A</v>
      </c>
      <c r="U529" s="21" t="str">
        <f t="shared" si="31"/>
        <v>NOT AN ADD-ON</v>
      </c>
      <c r="V529" s="21" t="e">
        <f t="shared" si="32"/>
        <v>#N/A</v>
      </c>
    </row>
    <row r="530" spans="1:22" s="21" customFormat="1" ht="15" thickBot="1">
      <c r="A530" s="18" t="s">
        <v>1089</v>
      </c>
      <c r="B530" s="18" t="s">
        <v>1090</v>
      </c>
      <c r="C530" s="18" t="s">
        <v>1091</v>
      </c>
      <c r="D530" s="18" t="s">
        <v>1092</v>
      </c>
      <c r="E530" s="18" t="s">
        <v>1093</v>
      </c>
      <c r="F530" s="18" t="s">
        <v>1094</v>
      </c>
      <c r="G530" s="19">
        <v>155000</v>
      </c>
      <c r="H530" s="165" t="s">
        <v>1131</v>
      </c>
      <c r="I530" s="160" t="s">
        <v>1132</v>
      </c>
      <c r="J530" s="165" t="s">
        <v>1129</v>
      </c>
      <c r="K530" s="18" t="s">
        <v>1123</v>
      </c>
      <c r="L530" s="18" t="e">
        <v>#N/A</v>
      </c>
      <c r="M530" s="18" t="e">
        <f t="shared" si="33"/>
        <v>#N/A</v>
      </c>
      <c r="N530" s="18"/>
      <c r="O530" s="20"/>
      <c r="P530" s="19">
        <v>258000</v>
      </c>
      <c r="Q530" s="18" t="s">
        <v>36</v>
      </c>
      <c r="R530" s="21" t="s">
        <v>1385</v>
      </c>
      <c r="S530" s="21" t="s">
        <v>1385</v>
      </c>
      <c r="T530" s="21" t="s">
        <v>1386</v>
      </c>
      <c r="U530" s="21" t="str">
        <f t="shared" si="31"/>
        <v>NOT AN ADD-ON</v>
      </c>
      <c r="V530" s="21" t="str">
        <f t="shared" si="32"/>
        <v>APM FOR E&amp;UAPM FOR E&amp;UADDRESSABLE DEVICENOT AN ADD-ON</v>
      </c>
    </row>
    <row r="531" spans="1:22" ht="15" thickBot="1">
      <c r="A531" s="10"/>
      <c r="B531" s="10"/>
      <c r="C531" s="10"/>
      <c r="D531" s="10"/>
      <c r="E531" s="10"/>
      <c r="F531" s="10"/>
      <c r="G531" s="116"/>
      <c r="H531" s="163"/>
      <c r="I531" s="158"/>
      <c r="J531" s="163"/>
      <c r="K531" s="10"/>
      <c r="L531" s="10"/>
      <c r="M531" s="10"/>
      <c r="N531" s="10"/>
      <c r="O531" s="12"/>
      <c r="P531" s="116"/>
      <c r="Q531" s="10"/>
    </row>
    <row r="532" spans="1:22" ht="15" thickBot="1">
      <c r="A532" s="10"/>
      <c r="B532" s="10"/>
      <c r="C532" s="10"/>
      <c r="D532" s="10"/>
      <c r="E532" s="10"/>
      <c r="F532" s="10"/>
      <c r="G532" s="116"/>
      <c r="H532" s="163"/>
      <c r="I532" s="158"/>
      <c r="J532" s="163"/>
      <c r="K532" s="10"/>
      <c r="L532" s="10"/>
      <c r="M532" s="10"/>
      <c r="N532" s="10"/>
      <c r="O532" s="12"/>
      <c r="P532" s="116"/>
      <c r="Q532" s="10"/>
    </row>
    <row r="533" spans="1:22" ht="15" thickBot="1">
      <c r="A533" s="10"/>
      <c r="B533" s="10"/>
      <c r="C533" s="10"/>
      <c r="D533" s="10"/>
      <c r="E533" s="10"/>
      <c r="F533" s="10"/>
      <c r="G533" s="116"/>
      <c r="H533" s="163"/>
      <c r="I533" s="158"/>
      <c r="J533" s="163"/>
      <c r="K533" s="10"/>
      <c r="L533" s="10"/>
      <c r="M533" s="10"/>
      <c r="N533" s="10"/>
      <c r="O533" s="12"/>
      <c r="P533" s="116"/>
      <c r="Q533" s="10"/>
    </row>
    <row r="534" spans="1:22" ht="27" thickBot="1">
      <c r="A534" s="18" t="s">
        <v>21</v>
      </c>
      <c r="B534" s="18" t="s">
        <v>1133</v>
      </c>
      <c r="C534" s="18" t="s">
        <v>1133</v>
      </c>
      <c r="D534" s="18" t="s">
        <v>1134</v>
      </c>
      <c r="E534" s="18" t="s">
        <v>1135</v>
      </c>
      <c r="F534" s="18" t="s">
        <v>1136</v>
      </c>
      <c r="G534" s="19">
        <v>53800</v>
      </c>
      <c r="H534" s="165" t="s">
        <v>1137</v>
      </c>
      <c r="I534" s="167" t="s">
        <v>1138</v>
      </c>
      <c r="J534" s="165" t="s">
        <v>1139</v>
      </c>
      <c r="K534" s="18" t="s">
        <v>1079</v>
      </c>
      <c r="L534" s="18" t="e">
        <v>#N/A</v>
      </c>
      <c r="M534" s="18" t="e">
        <f t="shared" si="33"/>
        <v>#N/A</v>
      </c>
      <c r="N534" s="18"/>
      <c r="O534" s="20"/>
      <c r="P534" s="19">
        <v>269000</v>
      </c>
      <c r="Q534" s="18" t="s">
        <v>48</v>
      </c>
      <c r="R534" s="21" t="s">
        <v>1387</v>
      </c>
      <c r="S534" s="21" t="s">
        <v>1387</v>
      </c>
      <c r="T534" s="21" t="s">
        <v>1388</v>
      </c>
      <c r="U534" s="21" t="str">
        <f t="shared" si="31"/>
        <v>NOT AN ADD-ON</v>
      </c>
      <c r="V534" s="21" t="str">
        <f t="shared" si="32"/>
        <v>APM PREDICTIVE MAINTENANCE INSIGHTSAPM PREDICTIVE MAINTENANCE INSIGHTSNON PRODUCTION INSTALLNOT AN ADD-ON</v>
      </c>
    </row>
    <row r="535" spans="1:22" ht="15" thickBot="1">
      <c r="A535" s="18" t="s">
        <v>21</v>
      </c>
      <c r="B535" s="18" t="s">
        <v>1133</v>
      </c>
      <c r="C535" s="18" t="s">
        <v>1133</v>
      </c>
      <c r="D535" s="18" t="s">
        <v>1134</v>
      </c>
      <c r="E535" s="18" t="s">
        <v>1135</v>
      </c>
      <c r="F535" s="18" t="s">
        <v>1136</v>
      </c>
      <c r="G535" s="19">
        <v>53800</v>
      </c>
      <c r="H535" s="165" t="s">
        <v>1140</v>
      </c>
      <c r="I535" s="167" t="s">
        <v>1141</v>
      </c>
      <c r="J535" s="165" t="s">
        <v>1139</v>
      </c>
      <c r="K535" s="18" t="s">
        <v>1079</v>
      </c>
      <c r="L535" s="18" t="e">
        <v>#N/A</v>
      </c>
      <c r="M535" s="18" t="e">
        <f t="shared" si="33"/>
        <v>#N/A</v>
      </c>
      <c r="N535" s="18"/>
      <c r="O535" s="20"/>
      <c r="P535" s="19">
        <v>269000</v>
      </c>
      <c r="Q535" s="18" t="s">
        <v>31</v>
      </c>
      <c r="R535" s="21" t="e">
        <v>#N/A</v>
      </c>
      <c r="S535" s="21" t="e">
        <v>#N/A</v>
      </c>
      <c r="T535" s="21" t="e">
        <v>#N/A</v>
      </c>
      <c r="U535" s="21" t="str">
        <f t="shared" si="31"/>
        <v>NOT AN ADD-ON</v>
      </c>
      <c r="V535" s="21" t="e">
        <f t="shared" si="32"/>
        <v>#N/A</v>
      </c>
    </row>
    <row r="536" spans="1:22" ht="15" thickBot="1">
      <c r="A536" s="18" t="s">
        <v>21</v>
      </c>
      <c r="B536" s="18" t="s">
        <v>1133</v>
      </c>
      <c r="C536" s="18" t="s">
        <v>1133</v>
      </c>
      <c r="D536" s="18" t="s">
        <v>1134</v>
      </c>
      <c r="E536" s="18" t="s">
        <v>1135</v>
      </c>
      <c r="F536" s="18" t="s">
        <v>1136</v>
      </c>
      <c r="G536" s="19">
        <v>269000</v>
      </c>
      <c r="H536" s="165" t="s">
        <v>1139</v>
      </c>
      <c r="I536" s="160" t="s">
        <v>1142</v>
      </c>
      <c r="J536" s="165" t="s">
        <v>1139</v>
      </c>
      <c r="K536" s="18" t="s">
        <v>1079</v>
      </c>
      <c r="L536" s="18" t="e">
        <v>#N/A</v>
      </c>
      <c r="M536" s="18" t="e">
        <f t="shared" si="33"/>
        <v>#N/A</v>
      </c>
      <c r="N536" s="18"/>
      <c r="O536" s="20"/>
      <c r="P536" s="19">
        <v>269000</v>
      </c>
      <c r="Q536" s="18" t="s">
        <v>33</v>
      </c>
      <c r="R536" s="21" t="e">
        <v>#N/A</v>
      </c>
      <c r="S536" s="21" t="e">
        <v>#N/A</v>
      </c>
      <c r="T536" s="21" t="e">
        <v>#N/A</v>
      </c>
      <c r="U536" s="21" t="str">
        <f t="shared" si="31"/>
        <v>NOT AN ADD-ON</v>
      </c>
      <c r="V536" s="21" t="e">
        <f t="shared" si="32"/>
        <v>#N/A</v>
      </c>
    </row>
    <row r="537" spans="1:22" ht="15" thickBot="1">
      <c r="A537" s="18" t="s">
        <v>21</v>
      </c>
      <c r="B537" s="18" t="s">
        <v>1133</v>
      </c>
      <c r="C537" s="18" t="s">
        <v>1133</v>
      </c>
      <c r="D537" s="18" t="s">
        <v>1134</v>
      </c>
      <c r="E537" s="18" t="s">
        <v>1135</v>
      </c>
      <c r="F537" s="18" t="s">
        <v>1136</v>
      </c>
      <c r="G537" s="19">
        <v>162000</v>
      </c>
      <c r="H537" s="165" t="s">
        <v>1143</v>
      </c>
      <c r="I537" s="167" t="s">
        <v>1144</v>
      </c>
      <c r="J537" s="165" t="s">
        <v>1139</v>
      </c>
      <c r="K537" s="18" t="s">
        <v>1079</v>
      </c>
      <c r="L537" s="18" t="e">
        <v>#N/A</v>
      </c>
      <c r="M537" s="18" t="e">
        <f t="shared" si="33"/>
        <v>#N/A</v>
      </c>
      <c r="N537" s="18"/>
      <c r="O537" s="20"/>
      <c r="P537" s="19">
        <v>269000</v>
      </c>
      <c r="Q537" s="18" t="s">
        <v>36</v>
      </c>
      <c r="R537" s="21" t="s">
        <v>1387</v>
      </c>
      <c r="S537" s="21" t="s">
        <v>1387</v>
      </c>
      <c r="T537" s="21" t="s">
        <v>1388</v>
      </c>
      <c r="U537" s="21" t="str">
        <f t="shared" si="31"/>
        <v>NOT AN ADD-ON</v>
      </c>
      <c r="V537" s="21" t="str">
        <f t="shared" si="32"/>
        <v>APM PREDICTIVE MAINTENANCE INSIGHTSAPM PREDICTIVE MAINTENANCE INSIGHTSNON PRODUCTION INSTALLNOT AN ADD-ON</v>
      </c>
    </row>
    <row r="538" spans="1:22" ht="15" thickBot="1">
      <c r="A538" s="18" t="s">
        <v>21</v>
      </c>
      <c r="B538" s="18" t="s">
        <v>1133</v>
      </c>
      <c r="C538" s="18" t="s">
        <v>1133</v>
      </c>
      <c r="D538" s="18" t="s">
        <v>1134</v>
      </c>
      <c r="E538" s="18" t="s">
        <v>1135</v>
      </c>
      <c r="F538" s="18" t="s">
        <v>1136</v>
      </c>
      <c r="G538" s="19">
        <v>107000</v>
      </c>
      <c r="H538" s="165" t="s">
        <v>1145</v>
      </c>
      <c r="I538" s="167" t="s">
        <v>1146</v>
      </c>
      <c r="J538" s="165" t="s">
        <v>1147</v>
      </c>
      <c r="K538" s="18" t="s">
        <v>1079</v>
      </c>
      <c r="L538" s="18" t="e">
        <v>#N/A</v>
      </c>
      <c r="M538" s="18" t="e">
        <f t="shared" si="33"/>
        <v>#N/A</v>
      </c>
      <c r="N538" s="18"/>
      <c r="O538" s="20"/>
      <c r="P538" s="19">
        <v>538000</v>
      </c>
      <c r="Q538" s="18" t="s">
        <v>48</v>
      </c>
      <c r="R538" s="21" t="s">
        <v>1387</v>
      </c>
      <c r="S538" s="21" t="s">
        <v>1387</v>
      </c>
      <c r="T538" s="21" t="s">
        <v>1384</v>
      </c>
      <c r="U538" s="21" t="str">
        <f t="shared" si="31"/>
        <v>NOT AN ADD-ON</v>
      </c>
      <c r="V538" s="21" t="str">
        <f t="shared" si="32"/>
        <v>APM PREDICTIVE MAINTENANCE INSIGHTSAPM PREDICTIVE MAINTENANCE INSIGHTSINSTALLNOT AN ADD-ON</v>
      </c>
    </row>
    <row r="539" spans="1:22" ht="29.25" customHeight="1" thickBot="1">
      <c r="A539" s="18" t="s">
        <v>21</v>
      </c>
      <c r="B539" s="18" t="s">
        <v>1133</v>
      </c>
      <c r="C539" s="18" t="s">
        <v>1133</v>
      </c>
      <c r="D539" s="18" t="s">
        <v>1134</v>
      </c>
      <c r="E539" s="18" t="s">
        <v>1135</v>
      </c>
      <c r="F539" s="18" t="s">
        <v>1136</v>
      </c>
      <c r="G539" s="19">
        <v>107000</v>
      </c>
      <c r="H539" s="165" t="s">
        <v>1148</v>
      </c>
      <c r="I539" s="160" t="s">
        <v>1149</v>
      </c>
      <c r="J539" s="165" t="s">
        <v>1147</v>
      </c>
      <c r="K539" s="18" t="s">
        <v>1079</v>
      </c>
      <c r="L539" s="18" t="e">
        <v>#N/A</v>
      </c>
      <c r="M539" s="18" t="e">
        <f t="shared" si="33"/>
        <v>#N/A</v>
      </c>
      <c r="N539" s="18"/>
      <c r="O539" s="20"/>
      <c r="P539" s="19">
        <v>538000</v>
      </c>
      <c r="Q539" s="18" t="s">
        <v>31</v>
      </c>
      <c r="R539" s="21" t="e">
        <v>#N/A</v>
      </c>
      <c r="S539" s="21" t="e">
        <v>#N/A</v>
      </c>
      <c r="T539" s="21" t="e">
        <v>#N/A</v>
      </c>
      <c r="U539" s="21" t="str">
        <f t="shared" si="31"/>
        <v>NOT AN ADD-ON</v>
      </c>
      <c r="V539" s="21" t="e">
        <f t="shared" si="32"/>
        <v>#N/A</v>
      </c>
    </row>
    <row r="540" spans="1:22" ht="15" thickBot="1">
      <c r="A540" s="18" t="s">
        <v>21</v>
      </c>
      <c r="B540" s="18" t="s">
        <v>1133</v>
      </c>
      <c r="C540" s="18" t="s">
        <v>1133</v>
      </c>
      <c r="D540" s="18" t="s">
        <v>1134</v>
      </c>
      <c r="E540" s="18" t="s">
        <v>1135</v>
      </c>
      <c r="F540" s="18" t="s">
        <v>1136</v>
      </c>
      <c r="G540" s="19">
        <v>538000</v>
      </c>
      <c r="H540" s="165" t="s">
        <v>1147</v>
      </c>
      <c r="I540" s="160" t="s">
        <v>1150</v>
      </c>
      <c r="J540" s="165" t="s">
        <v>1147</v>
      </c>
      <c r="K540" s="18" t="s">
        <v>1079</v>
      </c>
      <c r="L540" s="18" t="e">
        <v>#N/A</v>
      </c>
      <c r="M540" s="18" t="e">
        <f t="shared" si="33"/>
        <v>#N/A</v>
      </c>
      <c r="N540" s="18"/>
      <c r="O540" s="20"/>
      <c r="P540" s="19">
        <v>538000</v>
      </c>
      <c r="Q540" s="18" t="s">
        <v>33</v>
      </c>
      <c r="R540" s="21" t="e">
        <v>#N/A</v>
      </c>
      <c r="S540" s="21" t="e">
        <v>#N/A</v>
      </c>
      <c r="T540" s="21" t="e">
        <v>#N/A</v>
      </c>
      <c r="U540" s="21" t="str">
        <f t="shared" si="31"/>
        <v>NOT AN ADD-ON</v>
      </c>
      <c r="V540" s="21" t="e">
        <f t="shared" si="32"/>
        <v>#N/A</v>
      </c>
    </row>
    <row r="541" spans="1:22" ht="15" thickBot="1">
      <c r="A541" s="18" t="s">
        <v>21</v>
      </c>
      <c r="B541" s="18" t="s">
        <v>1133</v>
      </c>
      <c r="C541" s="18" t="s">
        <v>1133</v>
      </c>
      <c r="D541" s="18" t="s">
        <v>1134</v>
      </c>
      <c r="E541" s="18" t="s">
        <v>1135</v>
      </c>
      <c r="F541" s="18" t="s">
        <v>1136</v>
      </c>
      <c r="G541" s="19">
        <v>322000</v>
      </c>
      <c r="H541" s="165" t="s">
        <v>1151</v>
      </c>
      <c r="I541" s="160" t="s">
        <v>1152</v>
      </c>
      <c r="J541" s="165" t="s">
        <v>1147</v>
      </c>
      <c r="K541" s="18" t="s">
        <v>1079</v>
      </c>
      <c r="L541" s="18" t="e">
        <v>#N/A</v>
      </c>
      <c r="M541" s="18" t="e">
        <f t="shared" si="33"/>
        <v>#N/A</v>
      </c>
      <c r="N541" s="18"/>
      <c r="O541" s="20"/>
      <c r="P541" s="19">
        <v>538000</v>
      </c>
      <c r="Q541" s="18" t="s">
        <v>36</v>
      </c>
      <c r="R541" s="21" t="s">
        <v>1387</v>
      </c>
      <c r="S541" s="21" t="s">
        <v>1387</v>
      </c>
      <c r="T541" s="21" t="s">
        <v>1384</v>
      </c>
      <c r="U541" s="21" t="str">
        <f t="shared" si="31"/>
        <v>NOT AN ADD-ON</v>
      </c>
      <c r="V541" s="21" t="str">
        <f t="shared" si="32"/>
        <v>APM PREDICTIVE MAINTENANCE INSIGHTSAPM PREDICTIVE MAINTENANCE INSIGHTSINSTALLNOT AN ADD-ON</v>
      </c>
    </row>
    <row r="542" spans="1:22" ht="27" thickBot="1">
      <c r="A542" s="18" t="s">
        <v>21</v>
      </c>
      <c r="B542" s="18" t="s">
        <v>1133</v>
      </c>
      <c r="C542" s="18" t="s">
        <v>1133</v>
      </c>
      <c r="D542" s="18" t="s">
        <v>1134</v>
      </c>
      <c r="E542" s="18" t="s">
        <v>1135</v>
      </c>
      <c r="F542" s="18" t="s">
        <v>1136</v>
      </c>
      <c r="G542" s="19">
        <v>3610</v>
      </c>
      <c r="H542" s="165" t="s">
        <v>1153</v>
      </c>
      <c r="I542" s="167" t="s">
        <v>1154</v>
      </c>
      <c r="J542" s="165" t="s">
        <v>1155</v>
      </c>
      <c r="K542" s="18" t="s">
        <v>375</v>
      </c>
      <c r="L542" s="18" t="e">
        <v>#N/A</v>
      </c>
      <c r="M542" s="18" t="e">
        <f t="shared" si="33"/>
        <v>#N/A</v>
      </c>
      <c r="N542" s="18">
        <v>15</v>
      </c>
      <c r="O542" s="20">
        <v>1</v>
      </c>
      <c r="P542" s="19">
        <v>18000</v>
      </c>
      <c r="Q542" s="18" t="s">
        <v>48</v>
      </c>
      <c r="R542" s="21" t="s">
        <v>1387</v>
      </c>
      <c r="S542" s="21" t="s">
        <v>1387</v>
      </c>
      <c r="T542" s="21" t="s">
        <v>1382</v>
      </c>
      <c r="U542" s="21" t="str">
        <f t="shared" si="31"/>
        <v>NOT AN ADD-ON</v>
      </c>
      <c r="V542" s="21" t="str">
        <f t="shared" si="32"/>
        <v>APM PREDICTIVE MAINTENANCE INSIGHTSAPM PREDICTIVE MAINTENANCE INSIGHTSRESOURCE VALUENOT AN ADD-ON</v>
      </c>
    </row>
    <row r="543" spans="1:22" ht="29.25" customHeight="1" thickBot="1">
      <c r="A543" s="18" t="s">
        <v>21</v>
      </c>
      <c r="B543" s="18" t="s">
        <v>1133</v>
      </c>
      <c r="C543" s="18" t="s">
        <v>1133</v>
      </c>
      <c r="D543" s="18" t="s">
        <v>1134</v>
      </c>
      <c r="E543" s="18" t="s">
        <v>1135</v>
      </c>
      <c r="F543" s="18" t="s">
        <v>1136</v>
      </c>
      <c r="G543" s="19">
        <v>3610</v>
      </c>
      <c r="H543" s="165" t="s">
        <v>1156</v>
      </c>
      <c r="I543" s="167" t="s">
        <v>1157</v>
      </c>
      <c r="J543" s="165" t="s">
        <v>1155</v>
      </c>
      <c r="K543" s="18" t="s">
        <v>375</v>
      </c>
      <c r="L543" s="18" t="e">
        <v>#N/A</v>
      </c>
      <c r="M543" s="18" t="e">
        <f t="shared" si="33"/>
        <v>#N/A</v>
      </c>
      <c r="N543" s="18">
        <v>15</v>
      </c>
      <c r="O543" s="20">
        <v>1</v>
      </c>
      <c r="P543" s="19">
        <v>18000</v>
      </c>
      <c r="Q543" s="18" t="s">
        <v>31</v>
      </c>
      <c r="R543" s="21" t="e">
        <v>#N/A</v>
      </c>
      <c r="S543" s="21" t="e">
        <v>#N/A</v>
      </c>
      <c r="T543" s="21" t="e">
        <v>#N/A</v>
      </c>
      <c r="U543" s="21" t="str">
        <f t="shared" si="31"/>
        <v>NOT AN ADD-ON</v>
      </c>
      <c r="V543" s="21" t="e">
        <f t="shared" si="32"/>
        <v>#N/A</v>
      </c>
    </row>
    <row r="544" spans="1:22" ht="15" thickBot="1">
      <c r="A544" s="18" t="s">
        <v>21</v>
      </c>
      <c r="B544" s="18" t="s">
        <v>1133</v>
      </c>
      <c r="C544" s="18" t="s">
        <v>1133</v>
      </c>
      <c r="D544" s="18" t="s">
        <v>1134</v>
      </c>
      <c r="E544" s="18" t="s">
        <v>1135</v>
      </c>
      <c r="F544" s="18" t="s">
        <v>1136</v>
      </c>
      <c r="G544" s="19">
        <v>18000</v>
      </c>
      <c r="H544" s="165" t="s">
        <v>1155</v>
      </c>
      <c r="I544" s="160" t="s">
        <v>1158</v>
      </c>
      <c r="J544" s="165" t="s">
        <v>1155</v>
      </c>
      <c r="K544" s="18" t="s">
        <v>375</v>
      </c>
      <c r="L544" s="18" t="e">
        <v>#N/A</v>
      </c>
      <c r="M544" s="18" t="e">
        <f t="shared" si="33"/>
        <v>#N/A</v>
      </c>
      <c r="N544" s="18">
        <v>15</v>
      </c>
      <c r="O544" s="20">
        <v>1</v>
      </c>
      <c r="P544" s="19">
        <v>18000</v>
      </c>
      <c r="Q544" s="18" t="s">
        <v>33</v>
      </c>
      <c r="R544" s="21" t="e">
        <v>#N/A</v>
      </c>
      <c r="S544" s="21" t="e">
        <v>#N/A</v>
      </c>
      <c r="T544" s="21" t="e">
        <v>#N/A</v>
      </c>
      <c r="U544" s="21" t="str">
        <f t="shared" si="31"/>
        <v>NOT AN ADD-ON</v>
      </c>
      <c r="V544" s="21" t="e">
        <f t="shared" si="32"/>
        <v>#N/A</v>
      </c>
    </row>
    <row r="545" spans="1:22" ht="15" thickBot="1">
      <c r="A545" s="18" t="s">
        <v>21</v>
      </c>
      <c r="B545" s="18" t="s">
        <v>1133</v>
      </c>
      <c r="C545" s="18" t="s">
        <v>1133</v>
      </c>
      <c r="D545" s="18" t="s">
        <v>1134</v>
      </c>
      <c r="E545" s="18" t="s">
        <v>1135</v>
      </c>
      <c r="F545" s="18" t="s">
        <v>1136</v>
      </c>
      <c r="G545" s="19">
        <v>10800</v>
      </c>
      <c r="H545" s="165" t="s">
        <v>1159</v>
      </c>
      <c r="I545" s="160" t="s">
        <v>1160</v>
      </c>
      <c r="J545" s="165" t="s">
        <v>1155</v>
      </c>
      <c r="K545" s="18" t="s">
        <v>375</v>
      </c>
      <c r="L545" s="18" t="e">
        <v>#N/A</v>
      </c>
      <c r="M545" s="18" t="e">
        <f t="shared" si="33"/>
        <v>#N/A</v>
      </c>
      <c r="N545" s="18">
        <v>15</v>
      </c>
      <c r="O545" s="20">
        <v>1</v>
      </c>
      <c r="P545" s="19">
        <v>18000</v>
      </c>
      <c r="Q545" s="18" t="s">
        <v>36</v>
      </c>
      <c r="R545" s="21" t="s">
        <v>1387</v>
      </c>
      <c r="S545" s="21" t="s">
        <v>1387</v>
      </c>
      <c r="T545" s="21" t="s">
        <v>1382</v>
      </c>
      <c r="U545" s="21" t="str">
        <f t="shared" si="31"/>
        <v>NOT AN ADD-ON</v>
      </c>
      <c r="V545" s="21" t="str">
        <f t="shared" si="32"/>
        <v>APM PREDICTIVE MAINTENANCE INSIGHTSAPM PREDICTIVE MAINTENANCE INSIGHTSRESOURCE VALUENOT AN ADD-ON</v>
      </c>
    </row>
    <row r="546" spans="1:22" ht="15" thickBot="1">
      <c r="A546" s="18" t="s">
        <v>1161</v>
      </c>
      <c r="B546" s="18" t="s">
        <v>1162</v>
      </c>
      <c r="C546" s="18" t="s">
        <v>1163</v>
      </c>
      <c r="D546" s="18" t="s">
        <v>1164</v>
      </c>
      <c r="E546" s="18" t="s">
        <v>1165</v>
      </c>
      <c r="F546" s="18" t="s">
        <v>1166</v>
      </c>
      <c r="G546" s="19">
        <v>7400</v>
      </c>
      <c r="H546" s="165" t="s">
        <v>1167</v>
      </c>
      <c r="I546" s="167" t="s">
        <v>1168</v>
      </c>
      <c r="J546" s="165" t="s">
        <v>1169</v>
      </c>
      <c r="K546" s="18" t="s">
        <v>1170</v>
      </c>
      <c r="L546" s="18" t="e">
        <v>#N/A</v>
      </c>
      <c r="M546" s="18" t="e">
        <f t="shared" si="33"/>
        <v>#N/A</v>
      </c>
      <c r="N546" s="18">
        <v>10</v>
      </c>
      <c r="O546" s="20">
        <v>1</v>
      </c>
      <c r="P546" s="19">
        <v>37000</v>
      </c>
      <c r="Q546" s="18" t="s">
        <v>31</v>
      </c>
      <c r="R546" s="21" t="e">
        <v>#N/A</v>
      </c>
      <c r="S546" s="21" t="e">
        <v>#N/A</v>
      </c>
      <c r="T546" s="21" t="e">
        <v>#N/A</v>
      </c>
      <c r="U546" s="21" t="str">
        <f t="shared" si="31"/>
        <v>NOT AN ADD-ON</v>
      </c>
      <c r="V546" s="21" t="e">
        <f t="shared" si="32"/>
        <v>#N/A</v>
      </c>
    </row>
    <row r="547" spans="1:22" ht="15" thickBot="1">
      <c r="A547" s="18" t="s">
        <v>1161</v>
      </c>
      <c r="B547" s="18" t="s">
        <v>1162</v>
      </c>
      <c r="C547" s="18" t="s">
        <v>1163</v>
      </c>
      <c r="D547" s="18" t="s">
        <v>1164</v>
      </c>
      <c r="E547" s="18" t="s">
        <v>1165</v>
      </c>
      <c r="F547" s="18" t="s">
        <v>1166</v>
      </c>
      <c r="G547" s="19">
        <v>37000</v>
      </c>
      <c r="H547" s="165" t="s">
        <v>1169</v>
      </c>
      <c r="I547" s="167" t="s">
        <v>1171</v>
      </c>
      <c r="J547" s="165" t="s">
        <v>1169</v>
      </c>
      <c r="K547" s="18" t="s">
        <v>1170</v>
      </c>
      <c r="L547" s="18" t="e">
        <v>#N/A</v>
      </c>
      <c r="M547" s="18" t="e">
        <f t="shared" si="33"/>
        <v>#N/A</v>
      </c>
      <c r="N547" s="18">
        <v>10</v>
      </c>
      <c r="O547" s="20">
        <v>1</v>
      </c>
      <c r="P547" s="19">
        <v>37000</v>
      </c>
      <c r="Q547" s="18" t="s">
        <v>33</v>
      </c>
      <c r="R547" s="21" t="e">
        <v>#N/A</v>
      </c>
      <c r="S547" s="21" t="e">
        <v>#N/A</v>
      </c>
      <c r="T547" s="21" t="e">
        <v>#N/A</v>
      </c>
      <c r="U547" s="21" t="str">
        <f t="shared" si="31"/>
        <v>NOT AN ADD-ON</v>
      </c>
      <c r="V547" s="21" t="e">
        <f t="shared" si="32"/>
        <v>#N/A</v>
      </c>
    </row>
    <row r="548" spans="1:22" ht="15" thickBot="1">
      <c r="A548" s="18" t="s">
        <v>1161</v>
      </c>
      <c r="B548" s="18" t="s">
        <v>1162</v>
      </c>
      <c r="C548" s="18" t="s">
        <v>1163</v>
      </c>
      <c r="D548" s="18" t="s">
        <v>1164</v>
      </c>
      <c r="E548" s="18" t="s">
        <v>1165</v>
      </c>
      <c r="F548" s="18" t="s">
        <v>1166</v>
      </c>
      <c r="G548" s="19">
        <v>22200</v>
      </c>
      <c r="H548" s="165" t="s">
        <v>1172</v>
      </c>
      <c r="I548" s="167" t="s">
        <v>1173</v>
      </c>
      <c r="J548" s="165" t="s">
        <v>1169</v>
      </c>
      <c r="K548" s="18" t="s">
        <v>1170</v>
      </c>
      <c r="L548" s="18" t="e">
        <v>#N/A</v>
      </c>
      <c r="M548" s="18" t="e">
        <f t="shared" ref="M548:M579" si="34">ROUND(IF(K548="Authorized User",L548/3,L548),2)</f>
        <v>#N/A</v>
      </c>
      <c r="N548" s="18">
        <v>10</v>
      </c>
      <c r="O548" s="20">
        <v>1</v>
      </c>
      <c r="P548" s="19">
        <v>37000</v>
      </c>
      <c r="Q548" s="18" t="s">
        <v>36</v>
      </c>
      <c r="R548" s="21" t="s">
        <v>1389</v>
      </c>
      <c r="S548" s="21" t="s">
        <v>1389</v>
      </c>
      <c r="T548" s="21" t="s">
        <v>1390</v>
      </c>
      <c r="U548" s="21" t="str">
        <f t="shared" si="31"/>
        <v>NOT AN ADD-ON</v>
      </c>
      <c r="V548" s="21" t="str">
        <f t="shared" si="32"/>
        <v>EQUIPMENT MAINTENANCE ASSISTANTEQUIPMENT MAINTENANCE ASSISTANTVIRTUAL PROCESSOR CORENOT AN ADD-ON</v>
      </c>
    </row>
    <row r="549" spans="1:22" ht="15" thickBot="1">
      <c r="A549" s="18" t="s">
        <v>1161</v>
      </c>
      <c r="B549" s="18" t="s">
        <v>1162</v>
      </c>
      <c r="C549" s="18" t="s">
        <v>1163</v>
      </c>
      <c r="D549" s="18" t="s">
        <v>1164</v>
      </c>
      <c r="E549" s="18" t="s">
        <v>1165</v>
      </c>
      <c r="F549" s="18" t="s">
        <v>1166</v>
      </c>
      <c r="G549" s="19">
        <v>6400</v>
      </c>
      <c r="H549" s="165" t="s">
        <v>1174</v>
      </c>
      <c r="I549" s="167" t="s">
        <v>1175</v>
      </c>
      <c r="J549" s="165" t="s">
        <v>1176</v>
      </c>
      <c r="K549" s="18" t="s">
        <v>1170</v>
      </c>
      <c r="L549" s="18" t="e">
        <v>#N/A</v>
      </c>
      <c r="M549" s="18" t="e">
        <f t="shared" si="34"/>
        <v>#N/A</v>
      </c>
      <c r="N549" s="18">
        <v>10</v>
      </c>
      <c r="O549" s="20">
        <v>1</v>
      </c>
      <c r="P549" s="19">
        <v>32000</v>
      </c>
      <c r="Q549" s="18" t="s">
        <v>31</v>
      </c>
      <c r="R549" s="21" t="e">
        <v>#N/A</v>
      </c>
      <c r="S549" s="21" t="e">
        <v>#N/A</v>
      </c>
      <c r="T549" s="21" t="e">
        <v>#N/A</v>
      </c>
      <c r="U549" s="21" t="str">
        <f t="shared" si="31"/>
        <v>ADD-ON</v>
      </c>
      <c r="V549" s="21" t="e">
        <f t="shared" si="32"/>
        <v>#N/A</v>
      </c>
    </row>
    <row r="550" spans="1:22" ht="15" thickBot="1">
      <c r="A550" s="18" t="s">
        <v>1161</v>
      </c>
      <c r="B550" s="18" t="s">
        <v>1162</v>
      </c>
      <c r="C550" s="18" t="s">
        <v>1163</v>
      </c>
      <c r="D550" s="18" t="s">
        <v>1164</v>
      </c>
      <c r="E550" s="18" t="s">
        <v>1165</v>
      </c>
      <c r="F550" s="18" t="s">
        <v>1166</v>
      </c>
      <c r="G550" s="19">
        <v>32000</v>
      </c>
      <c r="H550" s="165" t="s">
        <v>1176</v>
      </c>
      <c r="I550" s="167" t="s">
        <v>1177</v>
      </c>
      <c r="J550" s="165" t="s">
        <v>1176</v>
      </c>
      <c r="K550" s="18" t="s">
        <v>1170</v>
      </c>
      <c r="L550" s="18" t="e">
        <v>#N/A</v>
      </c>
      <c r="M550" s="18" t="e">
        <f t="shared" si="34"/>
        <v>#N/A</v>
      </c>
      <c r="N550" s="18">
        <v>10</v>
      </c>
      <c r="O550" s="20">
        <v>1</v>
      </c>
      <c r="P550" s="19">
        <v>32000</v>
      </c>
      <c r="Q550" s="18" t="s">
        <v>33</v>
      </c>
      <c r="R550" s="21" t="e">
        <v>#N/A</v>
      </c>
      <c r="S550" s="21" t="e">
        <v>#N/A</v>
      </c>
      <c r="T550" s="21" t="e">
        <v>#N/A</v>
      </c>
      <c r="U550" s="21" t="str">
        <f t="shared" si="31"/>
        <v>ADD-ON</v>
      </c>
      <c r="V550" s="21" t="e">
        <f t="shared" si="32"/>
        <v>#N/A</v>
      </c>
    </row>
    <row r="551" spans="1:22" ht="15" thickBot="1">
      <c r="A551" s="18" t="s">
        <v>1161</v>
      </c>
      <c r="B551" s="18" t="s">
        <v>1162</v>
      </c>
      <c r="C551" s="18" t="s">
        <v>1163</v>
      </c>
      <c r="D551" s="18" t="s">
        <v>1164</v>
      </c>
      <c r="E551" s="18" t="s">
        <v>1165</v>
      </c>
      <c r="F551" s="18" t="s">
        <v>1166</v>
      </c>
      <c r="G551" s="19">
        <v>19200</v>
      </c>
      <c r="H551" s="165" t="s">
        <v>1178</v>
      </c>
      <c r="I551" s="167" t="s">
        <v>1179</v>
      </c>
      <c r="J551" s="165" t="s">
        <v>1176</v>
      </c>
      <c r="K551" s="18" t="s">
        <v>1170</v>
      </c>
      <c r="L551" s="18" t="e">
        <v>#N/A</v>
      </c>
      <c r="M551" s="18" t="e">
        <f t="shared" si="34"/>
        <v>#N/A</v>
      </c>
      <c r="N551" s="18">
        <v>10</v>
      </c>
      <c r="O551" s="20">
        <v>1</v>
      </c>
      <c r="P551" s="19">
        <v>32000</v>
      </c>
      <c r="Q551" s="18" t="s">
        <v>36</v>
      </c>
      <c r="R551" s="21" t="s">
        <v>1389</v>
      </c>
      <c r="S551" s="21" t="s">
        <v>1389</v>
      </c>
      <c r="T551" s="21" t="s">
        <v>1390</v>
      </c>
      <c r="U551" s="21" t="str">
        <f t="shared" si="31"/>
        <v>ADD-ON</v>
      </c>
      <c r="V551" s="21" t="str">
        <f t="shared" si="32"/>
        <v>EQUIPMENT MAINTENANCE ASSISTANTEQUIPMENT MAINTENANCE ASSISTANTVIRTUAL PROCESSOR COREADD-ON</v>
      </c>
    </row>
    <row r="552" spans="1:22" ht="15" thickBot="1">
      <c r="A552" s="18" t="s">
        <v>1161</v>
      </c>
      <c r="B552" s="18" t="s">
        <v>1162</v>
      </c>
      <c r="C552" s="18" t="s">
        <v>1163</v>
      </c>
      <c r="D552" s="18" t="s">
        <v>1164</v>
      </c>
      <c r="E552" s="18" t="s">
        <v>1165</v>
      </c>
      <c r="F552" s="18" t="s">
        <v>1166</v>
      </c>
      <c r="G552" s="19">
        <v>117000</v>
      </c>
      <c r="H552" s="165" t="s">
        <v>1180</v>
      </c>
      <c r="I552" s="167" t="s">
        <v>1181</v>
      </c>
      <c r="J552" s="165" t="s">
        <v>1182</v>
      </c>
      <c r="K552" s="18" t="s">
        <v>1183</v>
      </c>
      <c r="L552" s="18" t="e">
        <v>#N/A</v>
      </c>
      <c r="M552" s="18" t="e">
        <f t="shared" si="34"/>
        <v>#N/A</v>
      </c>
      <c r="N552" s="18">
        <v>10</v>
      </c>
      <c r="O552" s="20">
        <v>1</v>
      </c>
      <c r="P552" s="19">
        <v>585000</v>
      </c>
      <c r="Q552" s="18" t="s">
        <v>31</v>
      </c>
      <c r="R552" s="21" t="e">
        <v>#N/A</v>
      </c>
      <c r="S552" s="21" t="e">
        <v>#N/A</v>
      </c>
      <c r="T552" s="21" t="e">
        <v>#N/A</v>
      </c>
      <c r="U552" s="21" t="str">
        <f t="shared" si="31"/>
        <v>ADD-ON</v>
      </c>
      <c r="V552" s="21" t="e">
        <f t="shared" si="32"/>
        <v>#N/A</v>
      </c>
    </row>
    <row r="553" spans="1:22" ht="15" thickBot="1">
      <c r="A553" s="18" t="s">
        <v>1161</v>
      </c>
      <c r="B553" s="18" t="s">
        <v>1162</v>
      </c>
      <c r="C553" s="18" t="s">
        <v>1163</v>
      </c>
      <c r="D553" s="18" t="s">
        <v>1164</v>
      </c>
      <c r="E553" s="18" t="s">
        <v>1165</v>
      </c>
      <c r="F553" s="18" t="s">
        <v>1166</v>
      </c>
      <c r="G553" s="19">
        <v>585000</v>
      </c>
      <c r="H553" s="165" t="s">
        <v>1182</v>
      </c>
      <c r="I553" s="167" t="s">
        <v>1184</v>
      </c>
      <c r="J553" s="165" t="s">
        <v>1182</v>
      </c>
      <c r="K553" s="18" t="s">
        <v>1183</v>
      </c>
      <c r="L553" s="18" t="e">
        <v>#N/A</v>
      </c>
      <c r="M553" s="18" t="e">
        <f t="shared" si="34"/>
        <v>#N/A</v>
      </c>
      <c r="N553" s="18">
        <v>10</v>
      </c>
      <c r="O553" s="20">
        <v>1</v>
      </c>
      <c r="P553" s="19">
        <v>585000</v>
      </c>
      <c r="Q553" s="18" t="s">
        <v>33</v>
      </c>
      <c r="R553" s="21" t="e">
        <v>#N/A</v>
      </c>
      <c r="S553" s="21" t="e">
        <v>#N/A</v>
      </c>
      <c r="T553" s="21" t="e">
        <v>#N/A</v>
      </c>
      <c r="U553" s="21" t="str">
        <f t="shared" si="31"/>
        <v>ADD-ON</v>
      </c>
      <c r="V553" s="21" t="e">
        <f t="shared" si="32"/>
        <v>#N/A</v>
      </c>
    </row>
    <row r="554" spans="1:22" ht="15" thickBot="1">
      <c r="A554" s="18" t="s">
        <v>1161</v>
      </c>
      <c r="B554" s="18" t="s">
        <v>1162</v>
      </c>
      <c r="C554" s="18" t="s">
        <v>1163</v>
      </c>
      <c r="D554" s="18" t="s">
        <v>1164</v>
      </c>
      <c r="E554" s="18" t="s">
        <v>1165</v>
      </c>
      <c r="F554" s="18" t="s">
        <v>1166</v>
      </c>
      <c r="G554" s="19">
        <v>351000</v>
      </c>
      <c r="H554" s="165" t="s">
        <v>1185</v>
      </c>
      <c r="I554" s="167" t="s">
        <v>1186</v>
      </c>
      <c r="J554" s="165" t="s">
        <v>1182</v>
      </c>
      <c r="K554" s="18" t="s">
        <v>1183</v>
      </c>
      <c r="L554" s="18" t="e">
        <v>#N/A</v>
      </c>
      <c r="M554" s="18" t="e">
        <f t="shared" si="34"/>
        <v>#N/A</v>
      </c>
      <c r="N554" s="18">
        <v>10</v>
      </c>
      <c r="O554" s="20">
        <v>1</v>
      </c>
      <c r="P554" s="19">
        <v>585000</v>
      </c>
      <c r="Q554" s="18" t="s">
        <v>36</v>
      </c>
      <c r="R554" s="21" t="s">
        <v>1389</v>
      </c>
      <c r="S554" s="21" t="s">
        <v>1389</v>
      </c>
      <c r="T554" s="21" t="s">
        <v>1390</v>
      </c>
      <c r="U554" s="21" t="str">
        <f t="shared" si="31"/>
        <v>ADD-ON</v>
      </c>
      <c r="V554" s="21" t="str">
        <f t="shared" si="32"/>
        <v>EQUIPMENT MAINTENANCE ASSISTANTEQUIPMENT MAINTENANCE ASSISTANTVIRTUAL PROCESSOR COREADD-ON</v>
      </c>
    </row>
    <row r="555" spans="1:22" ht="29.25" customHeight="1" thickBot="1">
      <c r="A555" s="18" t="s">
        <v>1161</v>
      </c>
      <c r="B555" s="18" t="s">
        <v>1162</v>
      </c>
      <c r="C555" s="18" t="s">
        <v>1163</v>
      </c>
      <c r="D555" s="18" t="s">
        <v>1164</v>
      </c>
      <c r="E555" s="18" t="s">
        <v>1165</v>
      </c>
      <c r="F555" s="18" t="s">
        <v>1166</v>
      </c>
      <c r="G555" s="19">
        <v>26000</v>
      </c>
      <c r="H555" s="165" t="s">
        <v>1187</v>
      </c>
      <c r="I555" s="160" t="s">
        <v>1188</v>
      </c>
      <c r="J555" s="165" t="s">
        <v>1189</v>
      </c>
      <c r="K555" s="18" t="s">
        <v>375</v>
      </c>
      <c r="L555" s="18" t="e">
        <v>#N/A</v>
      </c>
      <c r="M555" s="18" t="e">
        <f t="shared" si="34"/>
        <v>#N/A</v>
      </c>
      <c r="N555" s="18">
        <v>10</v>
      </c>
      <c r="O555" s="20">
        <v>1</v>
      </c>
      <c r="P555" s="19">
        <v>130000</v>
      </c>
      <c r="Q555" s="18" t="s">
        <v>31</v>
      </c>
      <c r="R555" s="21" t="e">
        <v>#N/A</v>
      </c>
      <c r="S555" s="21" t="e">
        <v>#N/A</v>
      </c>
      <c r="T555" s="21" t="e">
        <v>#N/A</v>
      </c>
      <c r="U555" s="21" t="str">
        <f t="shared" si="31"/>
        <v>ADD-ON</v>
      </c>
      <c r="V555" s="21" t="e">
        <f t="shared" si="32"/>
        <v>#N/A</v>
      </c>
    </row>
    <row r="556" spans="1:22" ht="29.25" customHeight="1" thickBot="1">
      <c r="A556" s="18" t="s">
        <v>1161</v>
      </c>
      <c r="B556" s="18" t="s">
        <v>1162</v>
      </c>
      <c r="C556" s="18" t="s">
        <v>1163</v>
      </c>
      <c r="D556" s="18" t="s">
        <v>1164</v>
      </c>
      <c r="E556" s="18" t="s">
        <v>1165</v>
      </c>
      <c r="F556" s="18" t="s">
        <v>1166</v>
      </c>
      <c r="G556" s="19">
        <v>130000</v>
      </c>
      <c r="H556" s="165" t="s">
        <v>1189</v>
      </c>
      <c r="I556" s="160" t="s">
        <v>1190</v>
      </c>
      <c r="J556" s="165" t="s">
        <v>1189</v>
      </c>
      <c r="K556" s="18" t="s">
        <v>375</v>
      </c>
      <c r="L556" s="18" t="e">
        <v>#N/A</v>
      </c>
      <c r="M556" s="18" t="e">
        <f t="shared" si="34"/>
        <v>#N/A</v>
      </c>
      <c r="N556" s="18">
        <v>10</v>
      </c>
      <c r="O556" s="20">
        <v>1</v>
      </c>
      <c r="P556" s="19">
        <v>130000</v>
      </c>
      <c r="Q556" s="18" t="s">
        <v>33</v>
      </c>
      <c r="R556" s="21" t="e">
        <v>#N/A</v>
      </c>
      <c r="S556" s="21" t="e">
        <v>#N/A</v>
      </c>
      <c r="T556" s="21" t="e">
        <v>#N/A</v>
      </c>
      <c r="U556" s="21" t="str">
        <f t="shared" si="31"/>
        <v>ADD-ON</v>
      </c>
      <c r="V556" s="21" t="e">
        <f t="shared" si="32"/>
        <v>#N/A</v>
      </c>
    </row>
    <row r="557" spans="1:22" ht="15" thickBot="1">
      <c r="A557" s="18" t="s">
        <v>1161</v>
      </c>
      <c r="B557" s="18" t="s">
        <v>1162</v>
      </c>
      <c r="C557" s="18" t="s">
        <v>1163</v>
      </c>
      <c r="D557" s="18" t="s">
        <v>1164</v>
      </c>
      <c r="E557" s="18" t="s">
        <v>1165</v>
      </c>
      <c r="F557" s="18" t="s">
        <v>1166</v>
      </c>
      <c r="G557" s="19">
        <v>78000</v>
      </c>
      <c r="H557" s="165" t="s">
        <v>1191</v>
      </c>
      <c r="I557" s="160" t="s">
        <v>1192</v>
      </c>
      <c r="J557" s="165" t="s">
        <v>1189</v>
      </c>
      <c r="K557" s="18" t="s">
        <v>375</v>
      </c>
      <c r="L557" s="18" t="e">
        <v>#N/A</v>
      </c>
      <c r="M557" s="18" t="e">
        <f t="shared" si="34"/>
        <v>#N/A</v>
      </c>
      <c r="N557" s="18">
        <v>10</v>
      </c>
      <c r="O557" s="20">
        <v>1</v>
      </c>
      <c r="P557" s="19">
        <v>130000</v>
      </c>
      <c r="Q557" s="18" t="s">
        <v>36</v>
      </c>
      <c r="R557" s="21" t="s">
        <v>1389</v>
      </c>
      <c r="S557" s="21" t="s">
        <v>1389</v>
      </c>
      <c r="T557" s="21" t="s">
        <v>1390</v>
      </c>
      <c r="U557" s="21" t="str">
        <f t="shared" si="31"/>
        <v>ADD-ON</v>
      </c>
      <c r="V557" s="21" t="str">
        <f t="shared" si="32"/>
        <v>EQUIPMENT MAINTENANCE ASSISTANTEQUIPMENT MAINTENANCE ASSISTANTVIRTUAL PROCESSOR COREADD-ON</v>
      </c>
    </row>
    <row r="558" spans="1:22" ht="15" thickBot="1">
      <c r="A558" s="18" t="s">
        <v>1161</v>
      </c>
      <c r="B558" s="18" t="s">
        <v>1162</v>
      </c>
      <c r="C558" s="18" t="s">
        <v>1163</v>
      </c>
      <c r="D558" s="18" t="s">
        <v>1164</v>
      </c>
      <c r="E558" s="18" t="s">
        <v>1165</v>
      </c>
      <c r="F558" s="18" t="s">
        <v>1166</v>
      </c>
      <c r="G558" s="19">
        <v>130000</v>
      </c>
      <c r="H558" s="165" t="s">
        <v>1193</v>
      </c>
      <c r="I558" s="167" t="s">
        <v>1194</v>
      </c>
      <c r="J558" s="165" t="s">
        <v>1195</v>
      </c>
      <c r="K558" s="18" t="s">
        <v>1183</v>
      </c>
      <c r="L558" s="18" t="e">
        <v>#N/A</v>
      </c>
      <c r="M558" s="18" t="e">
        <f t="shared" si="34"/>
        <v>#N/A</v>
      </c>
      <c r="N558" s="18">
        <v>10</v>
      </c>
      <c r="O558" s="20">
        <v>1</v>
      </c>
      <c r="P558" s="19">
        <v>650000</v>
      </c>
      <c r="Q558" s="18" t="s">
        <v>31</v>
      </c>
      <c r="R558" s="21" t="e">
        <v>#N/A</v>
      </c>
      <c r="S558" s="21" t="e">
        <v>#N/A</v>
      </c>
      <c r="T558" s="21" t="e">
        <v>#N/A</v>
      </c>
      <c r="U558" s="21" t="str">
        <f t="shared" si="31"/>
        <v>NOT AN ADD-ON</v>
      </c>
      <c r="V558" s="21" t="e">
        <f t="shared" si="32"/>
        <v>#N/A</v>
      </c>
    </row>
    <row r="559" spans="1:22" ht="15" thickBot="1">
      <c r="A559" s="18" t="s">
        <v>1161</v>
      </c>
      <c r="B559" s="18" t="s">
        <v>1162</v>
      </c>
      <c r="C559" s="18" t="s">
        <v>1163</v>
      </c>
      <c r="D559" s="18" t="s">
        <v>1164</v>
      </c>
      <c r="E559" s="18" t="s">
        <v>1165</v>
      </c>
      <c r="F559" s="18" t="s">
        <v>1166</v>
      </c>
      <c r="G559" s="19">
        <v>650000</v>
      </c>
      <c r="H559" s="165" t="s">
        <v>1195</v>
      </c>
      <c r="I559" s="160" t="s">
        <v>1196</v>
      </c>
      <c r="J559" s="165" t="s">
        <v>1195</v>
      </c>
      <c r="K559" s="18" t="s">
        <v>1183</v>
      </c>
      <c r="L559" s="18" t="e">
        <v>#N/A</v>
      </c>
      <c r="M559" s="18" t="e">
        <f t="shared" si="34"/>
        <v>#N/A</v>
      </c>
      <c r="N559" s="18">
        <v>10</v>
      </c>
      <c r="O559" s="20">
        <v>1</v>
      </c>
      <c r="P559" s="19">
        <v>650000</v>
      </c>
      <c r="Q559" s="18" t="s">
        <v>33</v>
      </c>
      <c r="R559" s="21" t="e">
        <v>#N/A</v>
      </c>
      <c r="S559" s="21" t="e">
        <v>#N/A</v>
      </c>
      <c r="T559" s="21" t="e">
        <v>#N/A</v>
      </c>
      <c r="U559" s="21" t="str">
        <f t="shared" si="31"/>
        <v>NOT AN ADD-ON</v>
      </c>
      <c r="V559" s="21" t="e">
        <f t="shared" si="32"/>
        <v>#N/A</v>
      </c>
    </row>
    <row r="560" spans="1:22" ht="29.25" customHeight="1" thickBot="1">
      <c r="A560" s="18" t="s">
        <v>1161</v>
      </c>
      <c r="B560" s="18" t="s">
        <v>1162</v>
      </c>
      <c r="C560" s="18" t="s">
        <v>1163</v>
      </c>
      <c r="D560" s="18" t="s">
        <v>1164</v>
      </c>
      <c r="E560" s="18" t="s">
        <v>1165</v>
      </c>
      <c r="F560" s="18" t="s">
        <v>1166</v>
      </c>
      <c r="G560" s="19">
        <v>390000</v>
      </c>
      <c r="H560" s="165" t="s">
        <v>1197</v>
      </c>
      <c r="I560" s="160" t="s">
        <v>1198</v>
      </c>
      <c r="J560" s="165" t="s">
        <v>1195</v>
      </c>
      <c r="K560" s="18" t="s">
        <v>1183</v>
      </c>
      <c r="L560" s="18" t="e">
        <v>#N/A</v>
      </c>
      <c r="M560" s="18" t="e">
        <f t="shared" si="34"/>
        <v>#N/A</v>
      </c>
      <c r="N560" s="18">
        <v>10</v>
      </c>
      <c r="O560" s="20">
        <v>1</v>
      </c>
      <c r="P560" s="19">
        <v>650000</v>
      </c>
      <c r="Q560" s="18" t="s">
        <v>36</v>
      </c>
      <c r="R560" s="21" t="s">
        <v>1389</v>
      </c>
      <c r="S560" s="21" t="s">
        <v>1389</v>
      </c>
      <c r="T560" s="21" t="s">
        <v>1390</v>
      </c>
      <c r="U560" s="21" t="str">
        <f t="shared" si="31"/>
        <v>NOT AN ADD-ON</v>
      </c>
      <c r="V560" s="21" t="str">
        <f t="shared" si="32"/>
        <v>EQUIPMENT MAINTENANCE ASSISTANTEQUIPMENT MAINTENANCE ASSISTANTVIRTUAL PROCESSOR CORENOT AN ADD-ON</v>
      </c>
    </row>
    <row r="561" spans="1:22" ht="15" thickBot="1">
      <c r="A561" s="18" t="s">
        <v>1161</v>
      </c>
      <c r="B561" s="18" t="s">
        <v>1133</v>
      </c>
      <c r="C561" s="18" t="s">
        <v>1133</v>
      </c>
      <c r="D561" s="18" t="s">
        <v>1164</v>
      </c>
      <c r="E561" s="18" t="s">
        <v>1165</v>
      </c>
      <c r="F561" s="18" t="s">
        <v>1166</v>
      </c>
      <c r="G561" s="19">
        <v>63600</v>
      </c>
      <c r="H561" s="165" t="s">
        <v>1199</v>
      </c>
      <c r="I561" s="167" t="s">
        <v>1200</v>
      </c>
      <c r="J561" s="165" t="s">
        <v>1201</v>
      </c>
      <c r="K561" s="18" t="s">
        <v>375</v>
      </c>
      <c r="L561" s="18" t="e">
        <v>#N/A</v>
      </c>
      <c r="M561" s="18" t="e">
        <f t="shared" si="34"/>
        <v>#N/A</v>
      </c>
      <c r="N561" s="18">
        <v>10</v>
      </c>
      <c r="O561" s="20">
        <v>1</v>
      </c>
      <c r="P561" s="19">
        <v>318000</v>
      </c>
      <c r="Q561" s="18" t="s">
        <v>31</v>
      </c>
      <c r="R561" s="21" t="e">
        <v>#N/A</v>
      </c>
      <c r="S561" s="21" t="e">
        <v>#N/A</v>
      </c>
      <c r="T561" s="21" t="e">
        <v>#N/A</v>
      </c>
      <c r="U561" s="21" t="str">
        <f t="shared" si="31"/>
        <v>NOT AN ADD-ON</v>
      </c>
      <c r="V561" s="21" t="e">
        <f t="shared" si="32"/>
        <v>#N/A</v>
      </c>
    </row>
    <row r="562" spans="1:22" ht="15" thickBot="1">
      <c r="A562" s="18" t="s">
        <v>1161</v>
      </c>
      <c r="B562" s="18" t="s">
        <v>1133</v>
      </c>
      <c r="C562" s="18" t="s">
        <v>1133</v>
      </c>
      <c r="D562" s="18" t="s">
        <v>1164</v>
      </c>
      <c r="E562" s="18" t="s">
        <v>1165</v>
      </c>
      <c r="F562" s="18" t="s">
        <v>1166</v>
      </c>
      <c r="G562" s="19">
        <v>318000</v>
      </c>
      <c r="H562" s="165" t="s">
        <v>1201</v>
      </c>
      <c r="I562" s="160" t="s">
        <v>1202</v>
      </c>
      <c r="J562" s="165" t="s">
        <v>1201</v>
      </c>
      <c r="K562" s="18" t="s">
        <v>375</v>
      </c>
      <c r="L562" s="18" t="e">
        <v>#N/A</v>
      </c>
      <c r="M562" s="18" t="e">
        <f t="shared" si="34"/>
        <v>#N/A</v>
      </c>
      <c r="N562" s="18">
        <v>10</v>
      </c>
      <c r="O562" s="20">
        <v>1</v>
      </c>
      <c r="P562" s="19">
        <v>318000</v>
      </c>
      <c r="Q562" s="18" t="s">
        <v>33</v>
      </c>
      <c r="R562" s="21" t="e">
        <v>#N/A</v>
      </c>
      <c r="S562" s="21" t="e">
        <v>#N/A</v>
      </c>
      <c r="T562" s="21" t="e">
        <v>#N/A</v>
      </c>
      <c r="U562" s="21" t="str">
        <f t="shared" si="31"/>
        <v>NOT AN ADD-ON</v>
      </c>
      <c r="V562" s="21" t="e">
        <f t="shared" si="32"/>
        <v>#N/A</v>
      </c>
    </row>
    <row r="563" spans="1:22" ht="15" thickBot="1">
      <c r="A563" s="18" t="s">
        <v>1161</v>
      </c>
      <c r="B563" s="18" t="s">
        <v>1133</v>
      </c>
      <c r="C563" s="18" t="s">
        <v>1133</v>
      </c>
      <c r="D563" s="18" t="s">
        <v>1164</v>
      </c>
      <c r="E563" s="18" t="s">
        <v>1165</v>
      </c>
      <c r="F563" s="18" t="s">
        <v>1166</v>
      </c>
      <c r="G563" s="19">
        <v>191000</v>
      </c>
      <c r="H563" s="165" t="s">
        <v>1203</v>
      </c>
      <c r="I563" s="167" t="s">
        <v>1204</v>
      </c>
      <c r="J563" s="165" t="s">
        <v>1201</v>
      </c>
      <c r="K563" s="18" t="s">
        <v>375</v>
      </c>
      <c r="L563" s="18" t="e">
        <v>#N/A</v>
      </c>
      <c r="M563" s="18" t="e">
        <f t="shared" si="34"/>
        <v>#N/A</v>
      </c>
      <c r="N563" s="18">
        <v>10</v>
      </c>
      <c r="O563" s="20">
        <v>1</v>
      </c>
      <c r="P563" s="19">
        <v>318000</v>
      </c>
      <c r="Q563" s="18" t="s">
        <v>36</v>
      </c>
      <c r="R563" s="21" t="s">
        <v>1389</v>
      </c>
      <c r="S563" s="21" t="s">
        <v>1389</v>
      </c>
      <c r="T563" s="21" t="s">
        <v>1382</v>
      </c>
      <c r="U563" s="21" t="str">
        <f t="shared" si="31"/>
        <v>NOT AN ADD-ON</v>
      </c>
      <c r="V563" s="21" t="str">
        <f t="shared" si="32"/>
        <v>EQUIPMENT MAINTENANCE ASSISTANTEQUIPMENT MAINTENANCE ASSISTANTRESOURCE VALUENOT AN ADD-ON</v>
      </c>
    </row>
    <row r="564" spans="1:22" ht="15" thickBot="1">
      <c r="A564" s="18" t="s">
        <v>1161</v>
      </c>
      <c r="B564" s="18" t="s">
        <v>1133</v>
      </c>
      <c r="C564" s="18" t="s">
        <v>1133</v>
      </c>
      <c r="D564" s="18" t="s">
        <v>1164</v>
      </c>
      <c r="E564" s="18" t="s">
        <v>1165</v>
      </c>
      <c r="F564" s="18" t="s">
        <v>1166</v>
      </c>
      <c r="G564" s="19">
        <v>125000</v>
      </c>
      <c r="H564" s="165" t="s">
        <v>1205</v>
      </c>
      <c r="I564" s="167" t="s">
        <v>1206</v>
      </c>
      <c r="J564" s="165" t="s">
        <v>1207</v>
      </c>
      <c r="K564" s="18" t="s">
        <v>1208</v>
      </c>
      <c r="L564" s="18" t="e">
        <v>#N/A</v>
      </c>
      <c r="M564" s="18" t="e">
        <f t="shared" si="34"/>
        <v>#N/A</v>
      </c>
      <c r="N564" s="18">
        <v>10</v>
      </c>
      <c r="O564" s="20">
        <v>1</v>
      </c>
      <c r="P564" s="19">
        <v>624000</v>
      </c>
      <c r="Q564" s="18" t="s">
        <v>31</v>
      </c>
      <c r="R564" s="21" t="e">
        <v>#N/A</v>
      </c>
      <c r="S564" s="21" t="e">
        <v>#N/A</v>
      </c>
      <c r="T564" s="21" t="e">
        <v>#N/A</v>
      </c>
      <c r="U564" s="21" t="str">
        <f t="shared" si="31"/>
        <v>NOT AN ADD-ON</v>
      </c>
      <c r="V564" s="21" t="e">
        <f t="shared" si="32"/>
        <v>#N/A</v>
      </c>
    </row>
    <row r="565" spans="1:22" ht="15" thickBot="1">
      <c r="A565" s="18" t="s">
        <v>1161</v>
      </c>
      <c r="B565" s="18" t="s">
        <v>1133</v>
      </c>
      <c r="C565" s="18" t="s">
        <v>1133</v>
      </c>
      <c r="D565" s="18" t="s">
        <v>1164</v>
      </c>
      <c r="E565" s="18" t="s">
        <v>1165</v>
      </c>
      <c r="F565" s="18" t="s">
        <v>1166</v>
      </c>
      <c r="G565" s="19">
        <v>624000</v>
      </c>
      <c r="H565" s="165" t="s">
        <v>1207</v>
      </c>
      <c r="I565" s="167" t="s">
        <v>1209</v>
      </c>
      <c r="J565" s="165" t="s">
        <v>1207</v>
      </c>
      <c r="K565" s="18" t="s">
        <v>1208</v>
      </c>
      <c r="L565" s="18" t="e">
        <v>#N/A</v>
      </c>
      <c r="M565" s="18" t="e">
        <f t="shared" si="34"/>
        <v>#N/A</v>
      </c>
      <c r="N565" s="18">
        <v>10</v>
      </c>
      <c r="O565" s="20">
        <v>1</v>
      </c>
      <c r="P565" s="19">
        <v>624000</v>
      </c>
      <c r="Q565" s="18" t="s">
        <v>33</v>
      </c>
      <c r="R565" s="21" t="e">
        <v>#N/A</v>
      </c>
      <c r="S565" s="21" t="e">
        <v>#N/A</v>
      </c>
      <c r="T565" s="21" t="e">
        <v>#N/A</v>
      </c>
      <c r="U565" s="21" t="str">
        <f t="shared" si="31"/>
        <v>NOT AN ADD-ON</v>
      </c>
      <c r="V565" s="21" t="e">
        <f t="shared" si="32"/>
        <v>#N/A</v>
      </c>
    </row>
    <row r="566" spans="1:22" ht="15" thickBot="1">
      <c r="A566" s="18" t="s">
        <v>1161</v>
      </c>
      <c r="B566" s="18" t="s">
        <v>1133</v>
      </c>
      <c r="C566" s="18" t="s">
        <v>1133</v>
      </c>
      <c r="D566" s="18" t="s">
        <v>1164</v>
      </c>
      <c r="E566" s="18" t="s">
        <v>1165</v>
      </c>
      <c r="F566" s="18" t="s">
        <v>1166</v>
      </c>
      <c r="G566" s="19">
        <v>374000</v>
      </c>
      <c r="H566" s="165" t="s">
        <v>1210</v>
      </c>
      <c r="I566" s="167" t="s">
        <v>1211</v>
      </c>
      <c r="J566" s="165" t="s">
        <v>1207</v>
      </c>
      <c r="K566" s="18" t="s">
        <v>1208</v>
      </c>
      <c r="L566" s="18" t="e">
        <v>#N/A</v>
      </c>
      <c r="M566" s="18" t="e">
        <f t="shared" si="34"/>
        <v>#N/A</v>
      </c>
      <c r="N566" s="18">
        <v>10</v>
      </c>
      <c r="O566" s="20">
        <v>1</v>
      </c>
      <c r="P566" s="19">
        <v>624000</v>
      </c>
      <c r="Q566" s="18" t="s">
        <v>36</v>
      </c>
      <c r="R566" s="21" t="s">
        <v>1389</v>
      </c>
      <c r="S566" s="21" t="s">
        <v>1389</v>
      </c>
      <c r="T566" s="21" t="s">
        <v>1390</v>
      </c>
      <c r="U566" s="21" t="str">
        <f t="shared" si="31"/>
        <v>NOT AN ADD-ON</v>
      </c>
      <c r="V566" s="21" t="str">
        <f t="shared" si="32"/>
        <v>EQUIPMENT MAINTENANCE ASSISTANTEQUIPMENT MAINTENANCE ASSISTANTVIRTUAL PROCESSOR CORENOT AN ADD-ON</v>
      </c>
    </row>
    <row r="567" spans="1:22" ht="15" thickBot="1">
      <c r="A567" s="18" t="s">
        <v>1161</v>
      </c>
      <c r="B567" s="18" t="s">
        <v>1162</v>
      </c>
      <c r="C567" s="18" t="s">
        <v>1163</v>
      </c>
      <c r="D567" s="18" t="s">
        <v>1164</v>
      </c>
      <c r="E567" s="18" t="s">
        <v>1165</v>
      </c>
      <c r="F567" s="18" t="s">
        <v>1166</v>
      </c>
      <c r="G567" s="19">
        <v>24000</v>
      </c>
      <c r="H567" s="165" t="s">
        <v>1212</v>
      </c>
      <c r="I567" s="160" t="s">
        <v>1213</v>
      </c>
      <c r="J567" s="165" t="s">
        <v>1214</v>
      </c>
      <c r="K567" s="18" t="s">
        <v>375</v>
      </c>
      <c r="L567" s="18" t="e">
        <v>#N/A</v>
      </c>
      <c r="M567" s="18" t="e">
        <f t="shared" si="34"/>
        <v>#N/A</v>
      </c>
      <c r="N567" s="18">
        <v>10</v>
      </c>
      <c r="O567" s="20">
        <v>1</v>
      </c>
      <c r="P567" s="19">
        <v>120000</v>
      </c>
      <c r="Q567" s="18" t="s">
        <v>31</v>
      </c>
      <c r="R567" s="21" t="e">
        <v>#N/A</v>
      </c>
      <c r="S567" s="21" t="e">
        <v>#N/A</v>
      </c>
      <c r="T567" s="21" t="e">
        <v>#N/A</v>
      </c>
      <c r="U567" s="21" t="str">
        <f t="shared" si="31"/>
        <v>NOT AN ADD-ON</v>
      </c>
      <c r="V567" s="21" t="e">
        <f t="shared" si="32"/>
        <v>#N/A</v>
      </c>
    </row>
    <row r="568" spans="1:22" ht="15" thickBot="1">
      <c r="A568" s="18" t="s">
        <v>1161</v>
      </c>
      <c r="B568" s="18" t="s">
        <v>1162</v>
      </c>
      <c r="C568" s="18" t="s">
        <v>1163</v>
      </c>
      <c r="D568" s="18" t="s">
        <v>1164</v>
      </c>
      <c r="E568" s="18" t="s">
        <v>1165</v>
      </c>
      <c r="F568" s="18" t="s">
        <v>1166</v>
      </c>
      <c r="G568" s="19">
        <v>120000</v>
      </c>
      <c r="H568" s="165" t="s">
        <v>1214</v>
      </c>
      <c r="I568" s="160" t="s">
        <v>1215</v>
      </c>
      <c r="J568" s="165" t="s">
        <v>1214</v>
      </c>
      <c r="K568" s="18" t="s">
        <v>375</v>
      </c>
      <c r="L568" s="18" t="e">
        <v>#N/A</v>
      </c>
      <c r="M568" s="18" t="e">
        <f t="shared" si="34"/>
        <v>#N/A</v>
      </c>
      <c r="N568" s="18">
        <v>10</v>
      </c>
      <c r="O568" s="20">
        <v>1</v>
      </c>
      <c r="P568" s="19">
        <v>120000</v>
      </c>
      <c r="Q568" s="18" t="s">
        <v>33</v>
      </c>
      <c r="R568" s="21" t="e">
        <v>#N/A</v>
      </c>
      <c r="S568" s="21" t="e">
        <v>#N/A</v>
      </c>
      <c r="T568" s="21" t="e">
        <v>#N/A</v>
      </c>
      <c r="U568" s="21" t="str">
        <f t="shared" si="31"/>
        <v>NOT AN ADD-ON</v>
      </c>
      <c r="V568" s="21" t="e">
        <f t="shared" si="32"/>
        <v>#N/A</v>
      </c>
    </row>
    <row r="569" spans="1:22" ht="15" thickBot="1">
      <c r="A569" s="18" t="s">
        <v>1161</v>
      </c>
      <c r="B569" s="18" t="s">
        <v>1162</v>
      </c>
      <c r="C569" s="18" t="s">
        <v>1163</v>
      </c>
      <c r="D569" s="18" t="s">
        <v>1164</v>
      </c>
      <c r="E569" s="18" t="s">
        <v>1165</v>
      </c>
      <c r="F569" s="18" t="s">
        <v>1166</v>
      </c>
      <c r="G569" s="19">
        <v>72000</v>
      </c>
      <c r="H569" s="165" t="s">
        <v>1216</v>
      </c>
      <c r="I569" s="160" t="s">
        <v>1217</v>
      </c>
      <c r="J569" s="165" t="s">
        <v>1214</v>
      </c>
      <c r="K569" s="18" t="s">
        <v>375</v>
      </c>
      <c r="L569" s="18" t="e">
        <v>#N/A</v>
      </c>
      <c r="M569" s="18" t="e">
        <f t="shared" si="34"/>
        <v>#N/A</v>
      </c>
      <c r="N569" s="18">
        <v>10</v>
      </c>
      <c r="O569" s="20">
        <v>1</v>
      </c>
      <c r="P569" s="19">
        <v>120000</v>
      </c>
      <c r="Q569" s="18" t="s">
        <v>36</v>
      </c>
      <c r="R569" s="21" t="s">
        <v>1389</v>
      </c>
      <c r="S569" s="21" t="s">
        <v>1389</v>
      </c>
      <c r="T569" s="21" t="s">
        <v>1382</v>
      </c>
      <c r="U569" s="21" t="str">
        <f t="shared" si="31"/>
        <v>NOT AN ADD-ON</v>
      </c>
      <c r="V569" s="21" t="str">
        <f t="shared" si="32"/>
        <v>EQUIPMENT MAINTENANCE ASSISTANTEQUIPMENT MAINTENANCE ASSISTANTRESOURCE VALUENOT AN ADD-ON</v>
      </c>
    </row>
    <row r="570" spans="1:22" ht="15" thickBot="1">
      <c r="A570" s="18" t="s">
        <v>1089</v>
      </c>
      <c r="B570" s="18" t="s">
        <v>1133</v>
      </c>
      <c r="C570" s="18" t="s">
        <v>1133</v>
      </c>
      <c r="D570" s="18" t="s">
        <v>1218</v>
      </c>
      <c r="E570" s="18" t="s">
        <v>1219</v>
      </c>
      <c r="F570" s="18" t="s">
        <v>1220</v>
      </c>
      <c r="G570" s="19">
        <v>53800</v>
      </c>
      <c r="H570" s="165" t="s">
        <v>1221</v>
      </c>
      <c r="I570" s="160" t="s">
        <v>1222</v>
      </c>
      <c r="J570" s="165" t="s">
        <v>1223</v>
      </c>
      <c r="K570" s="18" t="s">
        <v>1079</v>
      </c>
      <c r="L570" s="18" t="e">
        <v>#N/A</v>
      </c>
      <c r="M570" s="18" t="e">
        <f t="shared" si="34"/>
        <v>#N/A</v>
      </c>
      <c r="N570" s="18"/>
      <c r="O570" s="20"/>
      <c r="P570" s="19">
        <v>269000</v>
      </c>
      <c r="Q570" s="18" t="s">
        <v>31</v>
      </c>
      <c r="R570" s="21" t="e">
        <v>#N/A</v>
      </c>
      <c r="S570" s="21" t="e">
        <v>#N/A</v>
      </c>
      <c r="T570" s="21" t="e">
        <v>#N/A</v>
      </c>
      <c r="U570" s="21" t="str">
        <f t="shared" si="31"/>
        <v>NOT AN ADD-ON</v>
      </c>
      <c r="V570" s="21" t="e">
        <f t="shared" si="32"/>
        <v>#N/A</v>
      </c>
    </row>
    <row r="571" spans="1:22" ht="15" thickBot="1">
      <c r="A571" s="18" t="s">
        <v>1089</v>
      </c>
      <c r="B571" s="18" t="s">
        <v>1133</v>
      </c>
      <c r="C571" s="18" t="s">
        <v>1133</v>
      </c>
      <c r="D571" s="18" t="s">
        <v>1218</v>
      </c>
      <c r="E571" s="18" t="s">
        <v>1219</v>
      </c>
      <c r="F571" s="18" t="s">
        <v>1220</v>
      </c>
      <c r="G571" s="19">
        <v>269000</v>
      </c>
      <c r="H571" s="165" t="s">
        <v>1223</v>
      </c>
      <c r="I571" s="160" t="s">
        <v>1224</v>
      </c>
      <c r="J571" s="165" t="s">
        <v>1223</v>
      </c>
      <c r="K571" s="18" t="s">
        <v>1079</v>
      </c>
      <c r="L571" s="18" t="e">
        <v>#N/A</v>
      </c>
      <c r="M571" s="18" t="e">
        <f t="shared" si="34"/>
        <v>#N/A</v>
      </c>
      <c r="N571" s="18"/>
      <c r="O571" s="20"/>
      <c r="P571" s="19">
        <v>269000</v>
      </c>
      <c r="Q571" s="18" t="s">
        <v>33</v>
      </c>
      <c r="R571" s="21" t="e">
        <v>#N/A</v>
      </c>
      <c r="S571" s="21" t="e">
        <v>#N/A</v>
      </c>
      <c r="T571" s="21" t="e">
        <v>#N/A</v>
      </c>
      <c r="U571" s="21" t="str">
        <f t="shared" si="31"/>
        <v>NOT AN ADD-ON</v>
      </c>
      <c r="V571" s="21" t="e">
        <f t="shared" si="32"/>
        <v>#N/A</v>
      </c>
    </row>
    <row r="572" spans="1:22" ht="29.25" customHeight="1" thickBot="1">
      <c r="A572" s="18" t="s">
        <v>1089</v>
      </c>
      <c r="B572" s="18" t="s">
        <v>1133</v>
      </c>
      <c r="C572" s="18" t="s">
        <v>1133</v>
      </c>
      <c r="D572" s="18" t="s">
        <v>1218</v>
      </c>
      <c r="E572" s="18" t="s">
        <v>1219</v>
      </c>
      <c r="F572" s="18" t="s">
        <v>1220</v>
      </c>
      <c r="G572" s="19">
        <v>161000</v>
      </c>
      <c r="H572" s="165" t="s">
        <v>1225</v>
      </c>
      <c r="I572" s="167" t="s">
        <v>1226</v>
      </c>
      <c r="J572" s="165" t="s">
        <v>1223</v>
      </c>
      <c r="K572" s="18" t="s">
        <v>1079</v>
      </c>
      <c r="L572" s="18" t="e">
        <v>#N/A</v>
      </c>
      <c r="M572" s="18" t="e">
        <f t="shared" si="34"/>
        <v>#N/A</v>
      </c>
      <c r="N572" s="18"/>
      <c r="O572" s="20"/>
      <c r="P572" s="19">
        <v>269000</v>
      </c>
      <c r="Q572" s="18" t="s">
        <v>36</v>
      </c>
      <c r="R572" s="21" t="s">
        <v>1391</v>
      </c>
      <c r="S572" s="21" t="s">
        <v>1391</v>
      </c>
      <c r="T572" s="21" t="s">
        <v>1388</v>
      </c>
      <c r="U572" s="21" t="str">
        <f t="shared" si="31"/>
        <v>NOT AN ADD-ON</v>
      </c>
      <c r="V572" s="21" t="str">
        <f t="shared" si="32"/>
        <v>PREDICTIVE MAINTENANCE AND QUALITYPREDICTIVE MAINTENANCE AND QUALITYNON PRODUCTION INSTALLNOT AN ADD-ON</v>
      </c>
    </row>
    <row r="573" spans="1:22" ht="29.25" customHeight="1" thickBot="1">
      <c r="A573" s="18" t="s">
        <v>1089</v>
      </c>
      <c r="B573" s="18" t="s">
        <v>1133</v>
      </c>
      <c r="C573" s="18" t="s">
        <v>1133</v>
      </c>
      <c r="D573" s="18" t="s">
        <v>1218</v>
      </c>
      <c r="E573" s="18" t="s">
        <v>1219</v>
      </c>
      <c r="F573" s="18" t="s">
        <v>1220</v>
      </c>
      <c r="G573" s="19">
        <v>253000</v>
      </c>
      <c r="H573" s="165" t="s">
        <v>1227</v>
      </c>
      <c r="I573" s="167" t="s">
        <v>1228</v>
      </c>
      <c r="J573" s="165" t="s">
        <v>1223</v>
      </c>
      <c r="K573" s="18" t="s">
        <v>1079</v>
      </c>
      <c r="L573" s="18" t="e">
        <v>#N/A</v>
      </c>
      <c r="M573" s="18" t="e">
        <f t="shared" si="34"/>
        <v>#N/A</v>
      </c>
      <c r="N573" s="18"/>
      <c r="O573" s="20"/>
      <c r="P573" s="19">
        <v>269000</v>
      </c>
      <c r="Q573" s="18" t="s">
        <v>48</v>
      </c>
      <c r="R573" s="21" t="s">
        <v>1391</v>
      </c>
      <c r="S573" s="21" t="s">
        <v>1391</v>
      </c>
      <c r="T573" s="21" t="s">
        <v>1388</v>
      </c>
      <c r="U573" s="21" t="str">
        <f t="shared" si="31"/>
        <v>NOT AN ADD-ON</v>
      </c>
      <c r="V573" s="21" t="str">
        <f t="shared" si="32"/>
        <v>PREDICTIVE MAINTENANCE AND QUALITYPREDICTIVE MAINTENANCE AND QUALITYNON PRODUCTION INSTALLNOT AN ADD-ON</v>
      </c>
    </row>
    <row r="574" spans="1:22" ht="15" thickBot="1">
      <c r="A574" s="18" t="s">
        <v>1089</v>
      </c>
      <c r="B574" s="18" t="s">
        <v>1133</v>
      </c>
      <c r="C574" s="18" t="s">
        <v>1133</v>
      </c>
      <c r="D574" s="18" t="s">
        <v>1218</v>
      </c>
      <c r="E574" s="18" t="s">
        <v>1219</v>
      </c>
      <c r="F574" s="18" t="s">
        <v>1220</v>
      </c>
      <c r="G574" s="19">
        <v>107000</v>
      </c>
      <c r="H574" s="165" t="s">
        <v>1229</v>
      </c>
      <c r="I574" s="160" t="s">
        <v>1230</v>
      </c>
      <c r="J574" s="165" t="s">
        <v>1231</v>
      </c>
      <c r="K574" s="18" t="s">
        <v>1079</v>
      </c>
      <c r="L574" s="18" t="e">
        <v>#N/A</v>
      </c>
      <c r="M574" s="18" t="e">
        <f t="shared" si="34"/>
        <v>#N/A</v>
      </c>
      <c r="N574" s="18"/>
      <c r="O574" s="20"/>
      <c r="P574" s="19">
        <v>538000</v>
      </c>
      <c r="Q574" s="18" t="s">
        <v>31</v>
      </c>
      <c r="R574" s="21" t="e">
        <v>#N/A</v>
      </c>
      <c r="S574" s="21" t="e">
        <v>#N/A</v>
      </c>
      <c r="T574" s="21" t="e">
        <v>#N/A</v>
      </c>
      <c r="U574" s="21" t="str">
        <f t="shared" si="31"/>
        <v>NOT AN ADD-ON</v>
      </c>
      <c r="V574" s="21" t="e">
        <f t="shared" si="32"/>
        <v>#N/A</v>
      </c>
    </row>
    <row r="575" spans="1:22" ht="15" thickBot="1">
      <c r="A575" s="18" t="s">
        <v>1089</v>
      </c>
      <c r="B575" s="18" t="s">
        <v>1133</v>
      </c>
      <c r="C575" s="18" t="s">
        <v>1133</v>
      </c>
      <c r="D575" s="18" t="s">
        <v>1218</v>
      </c>
      <c r="E575" s="18" t="s">
        <v>1219</v>
      </c>
      <c r="F575" s="18" t="s">
        <v>1220</v>
      </c>
      <c r="G575" s="19">
        <v>538000</v>
      </c>
      <c r="H575" s="165" t="s">
        <v>1231</v>
      </c>
      <c r="I575" s="160" t="s">
        <v>1232</v>
      </c>
      <c r="J575" s="165" t="s">
        <v>1231</v>
      </c>
      <c r="K575" s="18" t="s">
        <v>1079</v>
      </c>
      <c r="L575" s="18" t="e">
        <v>#N/A</v>
      </c>
      <c r="M575" s="18" t="e">
        <f t="shared" si="34"/>
        <v>#N/A</v>
      </c>
      <c r="N575" s="18"/>
      <c r="O575" s="20"/>
      <c r="P575" s="19">
        <v>538000</v>
      </c>
      <c r="Q575" s="18" t="s">
        <v>33</v>
      </c>
      <c r="R575" s="21" t="e">
        <v>#N/A</v>
      </c>
      <c r="S575" s="21" t="e">
        <v>#N/A</v>
      </c>
      <c r="T575" s="21" t="e">
        <v>#N/A</v>
      </c>
      <c r="U575" s="21" t="str">
        <f t="shared" si="31"/>
        <v>NOT AN ADD-ON</v>
      </c>
      <c r="V575" s="21" t="e">
        <f t="shared" si="32"/>
        <v>#N/A</v>
      </c>
    </row>
    <row r="576" spans="1:22" ht="15" thickBot="1">
      <c r="A576" s="18" t="s">
        <v>1089</v>
      </c>
      <c r="B576" s="18" t="s">
        <v>1133</v>
      </c>
      <c r="C576" s="18" t="s">
        <v>1133</v>
      </c>
      <c r="D576" s="18" t="s">
        <v>1218</v>
      </c>
      <c r="E576" s="18" t="s">
        <v>1219</v>
      </c>
      <c r="F576" s="18" t="s">
        <v>1220</v>
      </c>
      <c r="G576" s="19">
        <v>322000</v>
      </c>
      <c r="H576" s="165" t="s">
        <v>1233</v>
      </c>
      <c r="I576" s="160" t="s">
        <v>1234</v>
      </c>
      <c r="J576" s="165" t="s">
        <v>1231</v>
      </c>
      <c r="K576" s="18" t="s">
        <v>1079</v>
      </c>
      <c r="L576" s="18" t="e">
        <v>#N/A</v>
      </c>
      <c r="M576" s="18" t="e">
        <f t="shared" si="34"/>
        <v>#N/A</v>
      </c>
      <c r="N576" s="18"/>
      <c r="O576" s="20"/>
      <c r="P576" s="19">
        <v>538000</v>
      </c>
      <c r="Q576" s="18" t="s">
        <v>36</v>
      </c>
      <c r="R576" s="21" t="s">
        <v>1391</v>
      </c>
      <c r="S576" s="21" t="s">
        <v>1391</v>
      </c>
      <c r="T576" s="21" t="s">
        <v>1384</v>
      </c>
      <c r="U576" s="21" t="str">
        <f t="shared" si="31"/>
        <v>NOT AN ADD-ON</v>
      </c>
      <c r="V576" s="21" t="str">
        <f t="shared" si="32"/>
        <v>PREDICTIVE MAINTENANCE AND QUALITYPREDICTIVE MAINTENANCE AND QUALITYINSTALLNOT AN ADD-ON</v>
      </c>
    </row>
    <row r="577" spans="1:22" ht="15" thickBot="1">
      <c r="A577" s="18" t="s">
        <v>1089</v>
      </c>
      <c r="B577" s="18" t="s">
        <v>1133</v>
      </c>
      <c r="C577" s="18" t="s">
        <v>1133</v>
      </c>
      <c r="D577" s="18" t="s">
        <v>1218</v>
      </c>
      <c r="E577" s="18" t="s">
        <v>1219</v>
      </c>
      <c r="F577" s="18" t="s">
        <v>1220</v>
      </c>
      <c r="G577" s="19">
        <v>507000</v>
      </c>
      <c r="H577" s="165" t="s">
        <v>1235</v>
      </c>
      <c r="I577" s="167" t="s">
        <v>1236</v>
      </c>
      <c r="J577" s="165" t="s">
        <v>1231</v>
      </c>
      <c r="K577" s="18" t="s">
        <v>1079</v>
      </c>
      <c r="L577" s="18" t="e">
        <v>#N/A</v>
      </c>
      <c r="M577" s="18" t="e">
        <f t="shared" si="34"/>
        <v>#N/A</v>
      </c>
      <c r="N577" s="18"/>
      <c r="O577" s="20"/>
      <c r="P577" s="19">
        <v>538000</v>
      </c>
      <c r="Q577" s="18" t="s">
        <v>48</v>
      </c>
      <c r="R577" s="21" t="s">
        <v>1391</v>
      </c>
      <c r="S577" s="21" t="s">
        <v>1391</v>
      </c>
      <c r="T577" s="21" t="s">
        <v>1384</v>
      </c>
      <c r="U577" s="21" t="str">
        <f t="shared" si="31"/>
        <v>NOT AN ADD-ON</v>
      </c>
      <c r="V577" s="21" t="str">
        <f t="shared" si="32"/>
        <v>PREDICTIVE MAINTENANCE AND QUALITYPREDICTIVE MAINTENANCE AND QUALITYINSTALLNOT AN ADD-ON</v>
      </c>
    </row>
    <row r="578" spans="1:22" ht="15" thickBot="1">
      <c r="A578" s="18" t="s">
        <v>1089</v>
      </c>
      <c r="B578" s="18" t="s">
        <v>1133</v>
      </c>
      <c r="C578" s="18" t="s">
        <v>1133</v>
      </c>
      <c r="D578" s="18" t="s">
        <v>1218</v>
      </c>
      <c r="E578" s="18" t="s">
        <v>1219</v>
      </c>
      <c r="F578" s="18" t="s">
        <v>1220</v>
      </c>
      <c r="G578" s="19">
        <v>3590</v>
      </c>
      <c r="H578" s="165" t="s">
        <v>1237</v>
      </c>
      <c r="I578" s="160" t="s">
        <v>1238</v>
      </c>
      <c r="J578" s="165" t="s">
        <v>1239</v>
      </c>
      <c r="K578" s="18" t="s">
        <v>375</v>
      </c>
      <c r="L578" s="18" t="e">
        <v>#N/A</v>
      </c>
      <c r="M578" s="18" t="e">
        <f t="shared" si="34"/>
        <v>#N/A</v>
      </c>
      <c r="N578" s="18">
        <v>15</v>
      </c>
      <c r="O578" s="20">
        <v>1</v>
      </c>
      <c r="P578" s="19">
        <v>18000</v>
      </c>
      <c r="Q578" s="18" t="s">
        <v>31</v>
      </c>
      <c r="R578" s="21" t="e">
        <v>#N/A</v>
      </c>
      <c r="S578" s="21" t="e">
        <v>#N/A</v>
      </c>
      <c r="T578" s="21" t="e">
        <v>#N/A</v>
      </c>
      <c r="U578" s="21" t="str">
        <f t="shared" si="31"/>
        <v>NOT AN ADD-ON</v>
      </c>
      <c r="V578" s="21" t="e">
        <f t="shared" si="32"/>
        <v>#N/A</v>
      </c>
    </row>
    <row r="579" spans="1:22" ht="15" thickBot="1">
      <c r="A579" s="18" t="s">
        <v>1089</v>
      </c>
      <c r="B579" s="18" t="s">
        <v>1133</v>
      </c>
      <c r="C579" s="18" t="s">
        <v>1133</v>
      </c>
      <c r="D579" s="18" t="s">
        <v>1218</v>
      </c>
      <c r="E579" s="18" t="s">
        <v>1219</v>
      </c>
      <c r="F579" s="18" t="s">
        <v>1220</v>
      </c>
      <c r="G579" s="19">
        <v>18000</v>
      </c>
      <c r="H579" s="165" t="s">
        <v>1239</v>
      </c>
      <c r="I579" s="160" t="s">
        <v>1240</v>
      </c>
      <c r="J579" s="165" t="s">
        <v>1239</v>
      </c>
      <c r="K579" s="18" t="s">
        <v>375</v>
      </c>
      <c r="L579" s="18" t="e">
        <v>#N/A</v>
      </c>
      <c r="M579" s="18" t="e">
        <f t="shared" si="34"/>
        <v>#N/A</v>
      </c>
      <c r="N579" s="18">
        <v>15</v>
      </c>
      <c r="O579" s="20">
        <v>1</v>
      </c>
      <c r="P579" s="19">
        <v>18000</v>
      </c>
      <c r="Q579" s="18" t="s">
        <v>33</v>
      </c>
      <c r="R579" s="21" t="e">
        <v>#N/A</v>
      </c>
      <c r="S579" s="21" t="e">
        <v>#N/A</v>
      </c>
      <c r="T579" s="21" t="e">
        <v>#N/A</v>
      </c>
      <c r="U579" s="21" t="str">
        <f t="shared" si="31"/>
        <v>NOT AN ADD-ON</v>
      </c>
      <c r="V579" s="21" t="e">
        <f t="shared" si="32"/>
        <v>#N/A</v>
      </c>
    </row>
    <row r="580" spans="1:22" ht="15" thickBot="1">
      <c r="A580" s="18" t="s">
        <v>1089</v>
      </c>
      <c r="B580" s="18" t="s">
        <v>1133</v>
      </c>
      <c r="C580" s="18" t="s">
        <v>1133</v>
      </c>
      <c r="D580" s="18" t="s">
        <v>1218</v>
      </c>
      <c r="E580" s="18" t="s">
        <v>1219</v>
      </c>
      <c r="F580" s="18" t="s">
        <v>1220</v>
      </c>
      <c r="G580" s="19">
        <v>10800</v>
      </c>
      <c r="H580" s="165" t="s">
        <v>1241</v>
      </c>
      <c r="I580" s="160" t="s">
        <v>1242</v>
      </c>
      <c r="J580" s="165" t="s">
        <v>1239</v>
      </c>
      <c r="K580" s="18" t="s">
        <v>375</v>
      </c>
      <c r="L580" s="18" t="e">
        <v>#N/A</v>
      </c>
      <c r="M580" s="18" t="e">
        <f t="shared" ref="M580:M584" si="35">ROUND(IF(K580="Authorized User",L580/3,L580),2)</f>
        <v>#N/A</v>
      </c>
      <c r="N580" s="18">
        <v>15</v>
      </c>
      <c r="O580" s="20">
        <v>1</v>
      </c>
      <c r="P580" s="19">
        <v>18000</v>
      </c>
      <c r="Q580" s="18" t="s">
        <v>36</v>
      </c>
      <c r="R580" s="21" t="s">
        <v>1391</v>
      </c>
      <c r="S580" s="21" t="s">
        <v>1391</v>
      </c>
      <c r="T580" s="21" t="s">
        <v>1382</v>
      </c>
      <c r="U580" s="21" t="str">
        <f t="shared" ref="U580:U584" si="36">IF(ISNUMBER(SEARCH("ADD-ON",$I580)),"ADD-ON","NOT AN ADD-ON")</f>
        <v>NOT AN ADD-ON</v>
      </c>
      <c r="V580" s="21" t="str">
        <f t="shared" ref="V580:V584" si="37">CONCATENATE(R580,S580,T580,U580)</f>
        <v>PREDICTIVE MAINTENANCE AND QUALITYPREDICTIVE MAINTENANCE AND QUALITYRESOURCE VALUENOT AN ADD-ON</v>
      </c>
    </row>
    <row r="581" spans="1:22" ht="15" thickBot="1">
      <c r="A581" s="18" t="s">
        <v>1089</v>
      </c>
      <c r="B581" s="18" t="s">
        <v>1133</v>
      </c>
      <c r="C581" s="18" t="s">
        <v>1133</v>
      </c>
      <c r="D581" s="18" t="s">
        <v>1218</v>
      </c>
      <c r="E581" s="18" t="s">
        <v>1219</v>
      </c>
      <c r="F581" s="18" t="s">
        <v>1220</v>
      </c>
      <c r="G581" s="19">
        <v>15000</v>
      </c>
      <c r="H581" s="165" t="s">
        <v>1243</v>
      </c>
      <c r="I581" s="167" t="s">
        <v>1244</v>
      </c>
      <c r="J581" s="165" t="s">
        <v>1239</v>
      </c>
      <c r="K581" s="18" t="s">
        <v>375</v>
      </c>
      <c r="L581" s="18" t="e">
        <v>#N/A</v>
      </c>
      <c r="M581" s="18" t="e">
        <f t="shared" si="35"/>
        <v>#N/A</v>
      </c>
      <c r="N581" s="18">
        <v>15</v>
      </c>
      <c r="O581" s="20">
        <v>1</v>
      </c>
      <c r="P581" s="19">
        <v>18000</v>
      </c>
      <c r="Q581" s="18" t="s">
        <v>48</v>
      </c>
      <c r="R581" s="21" t="s">
        <v>1391</v>
      </c>
      <c r="S581" s="21" t="s">
        <v>1391</v>
      </c>
      <c r="T581" s="21" t="s">
        <v>1382</v>
      </c>
      <c r="U581" s="21" t="str">
        <f t="shared" si="36"/>
        <v>NOT AN ADD-ON</v>
      </c>
      <c r="V581" s="21" t="str">
        <f t="shared" si="37"/>
        <v>PREDICTIVE MAINTENANCE AND QUALITYPREDICTIVE MAINTENANCE AND QUALITYRESOURCE VALUENOT AN ADD-ON</v>
      </c>
    </row>
    <row r="582" spans="1:22" ht="15" thickBot="1">
      <c r="A582" s="18" t="s">
        <v>1245</v>
      </c>
      <c r="B582" s="18" t="s">
        <v>1246</v>
      </c>
      <c r="C582" s="18" t="s">
        <v>1246</v>
      </c>
      <c r="D582" s="18" t="s">
        <v>1247</v>
      </c>
      <c r="E582" s="18" t="s">
        <v>1248</v>
      </c>
      <c r="F582" s="18" t="s">
        <v>1249</v>
      </c>
      <c r="G582" s="19">
        <v>8490</v>
      </c>
      <c r="H582" s="165" t="s">
        <v>1250</v>
      </c>
      <c r="I582" s="160" t="s">
        <v>1251</v>
      </c>
      <c r="J582" s="165" t="s">
        <v>1252</v>
      </c>
      <c r="K582" s="18" t="s">
        <v>375</v>
      </c>
      <c r="L582" s="18" t="e">
        <v>#N/A</v>
      </c>
      <c r="M582" s="18" t="e">
        <f t="shared" si="35"/>
        <v>#N/A</v>
      </c>
      <c r="N582" s="18">
        <v>15</v>
      </c>
      <c r="O582" s="20">
        <v>1</v>
      </c>
      <c r="P582" s="19">
        <v>42400</v>
      </c>
      <c r="Q582" s="18" t="s">
        <v>31</v>
      </c>
      <c r="R582" s="21" t="e">
        <v>#N/A</v>
      </c>
      <c r="S582" s="21" t="e">
        <v>#N/A</v>
      </c>
      <c r="T582" s="21" t="e">
        <v>#N/A</v>
      </c>
      <c r="U582" s="21" t="str">
        <f t="shared" si="36"/>
        <v>NOT AN ADD-ON</v>
      </c>
      <c r="V582" s="21" t="e">
        <f t="shared" si="37"/>
        <v>#N/A</v>
      </c>
    </row>
    <row r="583" spans="1:22" ht="15" thickBot="1">
      <c r="A583" s="18" t="s">
        <v>1245</v>
      </c>
      <c r="B583" s="18" t="s">
        <v>1246</v>
      </c>
      <c r="C583" s="18" t="s">
        <v>1246</v>
      </c>
      <c r="D583" s="18" t="s">
        <v>1247</v>
      </c>
      <c r="E583" s="18" t="s">
        <v>1248</v>
      </c>
      <c r="F583" s="18" t="s">
        <v>1249</v>
      </c>
      <c r="G583" s="19">
        <v>42400</v>
      </c>
      <c r="H583" s="165" t="s">
        <v>1252</v>
      </c>
      <c r="I583" s="160" t="s">
        <v>1253</v>
      </c>
      <c r="J583" s="165" t="s">
        <v>1252</v>
      </c>
      <c r="K583" s="18" t="s">
        <v>375</v>
      </c>
      <c r="L583" s="18" t="e">
        <v>#N/A</v>
      </c>
      <c r="M583" s="18" t="e">
        <f t="shared" si="35"/>
        <v>#N/A</v>
      </c>
      <c r="N583" s="18">
        <v>15</v>
      </c>
      <c r="O583" s="20">
        <v>1</v>
      </c>
      <c r="P583" s="19">
        <v>42400</v>
      </c>
      <c r="Q583" s="18" t="s">
        <v>33</v>
      </c>
      <c r="R583" s="21" t="e">
        <v>#N/A</v>
      </c>
      <c r="S583" s="21" t="e">
        <v>#N/A</v>
      </c>
      <c r="T583" s="21" t="e">
        <v>#N/A</v>
      </c>
      <c r="U583" s="21" t="str">
        <f t="shared" si="36"/>
        <v>NOT AN ADD-ON</v>
      </c>
      <c r="V583" s="21" t="e">
        <f t="shared" si="37"/>
        <v>#N/A</v>
      </c>
    </row>
    <row r="584" spans="1:22" ht="15" thickBot="1">
      <c r="A584" s="18" t="s">
        <v>1245</v>
      </c>
      <c r="B584" s="18" t="s">
        <v>1246</v>
      </c>
      <c r="C584" s="18" t="s">
        <v>1246</v>
      </c>
      <c r="D584" s="18" t="s">
        <v>1247</v>
      </c>
      <c r="E584" s="18" t="s">
        <v>1248</v>
      </c>
      <c r="F584" s="18" t="s">
        <v>1249</v>
      </c>
      <c r="G584" s="19">
        <v>25400</v>
      </c>
      <c r="H584" s="165" t="s">
        <v>1254</v>
      </c>
      <c r="I584" s="160" t="s">
        <v>1255</v>
      </c>
      <c r="J584" s="165" t="s">
        <v>1252</v>
      </c>
      <c r="K584" s="18" t="s">
        <v>375</v>
      </c>
      <c r="L584" s="18" t="e">
        <v>#N/A</v>
      </c>
      <c r="M584" s="18" t="e">
        <f t="shared" si="35"/>
        <v>#N/A</v>
      </c>
      <c r="N584" s="18">
        <v>15</v>
      </c>
      <c r="O584" s="20">
        <v>1</v>
      </c>
      <c r="P584" s="19">
        <v>42400</v>
      </c>
      <c r="Q584" s="18" t="s">
        <v>36</v>
      </c>
      <c r="R584" s="21" t="s">
        <v>1392</v>
      </c>
      <c r="S584" s="21" t="s">
        <v>1392</v>
      </c>
      <c r="T584" s="21" t="s">
        <v>1382</v>
      </c>
      <c r="U584" s="21" t="str">
        <f t="shared" si="36"/>
        <v>NOT AN ADD-ON</v>
      </c>
      <c r="V584" s="21" t="str">
        <f t="shared" si="37"/>
        <v>PRESCRIPTIVE QUALITYQUALITY FOR MANUFACTURINGPRESCRIPTIVE QUALITYQUALITY FOR MANUFACTURINGRESOURCE VALUENOT AN ADD-ON</v>
      </c>
    </row>
    <row r="585" spans="1:22" ht="29.25" customHeight="1" thickBot="1">
      <c r="A585" s="10"/>
      <c r="B585" s="10"/>
      <c r="C585" s="10"/>
      <c r="D585" s="10"/>
      <c r="E585" s="10"/>
      <c r="F585" s="10"/>
      <c r="G585" s="116"/>
      <c r="H585" s="163"/>
      <c r="I585" s="166"/>
      <c r="J585" s="163"/>
      <c r="K585" s="10"/>
      <c r="L585" s="10"/>
      <c r="M585" s="10"/>
      <c r="N585" s="10"/>
      <c r="O585" s="12"/>
      <c r="P585" s="116"/>
      <c r="Q585" s="10"/>
    </row>
    <row r="586" spans="1:22" ht="29.25" customHeight="1" thickBot="1">
      <c r="A586" s="10"/>
      <c r="B586" s="10"/>
      <c r="C586" s="10"/>
      <c r="D586" s="10"/>
      <c r="E586" s="10"/>
      <c r="F586" s="10"/>
      <c r="G586" s="116"/>
      <c r="H586" s="163"/>
      <c r="I586" s="158"/>
      <c r="J586" s="163"/>
      <c r="K586" s="10"/>
      <c r="L586" s="10"/>
      <c r="M586" s="10"/>
      <c r="N586" s="10"/>
      <c r="O586" s="12"/>
      <c r="P586" s="116"/>
      <c r="Q586" s="10"/>
    </row>
    <row r="587" spans="1:22" ht="29.25" customHeight="1" thickBot="1">
      <c r="A587" s="10"/>
      <c r="B587" s="10"/>
      <c r="C587" s="10"/>
      <c r="D587" s="10"/>
      <c r="E587" s="10"/>
      <c r="F587" s="10"/>
      <c r="G587" s="116"/>
      <c r="H587" s="163"/>
      <c r="I587" s="166"/>
      <c r="J587" s="163"/>
      <c r="K587" s="10"/>
      <c r="L587" s="10"/>
      <c r="M587" s="10"/>
      <c r="N587" s="10"/>
      <c r="O587" s="12"/>
      <c r="P587" s="116"/>
      <c r="Q587" s="10"/>
    </row>
    <row r="588" spans="1:22" ht="29.25" customHeight="1" thickBot="1">
      <c r="A588" s="10"/>
      <c r="B588" s="10"/>
      <c r="C588" s="10"/>
      <c r="D588" s="10"/>
      <c r="E588" s="10"/>
      <c r="F588" s="10"/>
      <c r="G588" s="116"/>
      <c r="H588" s="163"/>
      <c r="I588" s="158"/>
      <c r="J588" s="163"/>
      <c r="K588" s="10"/>
      <c r="L588" s="10"/>
      <c r="M588" s="10"/>
      <c r="N588" s="10"/>
      <c r="O588" s="12"/>
      <c r="P588" s="116"/>
      <c r="Q588" s="10"/>
    </row>
    <row r="589" spans="1:22" ht="29.25" customHeight="1" thickBot="1">
      <c r="A589" s="10"/>
      <c r="B589" s="10"/>
      <c r="C589" s="10"/>
      <c r="D589" s="10"/>
      <c r="E589" s="10"/>
      <c r="F589" s="10"/>
      <c r="G589" s="116"/>
      <c r="H589" s="163"/>
      <c r="I589" s="158"/>
      <c r="J589" s="163"/>
      <c r="K589" s="10"/>
      <c r="L589" s="10"/>
      <c r="M589" s="10"/>
      <c r="N589" s="10"/>
      <c r="O589" s="12"/>
      <c r="P589" s="116"/>
      <c r="Q589" s="10"/>
    </row>
    <row r="590" spans="1:22" ht="29.25" customHeight="1" thickBot="1">
      <c r="A590" s="10"/>
      <c r="B590" s="10"/>
      <c r="C590" s="10"/>
      <c r="D590" s="10"/>
      <c r="E590" s="10"/>
      <c r="F590" s="10"/>
      <c r="G590" s="116"/>
      <c r="H590" s="163"/>
      <c r="I590" s="158"/>
      <c r="J590" s="163"/>
      <c r="K590" s="10"/>
      <c r="L590" s="10"/>
      <c r="M590" s="10"/>
      <c r="N590" s="10"/>
      <c r="O590" s="12"/>
      <c r="P590" s="116"/>
      <c r="Q590" s="10"/>
    </row>
  </sheetData>
  <autoFilter ref="A2:W504" xr:uid="{0CED9A86-E3E0-49D0-AED1-69E52125D911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ABF9-6286-2544-9880-0C08CC30D23A}">
  <sheetPr filterMode="1"/>
  <dimension ref="A1:V590"/>
  <sheetViews>
    <sheetView topLeftCell="I1" zoomScale="85" zoomScaleNormal="85" workbookViewId="0">
      <selection activeCell="N533" sqref="N533"/>
    </sheetView>
  </sheetViews>
  <sheetFormatPr baseColWidth="10" defaultColWidth="9" defaultRowHeight="12.75" customHeight="1" outlineLevelCol="1"/>
  <cols>
    <col min="1" max="1" width="27.83203125" style="4" customWidth="1"/>
    <col min="2" max="2" width="23.83203125" style="4" customWidth="1"/>
    <col min="3" max="3" width="21.1640625" style="4" customWidth="1"/>
    <col min="4" max="4" width="15" style="4" customWidth="1"/>
    <col min="5" max="5" width="51.83203125" style="4" customWidth="1"/>
    <col min="6" max="6" width="36.5" style="4" customWidth="1"/>
    <col min="7" max="7" width="12" style="246" customWidth="1"/>
    <col min="8" max="8" width="28.6640625" style="161" customWidth="1"/>
    <col min="9" max="9" width="94.5" style="169" customWidth="1"/>
    <col min="10" max="10" width="15.1640625" style="161" customWidth="1"/>
    <col min="11" max="11" width="22.5" style="4" customWidth="1"/>
    <col min="12" max="12" width="20.1640625" style="4" customWidth="1"/>
    <col min="13" max="13" width="29.5" style="4" customWidth="1"/>
    <col min="14" max="14" width="22.5" style="4" customWidth="1"/>
    <col min="15" max="15" width="19" style="23" customWidth="1"/>
    <col min="16" max="16" width="16.1640625" style="246" customWidth="1"/>
    <col min="17" max="17" width="13.83203125" style="4" customWidth="1"/>
    <col min="18" max="18" width="25" style="4" customWidth="1" outlineLevel="1"/>
    <col min="19" max="19" width="18" style="4" customWidth="1" outlineLevel="1"/>
    <col min="20" max="20" width="12.5" style="4" customWidth="1" outlineLevel="1"/>
    <col min="21" max="21" width="15.5" style="4" customWidth="1" outlineLevel="1"/>
    <col min="22" max="22" width="129.5" style="4" bestFit="1" customWidth="1" outlineLevel="1"/>
    <col min="23" max="16384" width="9" style="4"/>
  </cols>
  <sheetData>
    <row r="1" spans="1:22" ht="16" thickBot="1">
      <c r="G1" s="4"/>
    </row>
    <row r="2" spans="1:22" s="9" customFormat="1" ht="32" thickTop="1" thickBo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162" t="s">
        <v>7</v>
      </c>
      <c r="I2" s="157" t="s">
        <v>8</v>
      </c>
      <c r="J2" s="162" t="s">
        <v>9</v>
      </c>
      <c r="K2" s="5" t="s">
        <v>10</v>
      </c>
      <c r="L2" s="7" t="s">
        <v>11</v>
      </c>
      <c r="M2" s="7" t="s">
        <v>12</v>
      </c>
      <c r="N2" s="5" t="s">
        <v>13</v>
      </c>
      <c r="O2" s="8" t="s">
        <v>14</v>
      </c>
      <c r="P2" s="6" t="s">
        <v>15</v>
      </c>
      <c r="Q2" s="5" t="s">
        <v>16</v>
      </c>
      <c r="R2" s="7" t="s">
        <v>17</v>
      </c>
      <c r="S2" s="7" t="s">
        <v>18</v>
      </c>
      <c r="T2" s="7" t="s">
        <v>19</v>
      </c>
      <c r="U2" s="7" t="s">
        <v>20</v>
      </c>
    </row>
    <row r="3" spans="1:22" ht="29.25" hidden="1" customHeight="1" thickBot="1">
      <c r="A3" s="10" t="s">
        <v>21</v>
      </c>
      <c r="B3" s="10" t="s">
        <v>22</v>
      </c>
      <c r="C3" s="10" t="s">
        <v>94</v>
      </c>
      <c r="D3" s="10" t="s">
        <v>95</v>
      </c>
      <c r="E3" s="10" t="s">
        <v>96</v>
      </c>
      <c r="F3" s="10" t="s">
        <v>97</v>
      </c>
      <c r="G3" s="116">
        <v>8980</v>
      </c>
      <c r="H3" s="163" t="s">
        <v>100</v>
      </c>
      <c r="I3" s="158" t="s">
        <v>103</v>
      </c>
      <c r="J3" s="163" t="s">
        <v>100</v>
      </c>
      <c r="K3" s="10" t="s">
        <v>101</v>
      </c>
      <c r="L3" s="10" t="s">
        <v>102</v>
      </c>
      <c r="M3" s="10" t="e">
        <f t="shared" ref="M3:M40" si="0">ROUND(IF(K3="Authorized User",L3/3,L3),2)</f>
        <v>#VALUE!</v>
      </c>
      <c r="N3" s="10">
        <v>15</v>
      </c>
      <c r="O3" s="12">
        <v>5</v>
      </c>
      <c r="P3" s="116">
        <v>8980</v>
      </c>
      <c r="Q3" s="10" t="s">
        <v>33</v>
      </c>
      <c r="R3" s="4" t="s">
        <v>1294</v>
      </c>
      <c r="S3" s="4" t="s">
        <v>1379</v>
      </c>
      <c r="T3" s="4" t="s">
        <v>1380</v>
      </c>
      <c r="U3" s="4" t="str">
        <f t="shared" ref="U3:U52" si="1">IF(ISNUMBER(SEARCH("ADD-ON",$I3)),"ADD-ON","NOT AN ADD-ON")</f>
        <v>NOT AN ADD-ON</v>
      </c>
      <c r="V3" s="4" t="str">
        <f t="shared" ref="V3:V66" si="2">CONCATENATE(R3,S3,T3,U3)</f>
        <v>ASSET CONFIGURATION MANAGERACMASSETNOT AN ADD-ON</v>
      </c>
    </row>
    <row r="4" spans="1:22" ht="29.25" hidden="1" customHeight="1" thickBot="1">
      <c r="A4" s="10" t="s">
        <v>21</v>
      </c>
      <c r="B4" s="10" t="s">
        <v>22</v>
      </c>
      <c r="C4" s="10" t="s">
        <v>94</v>
      </c>
      <c r="D4" s="10" t="s">
        <v>95</v>
      </c>
      <c r="E4" s="10" t="s">
        <v>96</v>
      </c>
      <c r="F4" s="10" t="s">
        <v>97</v>
      </c>
      <c r="G4" s="116">
        <v>5390</v>
      </c>
      <c r="H4" s="163" t="s">
        <v>104</v>
      </c>
      <c r="I4" s="158" t="s">
        <v>105</v>
      </c>
      <c r="J4" s="163" t="s">
        <v>100</v>
      </c>
      <c r="K4" s="10" t="s">
        <v>101</v>
      </c>
      <c r="L4" s="10" t="s">
        <v>102</v>
      </c>
      <c r="M4" s="10" t="e">
        <f t="shared" si="0"/>
        <v>#VALUE!</v>
      </c>
      <c r="N4" s="10">
        <v>15</v>
      </c>
      <c r="O4" s="12">
        <v>5</v>
      </c>
      <c r="P4" s="116">
        <v>8980</v>
      </c>
      <c r="Q4" s="10" t="s">
        <v>36</v>
      </c>
      <c r="R4" s="4" t="s">
        <v>1294</v>
      </c>
      <c r="S4" s="4" t="s">
        <v>1379</v>
      </c>
      <c r="T4" s="4" t="s">
        <v>1380</v>
      </c>
      <c r="U4" s="4" t="str">
        <f t="shared" si="1"/>
        <v>NOT AN ADD-ON</v>
      </c>
      <c r="V4" s="4" t="str">
        <f t="shared" si="2"/>
        <v>ASSET CONFIGURATION MANAGERACMASSETNOT AN ADD-ON</v>
      </c>
    </row>
    <row r="5" spans="1:22" ht="29.25" hidden="1" customHeight="1" thickBot="1">
      <c r="A5" s="10" t="s">
        <v>21</v>
      </c>
      <c r="B5" s="10" t="s">
        <v>22</v>
      </c>
      <c r="C5" s="10" t="s">
        <v>94</v>
      </c>
      <c r="D5" s="10" t="s">
        <v>95</v>
      </c>
      <c r="E5" s="10" t="s">
        <v>96</v>
      </c>
      <c r="F5" s="10" t="s">
        <v>97</v>
      </c>
      <c r="G5" s="116">
        <v>5740</v>
      </c>
      <c r="H5" s="163" t="s">
        <v>108</v>
      </c>
      <c r="I5" s="158" t="s">
        <v>109</v>
      </c>
      <c r="J5" s="163" t="s">
        <v>108</v>
      </c>
      <c r="K5" s="10" t="s">
        <v>30</v>
      </c>
      <c r="L5" s="10">
        <v>2</v>
      </c>
      <c r="M5" s="10">
        <v>1</v>
      </c>
      <c r="N5" s="10">
        <v>2</v>
      </c>
      <c r="O5" s="12">
        <v>1</v>
      </c>
      <c r="P5" s="116">
        <v>5740</v>
      </c>
      <c r="Q5" s="10" t="s">
        <v>33</v>
      </c>
      <c r="R5" s="4" t="s">
        <v>1294</v>
      </c>
      <c r="S5" s="4" t="s">
        <v>1379</v>
      </c>
      <c r="T5" s="4" t="s">
        <v>19</v>
      </c>
      <c r="U5" s="4" t="str">
        <f t="shared" si="1"/>
        <v>NOT AN ADD-ON</v>
      </c>
      <c r="V5" s="4" t="str">
        <f t="shared" si="2"/>
        <v>ASSET CONFIGURATION MANAGERACMAUTHORIZEDNOT AN ADD-ON</v>
      </c>
    </row>
    <row r="6" spans="1:22" ht="29.25" hidden="1" customHeight="1" thickBot="1">
      <c r="A6" s="10" t="s">
        <v>21</v>
      </c>
      <c r="B6" s="10" t="s">
        <v>22</v>
      </c>
      <c r="C6" s="10" t="s">
        <v>94</v>
      </c>
      <c r="D6" s="10" t="s">
        <v>95</v>
      </c>
      <c r="E6" s="10" t="s">
        <v>96</v>
      </c>
      <c r="F6" s="10" t="s">
        <v>97</v>
      </c>
      <c r="G6" s="116">
        <v>3440</v>
      </c>
      <c r="H6" s="163" t="s">
        <v>110</v>
      </c>
      <c r="I6" s="158" t="s">
        <v>111</v>
      </c>
      <c r="J6" s="163" t="s">
        <v>108</v>
      </c>
      <c r="K6" s="10" t="s">
        <v>30</v>
      </c>
      <c r="L6" s="10">
        <v>2</v>
      </c>
      <c r="M6" s="10">
        <v>1</v>
      </c>
      <c r="N6" s="10">
        <v>2</v>
      </c>
      <c r="O6" s="12">
        <v>1</v>
      </c>
      <c r="P6" s="116">
        <v>5740</v>
      </c>
      <c r="Q6" s="10" t="s">
        <v>36</v>
      </c>
      <c r="R6" s="4" t="s">
        <v>1294</v>
      </c>
      <c r="S6" s="4" t="s">
        <v>1379</v>
      </c>
      <c r="T6" s="4" t="s">
        <v>19</v>
      </c>
      <c r="U6" s="4" t="str">
        <f t="shared" si="1"/>
        <v>NOT AN ADD-ON</v>
      </c>
      <c r="V6" s="4" t="str">
        <f t="shared" si="2"/>
        <v>ASSET CONFIGURATION MANAGERACMAUTHORIZEDNOT AN ADD-ON</v>
      </c>
    </row>
    <row r="7" spans="1:22" ht="29.25" hidden="1" customHeight="1" thickBot="1">
      <c r="A7" s="10" t="s">
        <v>21</v>
      </c>
      <c r="B7" s="10" t="s">
        <v>22</v>
      </c>
      <c r="C7" s="10" t="s">
        <v>385</v>
      </c>
      <c r="D7" s="10" t="s">
        <v>386</v>
      </c>
      <c r="E7" s="10" t="s">
        <v>387</v>
      </c>
      <c r="F7" s="10" t="s">
        <v>388</v>
      </c>
      <c r="G7" s="116">
        <v>584</v>
      </c>
      <c r="H7" s="163" t="s">
        <v>391</v>
      </c>
      <c r="I7" s="158" t="s">
        <v>392</v>
      </c>
      <c r="J7" s="163" t="s">
        <v>391</v>
      </c>
      <c r="K7" s="10" t="s">
        <v>30</v>
      </c>
      <c r="L7" s="10">
        <v>0</v>
      </c>
      <c r="M7" s="10">
        <f t="shared" si="0"/>
        <v>0</v>
      </c>
      <c r="N7" s="10">
        <v>5</v>
      </c>
      <c r="O7" s="12">
        <v>1.6666666666666667</v>
      </c>
      <c r="P7" s="116">
        <v>584</v>
      </c>
      <c r="Q7" s="10" t="s">
        <v>33</v>
      </c>
      <c r="R7" s="4" t="s">
        <v>1288</v>
      </c>
      <c r="S7" s="4" t="s">
        <v>507</v>
      </c>
      <c r="T7" s="4" t="s">
        <v>19</v>
      </c>
      <c r="U7" s="4" t="str">
        <f t="shared" si="1"/>
        <v>NOT AN ADD-ON</v>
      </c>
      <c r="V7" s="4" t="str">
        <f t="shared" si="2"/>
        <v>CALIBRATIONADD-ONAUTHORIZEDNOT AN ADD-ON</v>
      </c>
    </row>
    <row r="8" spans="1:22" ht="15" hidden="1" thickBot="1">
      <c r="A8" s="10" t="s">
        <v>21</v>
      </c>
      <c r="B8" s="10" t="s">
        <v>22</v>
      </c>
      <c r="C8" s="10" t="s">
        <v>385</v>
      </c>
      <c r="D8" s="10" t="s">
        <v>386</v>
      </c>
      <c r="E8" s="10" t="s">
        <v>387</v>
      </c>
      <c r="F8" s="10" t="s">
        <v>388</v>
      </c>
      <c r="G8" s="116">
        <v>350</v>
      </c>
      <c r="H8" s="163" t="s">
        <v>393</v>
      </c>
      <c r="I8" s="158" t="s">
        <v>394</v>
      </c>
      <c r="J8" s="163" t="s">
        <v>391</v>
      </c>
      <c r="K8" s="10" t="s">
        <v>30</v>
      </c>
      <c r="L8" s="10">
        <v>0</v>
      </c>
      <c r="M8" s="10">
        <f t="shared" si="0"/>
        <v>0</v>
      </c>
      <c r="N8" s="10">
        <v>5</v>
      </c>
      <c r="O8" s="12">
        <v>1.6666666666666667</v>
      </c>
      <c r="P8" s="116">
        <v>584</v>
      </c>
      <c r="Q8" s="10" t="s">
        <v>36</v>
      </c>
      <c r="R8" s="4" t="s">
        <v>1288</v>
      </c>
      <c r="S8" s="4" t="s">
        <v>507</v>
      </c>
      <c r="T8" s="4" t="s">
        <v>19</v>
      </c>
      <c r="U8" s="4" t="str">
        <f t="shared" si="1"/>
        <v>NOT AN ADD-ON</v>
      </c>
      <c r="V8" s="4" t="str">
        <f t="shared" si="2"/>
        <v>CALIBRATIONADD-ONAUTHORIZEDNOT AN ADD-ON</v>
      </c>
    </row>
    <row r="9" spans="1:22" ht="15" hidden="1" thickBot="1">
      <c r="A9" s="10" t="s">
        <v>21</v>
      </c>
      <c r="B9" s="10" t="s">
        <v>22</v>
      </c>
      <c r="C9" s="10" t="s">
        <v>1015</v>
      </c>
      <c r="D9" s="10" t="s">
        <v>141</v>
      </c>
      <c r="E9" s="10" t="s">
        <v>142</v>
      </c>
      <c r="F9" s="10" t="s">
        <v>143</v>
      </c>
      <c r="G9" s="116">
        <v>712</v>
      </c>
      <c r="H9" s="163" t="s">
        <v>1018</v>
      </c>
      <c r="I9" s="158" t="s">
        <v>1019</v>
      </c>
      <c r="J9" s="163" t="s">
        <v>1018</v>
      </c>
      <c r="K9" s="10" t="s">
        <v>30</v>
      </c>
      <c r="L9" s="10">
        <v>0</v>
      </c>
      <c r="M9" s="10">
        <f t="shared" si="0"/>
        <v>0</v>
      </c>
      <c r="N9" s="10">
        <v>5</v>
      </c>
      <c r="O9" s="12">
        <v>1.6666666666666667</v>
      </c>
      <c r="P9" s="116">
        <v>712</v>
      </c>
      <c r="Q9" s="10" t="s">
        <v>33</v>
      </c>
      <c r="R9" s="4" t="s">
        <v>1290</v>
      </c>
      <c r="S9" s="4" t="s">
        <v>507</v>
      </c>
      <c r="T9" s="4" t="s">
        <v>19</v>
      </c>
      <c r="U9" s="4" t="str">
        <f t="shared" si="1"/>
        <v>NOT AN ADD-ON</v>
      </c>
      <c r="V9" s="4" t="str">
        <f t="shared" si="2"/>
        <v>LINEARADD-ONAUTHORIZEDNOT AN ADD-ON</v>
      </c>
    </row>
    <row r="10" spans="1:22" ht="15" hidden="1" thickBot="1">
      <c r="A10" s="10" t="s">
        <v>21</v>
      </c>
      <c r="B10" s="10" t="s">
        <v>22</v>
      </c>
      <c r="C10" s="10" t="s">
        <v>1015</v>
      </c>
      <c r="D10" s="10" t="s">
        <v>141</v>
      </c>
      <c r="E10" s="10" t="s">
        <v>142</v>
      </c>
      <c r="F10" s="10" t="s">
        <v>143</v>
      </c>
      <c r="G10" s="116">
        <v>427</v>
      </c>
      <c r="H10" s="163" t="s">
        <v>1020</v>
      </c>
      <c r="I10" s="158" t="s">
        <v>1021</v>
      </c>
      <c r="J10" s="163" t="s">
        <v>1018</v>
      </c>
      <c r="K10" s="10" t="s">
        <v>30</v>
      </c>
      <c r="L10" s="10">
        <v>0</v>
      </c>
      <c r="M10" s="10">
        <f t="shared" si="0"/>
        <v>0</v>
      </c>
      <c r="N10" s="10">
        <v>5</v>
      </c>
      <c r="O10" s="12">
        <v>1.6666666666666667</v>
      </c>
      <c r="P10" s="116">
        <v>712</v>
      </c>
      <c r="Q10" s="10" t="s">
        <v>36</v>
      </c>
      <c r="R10" s="4" t="s">
        <v>1290</v>
      </c>
      <c r="S10" s="4" t="s">
        <v>507</v>
      </c>
      <c r="T10" s="4" t="s">
        <v>19</v>
      </c>
      <c r="U10" s="4" t="str">
        <f t="shared" si="1"/>
        <v>NOT AN ADD-ON</v>
      </c>
      <c r="V10" s="4" t="str">
        <f t="shared" si="2"/>
        <v>LINEARADD-ONAUTHORIZEDNOT AN ADD-ON</v>
      </c>
    </row>
    <row r="11" spans="1:22" ht="29.25" hidden="1" customHeight="1" thickBot="1">
      <c r="A11" s="10" t="s">
        <v>21</v>
      </c>
      <c r="B11" s="10" t="s">
        <v>22</v>
      </c>
      <c r="C11" s="10" t="s">
        <v>435</v>
      </c>
      <c r="D11" s="10" t="s">
        <v>418</v>
      </c>
      <c r="E11" s="10" t="s">
        <v>419</v>
      </c>
      <c r="F11" s="10" t="s">
        <v>420</v>
      </c>
      <c r="G11" s="116">
        <v>161000</v>
      </c>
      <c r="H11" s="163" t="s">
        <v>444</v>
      </c>
      <c r="I11" s="158" t="s">
        <v>445</v>
      </c>
      <c r="J11" s="163" t="s">
        <v>444</v>
      </c>
      <c r="K11" s="10" t="s">
        <v>424</v>
      </c>
      <c r="L11" s="10">
        <v>80</v>
      </c>
      <c r="M11" s="10">
        <f t="shared" si="0"/>
        <v>80</v>
      </c>
      <c r="N11" s="10">
        <v>80</v>
      </c>
      <c r="O11" s="12">
        <v>1</v>
      </c>
      <c r="P11" s="116">
        <v>161000</v>
      </c>
      <c r="Q11" s="10" t="s">
        <v>33</v>
      </c>
      <c r="R11" s="4" t="s">
        <v>1297</v>
      </c>
      <c r="S11" s="4" t="s">
        <v>1295</v>
      </c>
      <c r="T11" s="4" t="s">
        <v>1295</v>
      </c>
      <c r="U11" s="4" t="str">
        <f t="shared" si="1"/>
        <v>NOT AN ADD-ON</v>
      </c>
      <c r="V11" s="4" t="str">
        <f t="shared" si="2"/>
        <v>ADAPTER FOR SAPADAPTERADAPTERNOT AN ADD-ON</v>
      </c>
    </row>
    <row r="12" spans="1:22" ht="15" hidden="1" thickBot="1">
      <c r="A12" s="10" t="s">
        <v>21</v>
      </c>
      <c r="B12" s="10" t="s">
        <v>22</v>
      </c>
      <c r="C12" s="10" t="s">
        <v>435</v>
      </c>
      <c r="D12" s="10" t="s">
        <v>418</v>
      </c>
      <c r="E12" s="10" t="s">
        <v>419</v>
      </c>
      <c r="F12" s="10" t="s">
        <v>420</v>
      </c>
      <c r="G12" s="116">
        <v>96300</v>
      </c>
      <c r="H12" s="163" t="s">
        <v>446</v>
      </c>
      <c r="I12" s="158" t="s">
        <v>447</v>
      </c>
      <c r="J12" s="163" t="s">
        <v>444</v>
      </c>
      <c r="K12" s="10" t="s">
        <v>424</v>
      </c>
      <c r="L12" s="10">
        <v>80</v>
      </c>
      <c r="M12" s="10">
        <f t="shared" si="0"/>
        <v>80</v>
      </c>
      <c r="N12" s="10">
        <v>80</v>
      </c>
      <c r="O12" s="12">
        <v>1</v>
      </c>
      <c r="P12" s="116">
        <v>161000</v>
      </c>
      <c r="Q12" s="10" t="s">
        <v>36</v>
      </c>
      <c r="R12" s="4" t="s">
        <v>1297</v>
      </c>
      <c r="S12" s="4" t="s">
        <v>1295</v>
      </c>
      <c r="T12" s="4" t="s">
        <v>1295</v>
      </c>
      <c r="U12" s="4" t="str">
        <f t="shared" si="1"/>
        <v>NOT AN ADD-ON</v>
      </c>
      <c r="V12" s="4" t="str">
        <f t="shared" si="2"/>
        <v>ADAPTER FOR SAPADAPTERADAPTERNOT AN ADD-ON</v>
      </c>
    </row>
    <row r="13" spans="1:22" ht="29.25" hidden="1" customHeight="1" thickBot="1">
      <c r="A13" s="10" t="s">
        <v>21</v>
      </c>
      <c r="B13" s="10" t="s">
        <v>22</v>
      </c>
      <c r="C13" s="10" t="s">
        <v>230</v>
      </c>
      <c r="D13" s="10" t="s">
        <v>141</v>
      </c>
      <c r="E13" s="10" t="s">
        <v>142</v>
      </c>
      <c r="F13" s="10" t="s">
        <v>143</v>
      </c>
      <c r="G13" s="116">
        <v>1780</v>
      </c>
      <c r="H13" s="163" t="s">
        <v>291</v>
      </c>
      <c r="I13" s="158" t="s">
        <v>292</v>
      </c>
      <c r="J13" s="163" t="s">
        <v>291</v>
      </c>
      <c r="K13" s="10" t="s">
        <v>30</v>
      </c>
      <c r="L13" s="10">
        <v>0</v>
      </c>
      <c r="M13" s="10">
        <f t="shared" si="0"/>
        <v>0</v>
      </c>
      <c r="N13" s="10">
        <v>5</v>
      </c>
      <c r="O13" s="12">
        <v>1.6666666666666667</v>
      </c>
      <c r="P13" s="116">
        <v>1780</v>
      </c>
      <c r="Q13" s="10" t="s">
        <v>33</v>
      </c>
      <c r="R13" s="4" t="s">
        <v>234</v>
      </c>
      <c r="S13" s="4" t="s">
        <v>235</v>
      </c>
      <c r="T13" s="4" t="s">
        <v>672</v>
      </c>
      <c r="U13" s="4" t="str">
        <f t="shared" si="1"/>
        <v>NOT AN ADD-ON</v>
      </c>
      <c r="V13" s="4" t="str">
        <f t="shared" si="2"/>
        <v>MANAGED SERVICE PROVIDERSMSPLIMITEDNOT AN ADD-ON</v>
      </c>
    </row>
    <row r="14" spans="1:22" ht="27" hidden="1" thickBot="1">
      <c r="A14" s="10" t="s">
        <v>21</v>
      </c>
      <c r="B14" s="10" t="s">
        <v>22</v>
      </c>
      <c r="C14" s="10" t="s">
        <v>230</v>
      </c>
      <c r="D14" s="10" t="s">
        <v>141</v>
      </c>
      <c r="E14" s="10" t="s">
        <v>142</v>
      </c>
      <c r="F14" s="10" t="s">
        <v>143</v>
      </c>
      <c r="G14" s="116">
        <v>1070</v>
      </c>
      <c r="H14" s="163" t="s">
        <v>293</v>
      </c>
      <c r="I14" s="166" t="s">
        <v>294</v>
      </c>
      <c r="J14" s="163" t="s">
        <v>291</v>
      </c>
      <c r="K14" s="10" t="s">
        <v>30</v>
      </c>
      <c r="L14" s="10">
        <v>0</v>
      </c>
      <c r="M14" s="10">
        <f t="shared" si="0"/>
        <v>0</v>
      </c>
      <c r="N14" s="10">
        <v>2</v>
      </c>
      <c r="O14" s="12">
        <v>1.6666666666666667</v>
      </c>
      <c r="P14" s="116">
        <v>1780</v>
      </c>
      <c r="Q14" s="10" t="s">
        <v>36</v>
      </c>
      <c r="R14" s="4" t="s">
        <v>234</v>
      </c>
      <c r="S14" s="4" t="s">
        <v>235</v>
      </c>
      <c r="T14" s="4" t="s">
        <v>672</v>
      </c>
      <c r="U14" s="4" t="str">
        <f t="shared" si="1"/>
        <v>NOT AN ADD-ON</v>
      </c>
      <c r="V14" s="4" t="str">
        <f t="shared" si="2"/>
        <v>MANAGED SERVICE PROVIDERSMSPLIMITEDNOT AN ADD-ON</v>
      </c>
    </row>
    <row r="15" spans="1:22" ht="29.25" hidden="1" customHeight="1" thickBot="1">
      <c r="A15" s="10" t="s">
        <v>21</v>
      </c>
      <c r="B15" s="10" t="s">
        <v>22</v>
      </c>
      <c r="C15" s="10" t="s">
        <v>230</v>
      </c>
      <c r="D15" s="10" t="s">
        <v>141</v>
      </c>
      <c r="E15" s="10" t="s">
        <v>142</v>
      </c>
      <c r="F15" s="10" t="s">
        <v>143</v>
      </c>
      <c r="G15" s="116">
        <v>3570</v>
      </c>
      <c r="H15" s="163" t="s">
        <v>279</v>
      </c>
      <c r="I15" s="158" t="s">
        <v>280</v>
      </c>
      <c r="J15" s="163" t="s">
        <v>279</v>
      </c>
      <c r="K15" s="10" t="s">
        <v>30</v>
      </c>
      <c r="L15" s="10">
        <v>2</v>
      </c>
      <c r="M15" s="10">
        <v>1</v>
      </c>
      <c r="N15" s="10">
        <v>2</v>
      </c>
      <c r="O15" s="12">
        <v>1</v>
      </c>
      <c r="P15" s="116">
        <v>3570</v>
      </c>
      <c r="Q15" s="10" t="s">
        <v>33</v>
      </c>
      <c r="R15" s="4" t="s">
        <v>234</v>
      </c>
      <c r="S15" s="4" t="s">
        <v>235</v>
      </c>
      <c r="T15" s="4" t="s">
        <v>19</v>
      </c>
      <c r="U15" s="4" t="str">
        <f t="shared" si="1"/>
        <v>NOT AN ADD-ON</v>
      </c>
      <c r="V15" s="4" t="str">
        <f t="shared" si="2"/>
        <v>MANAGED SERVICE PROVIDERSMSPAUTHORIZEDNOT AN ADD-ON</v>
      </c>
    </row>
    <row r="16" spans="1:22" ht="15" hidden="1" thickBot="1">
      <c r="A16" s="10" t="s">
        <v>21</v>
      </c>
      <c r="B16" s="10" t="s">
        <v>22</v>
      </c>
      <c r="C16" s="10" t="s">
        <v>230</v>
      </c>
      <c r="D16" s="10" t="s">
        <v>141</v>
      </c>
      <c r="E16" s="10" t="s">
        <v>142</v>
      </c>
      <c r="F16" s="10" t="s">
        <v>143</v>
      </c>
      <c r="G16" s="116">
        <v>2140</v>
      </c>
      <c r="H16" s="163" t="s">
        <v>281</v>
      </c>
      <c r="I16" s="158" t="s">
        <v>282</v>
      </c>
      <c r="J16" s="163" t="s">
        <v>279</v>
      </c>
      <c r="K16" s="10" t="s">
        <v>30</v>
      </c>
      <c r="L16" s="10">
        <v>2</v>
      </c>
      <c r="M16" s="10">
        <v>1</v>
      </c>
      <c r="N16" s="10">
        <v>2</v>
      </c>
      <c r="O16" s="12">
        <v>1</v>
      </c>
      <c r="P16" s="116">
        <v>3570</v>
      </c>
      <c r="Q16" s="10" t="s">
        <v>36</v>
      </c>
      <c r="R16" s="4" t="s">
        <v>234</v>
      </c>
      <c r="S16" s="4" t="s">
        <v>235</v>
      </c>
      <c r="T16" s="4" t="s">
        <v>19</v>
      </c>
      <c r="U16" s="4" t="str">
        <f t="shared" si="1"/>
        <v>NOT AN ADD-ON</v>
      </c>
      <c r="V16" s="4" t="str">
        <f t="shared" si="2"/>
        <v>MANAGED SERVICE PROVIDERSMSPAUTHORIZEDNOT AN ADD-ON</v>
      </c>
    </row>
    <row r="17" spans="1:22" ht="15" hidden="1" thickBot="1">
      <c r="A17" s="10" t="s">
        <v>21</v>
      </c>
      <c r="B17" s="10" t="s">
        <v>22</v>
      </c>
      <c r="C17" s="10" t="s">
        <v>204</v>
      </c>
      <c r="D17" s="10" t="s">
        <v>141</v>
      </c>
      <c r="E17" s="10" t="s">
        <v>142</v>
      </c>
      <c r="F17" s="10" t="s">
        <v>143</v>
      </c>
      <c r="G17" s="116">
        <v>1070</v>
      </c>
      <c r="H17" s="163" t="s">
        <v>251</v>
      </c>
      <c r="I17" s="158" t="s">
        <v>252</v>
      </c>
      <c r="J17" s="163" t="s">
        <v>251</v>
      </c>
      <c r="K17" s="10" t="s">
        <v>30</v>
      </c>
      <c r="L17" s="10">
        <v>2</v>
      </c>
      <c r="M17" s="10">
        <v>1</v>
      </c>
      <c r="N17" s="10">
        <v>2</v>
      </c>
      <c r="O17" s="12">
        <v>1</v>
      </c>
      <c r="P17" s="116">
        <v>1070</v>
      </c>
      <c r="Q17" s="10" t="s">
        <v>33</v>
      </c>
      <c r="R17" s="4" t="s">
        <v>208</v>
      </c>
      <c r="S17" s="4" t="s">
        <v>507</v>
      </c>
      <c r="T17" s="4" t="s">
        <v>19</v>
      </c>
      <c r="U17" s="4" t="str">
        <f t="shared" si="1"/>
        <v>NOT AN ADD-ON</v>
      </c>
      <c r="V17" s="4" t="str">
        <f t="shared" si="2"/>
        <v>INTERNAL SERVICE PROVIDERSADD-ONAUTHORIZEDNOT AN ADD-ON</v>
      </c>
    </row>
    <row r="18" spans="1:22" ht="15" hidden="1" thickBot="1">
      <c r="A18" s="10" t="s">
        <v>21</v>
      </c>
      <c r="B18" s="10" t="s">
        <v>22</v>
      </c>
      <c r="C18" s="10" t="s">
        <v>204</v>
      </c>
      <c r="D18" s="10" t="s">
        <v>141</v>
      </c>
      <c r="E18" s="10" t="s">
        <v>142</v>
      </c>
      <c r="F18" s="10" t="s">
        <v>143</v>
      </c>
      <c r="G18" s="116">
        <v>643</v>
      </c>
      <c r="H18" s="163" t="s">
        <v>253</v>
      </c>
      <c r="I18" s="158" t="s">
        <v>254</v>
      </c>
      <c r="J18" s="163" t="s">
        <v>251</v>
      </c>
      <c r="K18" s="10" t="s">
        <v>30</v>
      </c>
      <c r="L18" s="10">
        <v>2</v>
      </c>
      <c r="M18" s="10">
        <v>1</v>
      </c>
      <c r="N18" s="10">
        <v>2</v>
      </c>
      <c r="O18" s="12">
        <v>1</v>
      </c>
      <c r="P18" s="116">
        <v>1070</v>
      </c>
      <c r="Q18" s="10" t="s">
        <v>36</v>
      </c>
      <c r="R18" s="4" t="s">
        <v>208</v>
      </c>
      <c r="S18" s="4" t="s">
        <v>507</v>
      </c>
      <c r="T18" s="4" t="s">
        <v>19</v>
      </c>
      <c r="U18" s="4" t="str">
        <f t="shared" si="1"/>
        <v>NOT AN ADD-ON</v>
      </c>
      <c r="V18" s="4" t="str">
        <f t="shared" si="2"/>
        <v>INTERNAL SERVICE PROVIDERSADD-ONAUTHORIZEDNOT AN ADD-ON</v>
      </c>
    </row>
    <row r="19" spans="1:22" ht="29.25" hidden="1" customHeight="1" thickBot="1">
      <c r="A19" s="10" t="s">
        <v>21</v>
      </c>
      <c r="B19" s="10" t="s">
        <v>22</v>
      </c>
      <c r="C19" s="10" t="s">
        <v>230</v>
      </c>
      <c r="D19" s="10" t="s">
        <v>141</v>
      </c>
      <c r="E19" s="10" t="s">
        <v>142</v>
      </c>
      <c r="F19" s="10" t="s">
        <v>143</v>
      </c>
      <c r="G19" s="116">
        <v>3570</v>
      </c>
      <c r="H19" s="163" t="s">
        <v>285</v>
      </c>
      <c r="I19" s="166" t="s">
        <v>286</v>
      </c>
      <c r="J19" s="163" t="s">
        <v>285</v>
      </c>
      <c r="K19" s="10" t="s">
        <v>30</v>
      </c>
      <c r="L19" s="10">
        <v>2</v>
      </c>
      <c r="M19" s="10">
        <v>1</v>
      </c>
      <c r="N19" s="10">
        <v>2</v>
      </c>
      <c r="O19" s="12">
        <v>1</v>
      </c>
      <c r="P19" s="116">
        <v>3570</v>
      </c>
      <c r="Q19" s="10" t="s">
        <v>33</v>
      </c>
      <c r="R19" s="4" t="s">
        <v>234</v>
      </c>
      <c r="S19" s="4" t="s">
        <v>235</v>
      </c>
      <c r="T19" s="4" t="s">
        <v>19</v>
      </c>
      <c r="U19" s="4" t="str">
        <f t="shared" si="1"/>
        <v>NOT AN ADD-ON</v>
      </c>
      <c r="V19" s="4" t="str">
        <f t="shared" si="2"/>
        <v>MANAGED SERVICE PROVIDERSMSPAUTHORIZEDNOT AN ADD-ON</v>
      </c>
    </row>
    <row r="20" spans="1:22" ht="27" hidden="1" thickBot="1">
      <c r="A20" s="10" t="s">
        <v>21</v>
      </c>
      <c r="B20" s="10" t="s">
        <v>22</v>
      </c>
      <c r="C20" s="10" t="s">
        <v>230</v>
      </c>
      <c r="D20" s="10" t="s">
        <v>141</v>
      </c>
      <c r="E20" s="10" t="s">
        <v>142</v>
      </c>
      <c r="F20" s="10" t="s">
        <v>143</v>
      </c>
      <c r="G20" s="116">
        <v>2140</v>
      </c>
      <c r="H20" s="163" t="s">
        <v>287</v>
      </c>
      <c r="I20" s="166" t="s">
        <v>288</v>
      </c>
      <c r="J20" s="163" t="s">
        <v>285</v>
      </c>
      <c r="K20" s="10" t="s">
        <v>30</v>
      </c>
      <c r="L20" s="10">
        <v>2</v>
      </c>
      <c r="M20" s="10">
        <v>1</v>
      </c>
      <c r="N20" s="10">
        <v>2</v>
      </c>
      <c r="O20" s="12">
        <v>1</v>
      </c>
      <c r="P20" s="116">
        <v>3570</v>
      </c>
      <c r="Q20" s="10" t="s">
        <v>36</v>
      </c>
      <c r="R20" s="4" t="s">
        <v>234</v>
      </c>
      <c r="S20" s="4" t="s">
        <v>235</v>
      </c>
      <c r="T20" s="4" t="s">
        <v>19</v>
      </c>
      <c r="U20" s="4" t="str">
        <f t="shared" si="1"/>
        <v>NOT AN ADD-ON</v>
      </c>
      <c r="V20" s="4" t="str">
        <f t="shared" si="2"/>
        <v>MANAGED SERVICE PROVIDERSMSPAUTHORIZEDNOT AN ADD-ON</v>
      </c>
    </row>
    <row r="21" spans="1:22" ht="15" hidden="1" thickBot="1">
      <c r="A21" s="10" t="s">
        <v>21</v>
      </c>
      <c r="B21" s="10" t="s">
        <v>22</v>
      </c>
      <c r="C21" s="10" t="s">
        <v>1015</v>
      </c>
      <c r="D21" s="10" t="s">
        <v>141</v>
      </c>
      <c r="E21" s="10" t="s">
        <v>142</v>
      </c>
      <c r="F21" s="10" t="s">
        <v>143</v>
      </c>
      <c r="G21" s="116">
        <v>712</v>
      </c>
      <c r="H21" s="163" t="s">
        <v>1040</v>
      </c>
      <c r="I21" s="158" t="s">
        <v>1041</v>
      </c>
      <c r="J21" s="163" t="s">
        <v>1040</v>
      </c>
      <c r="K21" s="10" t="s">
        <v>30</v>
      </c>
      <c r="L21" s="10">
        <v>0</v>
      </c>
      <c r="M21" s="10">
        <f t="shared" si="0"/>
        <v>0</v>
      </c>
      <c r="N21" s="10">
        <v>2</v>
      </c>
      <c r="O21" s="12">
        <v>1.6666666666666667</v>
      </c>
      <c r="P21" s="116">
        <v>712</v>
      </c>
      <c r="Q21" s="10" t="s">
        <v>33</v>
      </c>
      <c r="R21" s="4" t="s">
        <v>1290</v>
      </c>
      <c r="S21" s="4" t="s">
        <v>507</v>
      </c>
      <c r="T21" s="4" t="s">
        <v>19</v>
      </c>
      <c r="U21" s="4" t="str">
        <f t="shared" si="1"/>
        <v>NOT AN ADD-ON</v>
      </c>
      <c r="V21" s="4" t="str">
        <f t="shared" si="2"/>
        <v>LINEARADD-ONAUTHORIZEDNOT AN ADD-ON</v>
      </c>
    </row>
    <row r="22" spans="1:22" ht="29.25" hidden="1" customHeight="1" thickBot="1">
      <c r="A22" s="10" t="s">
        <v>21</v>
      </c>
      <c r="B22" s="10" t="s">
        <v>22</v>
      </c>
      <c r="C22" s="10" t="s">
        <v>1015</v>
      </c>
      <c r="D22" s="10" t="s">
        <v>141</v>
      </c>
      <c r="E22" s="10" t="s">
        <v>142</v>
      </c>
      <c r="F22" s="10" t="s">
        <v>143</v>
      </c>
      <c r="G22" s="116">
        <v>427</v>
      </c>
      <c r="H22" s="163" t="s">
        <v>1042</v>
      </c>
      <c r="I22" s="158" t="s">
        <v>1043</v>
      </c>
      <c r="J22" s="163" t="s">
        <v>1040</v>
      </c>
      <c r="K22" s="10" t="s">
        <v>30</v>
      </c>
      <c r="L22" s="10">
        <v>0</v>
      </c>
      <c r="M22" s="10">
        <f t="shared" si="0"/>
        <v>0</v>
      </c>
      <c r="N22" s="10">
        <v>2</v>
      </c>
      <c r="O22" s="12">
        <v>1.6666666666666667</v>
      </c>
      <c r="P22" s="116">
        <v>712</v>
      </c>
      <c r="Q22" s="10" t="s">
        <v>36</v>
      </c>
      <c r="R22" s="4" t="s">
        <v>1290</v>
      </c>
      <c r="S22" s="4" t="s">
        <v>507</v>
      </c>
      <c r="T22" s="4" t="s">
        <v>19</v>
      </c>
      <c r="U22" s="4" t="str">
        <f t="shared" si="1"/>
        <v>NOT AN ADD-ON</v>
      </c>
      <c r="V22" s="4" t="str">
        <f t="shared" si="2"/>
        <v>LINEARADD-ONAUTHORIZEDNOT AN ADD-ON</v>
      </c>
    </row>
    <row r="23" spans="1:22" ht="27" hidden="1" thickBot="1">
      <c r="A23" s="10" t="s">
        <v>21</v>
      </c>
      <c r="B23" s="10" t="s">
        <v>22</v>
      </c>
      <c r="C23" s="10" t="s">
        <v>204</v>
      </c>
      <c r="D23" s="10" t="s">
        <v>141</v>
      </c>
      <c r="E23" s="10" t="s">
        <v>142</v>
      </c>
      <c r="F23" s="10" t="s">
        <v>143</v>
      </c>
      <c r="G23" s="116">
        <v>1070</v>
      </c>
      <c r="H23" s="163" t="s">
        <v>257</v>
      </c>
      <c r="I23" s="166" t="s">
        <v>258</v>
      </c>
      <c r="J23" s="163" t="s">
        <v>257</v>
      </c>
      <c r="K23" s="10" t="s">
        <v>30</v>
      </c>
      <c r="L23" s="10">
        <v>2</v>
      </c>
      <c r="M23" s="10">
        <v>1</v>
      </c>
      <c r="N23" s="10">
        <v>2</v>
      </c>
      <c r="O23" s="12">
        <v>2</v>
      </c>
      <c r="P23" s="116">
        <v>1070</v>
      </c>
      <c r="Q23" s="10" t="s">
        <v>33</v>
      </c>
      <c r="R23" s="4" t="s">
        <v>208</v>
      </c>
      <c r="S23" s="4" t="s">
        <v>507</v>
      </c>
      <c r="T23" s="4" t="s">
        <v>19</v>
      </c>
      <c r="U23" s="4" t="str">
        <f t="shared" si="1"/>
        <v>NOT AN ADD-ON</v>
      </c>
      <c r="V23" s="4" t="str">
        <f t="shared" si="2"/>
        <v>INTERNAL SERVICE PROVIDERSADD-ONAUTHORIZEDNOT AN ADD-ON</v>
      </c>
    </row>
    <row r="24" spans="1:22" ht="27" hidden="1" thickBot="1">
      <c r="A24" s="10" t="s">
        <v>21</v>
      </c>
      <c r="B24" s="10" t="s">
        <v>22</v>
      </c>
      <c r="C24" s="10" t="s">
        <v>204</v>
      </c>
      <c r="D24" s="10" t="s">
        <v>141</v>
      </c>
      <c r="E24" s="10" t="s">
        <v>142</v>
      </c>
      <c r="F24" s="10" t="s">
        <v>143</v>
      </c>
      <c r="G24" s="116">
        <v>643</v>
      </c>
      <c r="H24" s="163" t="s">
        <v>259</v>
      </c>
      <c r="I24" s="166" t="s">
        <v>260</v>
      </c>
      <c r="J24" s="163" t="s">
        <v>257</v>
      </c>
      <c r="K24" s="10" t="s">
        <v>30</v>
      </c>
      <c r="L24" s="10">
        <v>2</v>
      </c>
      <c r="M24" s="10">
        <v>1</v>
      </c>
      <c r="N24" s="10">
        <v>2</v>
      </c>
      <c r="O24" s="12">
        <v>2</v>
      </c>
      <c r="P24" s="116">
        <v>1070</v>
      </c>
      <c r="Q24" s="10" t="s">
        <v>36</v>
      </c>
      <c r="R24" s="4" t="s">
        <v>208</v>
      </c>
      <c r="S24" s="4" t="s">
        <v>507</v>
      </c>
      <c r="T24" s="4" t="s">
        <v>19</v>
      </c>
      <c r="U24" s="4" t="str">
        <f t="shared" si="1"/>
        <v>NOT AN ADD-ON</v>
      </c>
      <c r="V24" s="4" t="str">
        <f t="shared" si="2"/>
        <v>INTERNAL SERVICE PROVIDERSADD-ONAUTHORIZEDNOT AN ADD-ON</v>
      </c>
    </row>
    <row r="25" spans="1:22" ht="27" hidden="1" thickBot="1">
      <c r="A25" s="10" t="s">
        <v>21</v>
      </c>
      <c r="B25" s="10" t="s">
        <v>22</v>
      </c>
      <c r="C25" s="10" t="s">
        <v>230</v>
      </c>
      <c r="D25" s="10" t="s">
        <v>141</v>
      </c>
      <c r="E25" s="10" t="s">
        <v>142</v>
      </c>
      <c r="F25" s="10" t="s">
        <v>143</v>
      </c>
      <c r="G25" s="116">
        <v>1780</v>
      </c>
      <c r="H25" s="163" t="s">
        <v>297</v>
      </c>
      <c r="I25" s="166" t="s">
        <v>298</v>
      </c>
      <c r="J25" s="163" t="s">
        <v>297</v>
      </c>
      <c r="K25" s="10" t="s">
        <v>30</v>
      </c>
      <c r="L25" s="10">
        <v>0</v>
      </c>
      <c r="M25" s="10">
        <f t="shared" si="0"/>
        <v>0</v>
      </c>
      <c r="N25" s="10">
        <v>2</v>
      </c>
      <c r="O25" s="12">
        <v>1.6666666666666667</v>
      </c>
      <c r="P25" s="116">
        <v>1780</v>
      </c>
      <c r="Q25" s="10" t="s">
        <v>33</v>
      </c>
      <c r="R25" s="4" t="s">
        <v>234</v>
      </c>
      <c r="S25" s="4" t="s">
        <v>235</v>
      </c>
      <c r="T25" s="4" t="s">
        <v>672</v>
      </c>
      <c r="U25" s="4" t="str">
        <f t="shared" si="1"/>
        <v>NOT AN ADD-ON</v>
      </c>
      <c r="V25" s="4" t="str">
        <f t="shared" si="2"/>
        <v>MANAGED SERVICE PROVIDERSMSPLIMITEDNOT AN ADD-ON</v>
      </c>
    </row>
    <row r="26" spans="1:22" ht="27" hidden="1" thickBot="1">
      <c r="A26" s="10" t="s">
        <v>21</v>
      </c>
      <c r="B26" s="10" t="s">
        <v>22</v>
      </c>
      <c r="C26" s="10" t="s">
        <v>230</v>
      </c>
      <c r="D26" s="10" t="s">
        <v>141</v>
      </c>
      <c r="E26" s="10" t="s">
        <v>142</v>
      </c>
      <c r="F26" s="10" t="s">
        <v>143</v>
      </c>
      <c r="G26" s="116">
        <v>1070</v>
      </c>
      <c r="H26" s="163" t="s">
        <v>299</v>
      </c>
      <c r="I26" s="166" t="s">
        <v>300</v>
      </c>
      <c r="J26" s="163" t="s">
        <v>297</v>
      </c>
      <c r="K26" s="10" t="s">
        <v>30</v>
      </c>
      <c r="L26" s="10">
        <v>0</v>
      </c>
      <c r="M26" s="10">
        <f t="shared" si="0"/>
        <v>0</v>
      </c>
      <c r="N26" s="10">
        <v>2</v>
      </c>
      <c r="O26" s="12">
        <v>1.6666666666666667</v>
      </c>
      <c r="P26" s="116">
        <v>1780</v>
      </c>
      <c r="Q26" s="10" t="s">
        <v>36</v>
      </c>
      <c r="R26" s="4" t="s">
        <v>234</v>
      </c>
      <c r="S26" s="4" t="s">
        <v>235</v>
      </c>
      <c r="T26" s="4" t="s">
        <v>672</v>
      </c>
      <c r="U26" s="4" t="str">
        <f t="shared" si="1"/>
        <v>NOT AN ADD-ON</v>
      </c>
      <c r="V26" s="4" t="str">
        <f t="shared" si="2"/>
        <v>MANAGED SERVICE PROVIDERSMSPLIMITEDNOT AN ADD-ON</v>
      </c>
    </row>
    <row r="27" spans="1:22" ht="15" hidden="1" thickBot="1">
      <c r="A27" s="10" t="s">
        <v>21</v>
      </c>
      <c r="B27" s="10" t="s">
        <v>22</v>
      </c>
      <c r="C27" s="10" t="s">
        <v>94</v>
      </c>
      <c r="D27" s="10" t="s">
        <v>95</v>
      </c>
      <c r="E27" s="10" t="s">
        <v>96</v>
      </c>
      <c r="F27" s="10" t="s">
        <v>97</v>
      </c>
      <c r="G27" s="116">
        <v>8980</v>
      </c>
      <c r="H27" s="163" t="s">
        <v>130</v>
      </c>
      <c r="I27" s="158" t="s">
        <v>131</v>
      </c>
      <c r="J27" s="163" t="s">
        <v>130</v>
      </c>
      <c r="K27" s="10" t="s">
        <v>101</v>
      </c>
      <c r="L27" s="10" t="s">
        <v>102</v>
      </c>
      <c r="M27" s="10" t="e">
        <f t="shared" si="0"/>
        <v>#VALUE!</v>
      </c>
      <c r="N27" s="10">
        <v>15</v>
      </c>
      <c r="O27" s="12">
        <v>5</v>
      </c>
      <c r="P27" s="116">
        <v>8980</v>
      </c>
      <c r="Q27" s="10" t="s">
        <v>33</v>
      </c>
      <c r="R27" s="4" t="s">
        <v>1294</v>
      </c>
      <c r="S27" s="4" t="s">
        <v>1379</v>
      </c>
      <c r="T27" s="4" t="s">
        <v>1380</v>
      </c>
      <c r="U27" s="4" t="str">
        <f t="shared" si="1"/>
        <v>NOT AN ADD-ON</v>
      </c>
      <c r="V27" s="4" t="str">
        <f t="shared" si="2"/>
        <v>ASSET CONFIGURATION MANAGERACMASSETNOT AN ADD-ON</v>
      </c>
    </row>
    <row r="28" spans="1:22" ht="15" hidden="1" thickBot="1">
      <c r="A28" s="10" t="s">
        <v>21</v>
      </c>
      <c r="B28" s="10" t="s">
        <v>22</v>
      </c>
      <c r="C28" s="10" t="s">
        <v>94</v>
      </c>
      <c r="D28" s="10" t="s">
        <v>95</v>
      </c>
      <c r="E28" s="10" t="s">
        <v>96</v>
      </c>
      <c r="F28" s="10" t="s">
        <v>97</v>
      </c>
      <c r="G28" s="116">
        <v>5390</v>
      </c>
      <c r="H28" s="163" t="s">
        <v>132</v>
      </c>
      <c r="I28" s="158" t="s">
        <v>133</v>
      </c>
      <c r="J28" s="163" t="s">
        <v>130</v>
      </c>
      <c r="K28" s="10" t="s">
        <v>101</v>
      </c>
      <c r="L28" s="10" t="s">
        <v>102</v>
      </c>
      <c r="M28" s="10" t="e">
        <f t="shared" si="0"/>
        <v>#VALUE!</v>
      </c>
      <c r="N28" s="10">
        <v>15</v>
      </c>
      <c r="O28" s="12">
        <v>5</v>
      </c>
      <c r="P28" s="116">
        <v>8980</v>
      </c>
      <c r="Q28" s="10" t="s">
        <v>36</v>
      </c>
      <c r="R28" s="4" t="s">
        <v>1294</v>
      </c>
      <c r="S28" s="4" t="s">
        <v>1379</v>
      </c>
      <c r="T28" s="4" t="s">
        <v>1380</v>
      </c>
      <c r="U28" s="4" t="str">
        <f t="shared" si="1"/>
        <v>NOT AN ADD-ON</v>
      </c>
      <c r="V28" s="4" t="str">
        <f t="shared" si="2"/>
        <v>ASSET CONFIGURATION MANAGERACMASSETNOT AN ADD-ON</v>
      </c>
    </row>
    <row r="29" spans="1:22" ht="15" hidden="1" thickBot="1">
      <c r="A29" s="10" t="s">
        <v>21</v>
      </c>
      <c r="B29" s="10" t="s">
        <v>22</v>
      </c>
      <c r="C29" s="10" t="s">
        <v>94</v>
      </c>
      <c r="D29" s="10" t="s">
        <v>95</v>
      </c>
      <c r="E29" s="10" t="s">
        <v>96</v>
      </c>
      <c r="F29" s="10" t="s">
        <v>97</v>
      </c>
      <c r="G29" s="116">
        <v>5740</v>
      </c>
      <c r="H29" s="163" t="s">
        <v>136</v>
      </c>
      <c r="I29" s="158" t="s">
        <v>137</v>
      </c>
      <c r="J29" s="163" t="s">
        <v>136</v>
      </c>
      <c r="K29" s="10" t="s">
        <v>30</v>
      </c>
      <c r="L29" s="10">
        <v>2</v>
      </c>
      <c r="M29" s="10">
        <v>1</v>
      </c>
      <c r="N29" s="10">
        <v>2</v>
      </c>
      <c r="O29" s="12">
        <v>1</v>
      </c>
      <c r="P29" s="116">
        <v>5740</v>
      </c>
      <c r="Q29" s="10" t="s">
        <v>33</v>
      </c>
      <c r="R29" s="4" t="s">
        <v>1294</v>
      </c>
      <c r="S29" s="4" t="s">
        <v>1379</v>
      </c>
      <c r="T29" s="4" t="s">
        <v>19</v>
      </c>
      <c r="U29" s="4" t="str">
        <f t="shared" si="1"/>
        <v>NOT AN ADD-ON</v>
      </c>
      <c r="V29" s="4" t="str">
        <f t="shared" si="2"/>
        <v>ASSET CONFIGURATION MANAGERACMAUTHORIZEDNOT AN ADD-ON</v>
      </c>
    </row>
    <row r="30" spans="1:22" ht="15" hidden="1" thickBot="1">
      <c r="A30" s="10" t="s">
        <v>21</v>
      </c>
      <c r="B30" s="10" t="s">
        <v>22</v>
      </c>
      <c r="C30" s="10" t="s">
        <v>94</v>
      </c>
      <c r="D30" s="10" t="s">
        <v>95</v>
      </c>
      <c r="E30" s="10" t="s">
        <v>96</v>
      </c>
      <c r="F30" s="10" t="s">
        <v>97</v>
      </c>
      <c r="G30" s="116">
        <v>3440</v>
      </c>
      <c r="H30" s="163" t="s">
        <v>138</v>
      </c>
      <c r="I30" s="158" t="s">
        <v>139</v>
      </c>
      <c r="J30" s="163" t="s">
        <v>136</v>
      </c>
      <c r="K30" s="10" t="s">
        <v>30</v>
      </c>
      <c r="L30" s="10">
        <v>2</v>
      </c>
      <c r="M30" s="10">
        <v>1</v>
      </c>
      <c r="N30" s="10">
        <v>2</v>
      </c>
      <c r="O30" s="12">
        <v>1</v>
      </c>
      <c r="P30" s="116">
        <v>5740</v>
      </c>
      <c r="Q30" s="10" t="s">
        <v>36</v>
      </c>
      <c r="R30" s="4" t="s">
        <v>1294</v>
      </c>
      <c r="S30" s="4" t="s">
        <v>1379</v>
      </c>
      <c r="T30" s="4" t="s">
        <v>19</v>
      </c>
      <c r="U30" s="4" t="str">
        <f t="shared" si="1"/>
        <v>NOT AN ADD-ON</v>
      </c>
      <c r="V30" s="4" t="str">
        <f t="shared" si="2"/>
        <v>ASSET CONFIGURATION MANAGERACMAUTHORIZEDNOT AN ADD-ON</v>
      </c>
    </row>
    <row r="31" spans="1:22" ht="15" hidden="1" thickBot="1">
      <c r="A31" s="10" t="s">
        <v>21</v>
      </c>
      <c r="B31" s="10" t="s">
        <v>22</v>
      </c>
      <c r="C31" s="10" t="s">
        <v>417</v>
      </c>
      <c r="D31" s="10" t="s">
        <v>418</v>
      </c>
      <c r="E31" s="10" t="s">
        <v>419</v>
      </c>
      <c r="F31" s="10" t="s">
        <v>420</v>
      </c>
      <c r="G31" s="116">
        <v>161000</v>
      </c>
      <c r="H31" s="163" t="s">
        <v>423</v>
      </c>
      <c r="I31" s="158" t="s">
        <v>425</v>
      </c>
      <c r="J31" s="163" t="s">
        <v>423</v>
      </c>
      <c r="K31" s="10" t="s">
        <v>424</v>
      </c>
      <c r="L31" s="10">
        <v>80</v>
      </c>
      <c r="M31" s="10">
        <f t="shared" si="0"/>
        <v>80</v>
      </c>
      <c r="N31" s="10">
        <v>80</v>
      </c>
      <c r="O31" s="12">
        <v>1</v>
      </c>
      <c r="P31" s="116">
        <v>161000</v>
      </c>
      <c r="Q31" s="10" t="s">
        <v>33</v>
      </c>
      <c r="R31" s="4" t="s">
        <v>1296</v>
      </c>
      <c r="S31" s="4" t="s">
        <v>1295</v>
      </c>
      <c r="T31" s="4" t="s">
        <v>1295</v>
      </c>
      <c r="U31" s="4" t="str">
        <f t="shared" si="1"/>
        <v>NOT AN ADD-ON</v>
      </c>
      <c r="V31" s="4" t="str">
        <f t="shared" si="2"/>
        <v>ADAPTER FOR ORACLEADAPTERADAPTERNOT AN ADD-ON</v>
      </c>
    </row>
    <row r="32" spans="1:22" ht="27" hidden="1" thickBot="1">
      <c r="A32" s="10" t="s">
        <v>21</v>
      </c>
      <c r="B32" s="10" t="s">
        <v>22</v>
      </c>
      <c r="C32" s="10" t="s">
        <v>417</v>
      </c>
      <c r="D32" s="10" t="s">
        <v>418</v>
      </c>
      <c r="E32" s="10" t="s">
        <v>419</v>
      </c>
      <c r="F32" s="10" t="s">
        <v>420</v>
      </c>
      <c r="G32" s="116">
        <v>96300</v>
      </c>
      <c r="H32" s="163" t="s">
        <v>426</v>
      </c>
      <c r="I32" s="166" t="s">
        <v>427</v>
      </c>
      <c r="J32" s="163" t="s">
        <v>423</v>
      </c>
      <c r="K32" s="10" t="s">
        <v>424</v>
      </c>
      <c r="L32" s="10">
        <v>80</v>
      </c>
      <c r="M32" s="10">
        <f t="shared" si="0"/>
        <v>80</v>
      </c>
      <c r="N32" s="10">
        <v>80</v>
      </c>
      <c r="O32" s="12">
        <v>1</v>
      </c>
      <c r="P32" s="116">
        <v>161000</v>
      </c>
      <c r="Q32" s="10" t="s">
        <v>36</v>
      </c>
      <c r="R32" s="4" t="s">
        <v>1296</v>
      </c>
      <c r="S32" s="4" t="s">
        <v>1295</v>
      </c>
      <c r="T32" s="4" t="s">
        <v>1295</v>
      </c>
      <c r="U32" s="4" t="str">
        <f t="shared" si="1"/>
        <v>NOT AN ADD-ON</v>
      </c>
      <c r="V32" s="4" t="str">
        <f t="shared" si="2"/>
        <v>ADAPTER FOR ORACLEADAPTERADAPTERNOT AN ADD-ON</v>
      </c>
    </row>
    <row r="33" spans="1:22" ht="15" hidden="1" thickBot="1">
      <c r="A33" s="10" t="s">
        <v>21</v>
      </c>
      <c r="B33" s="10" t="s">
        <v>22</v>
      </c>
      <c r="C33" s="10" t="s">
        <v>435</v>
      </c>
      <c r="D33" s="10" t="s">
        <v>418</v>
      </c>
      <c r="E33" s="10" t="s">
        <v>419</v>
      </c>
      <c r="F33" s="10" t="s">
        <v>420</v>
      </c>
      <c r="G33" s="116">
        <v>161000</v>
      </c>
      <c r="H33" s="163" t="s">
        <v>438</v>
      </c>
      <c r="I33" s="158" t="s">
        <v>439</v>
      </c>
      <c r="J33" s="163" t="s">
        <v>438</v>
      </c>
      <c r="K33" s="10" t="s">
        <v>424</v>
      </c>
      <c r="L33" s="10">
        <v>80</v>
      </c>
      <c r="M33" s="10">
        <f t="shared" si="0"/>
        <v>80</v>
      </c>
      <c r="N33" s="10">
        <v>80</v>
      </c>
      <c r="O33" s="12">
        <v>1</v>
      </c>
      <c r="P33" s="116">
        <v>161000</v>
      </c>
      <c r="Q33" s="10" t="s">
        <v>33</v>
      </c>
      <c r="R33" s="4" t="s">
        <v>1297</v>
      </c>
      <c r="S33" s="4" t="s">
        <v>1295</v>
      </c>
      <c r="T33" s="4" t="s">
        <v>1295</v>
      </c>
      <c r="U33" s="4" t="str">
        <f t="shared" si="1"/>
        <v>NOT AN ADD-ON</v>
      </c>
      <c r="V33" s="4" t="str">
        <f t="shared" si="2"/>
        <v>ADAPTER FOR SAPADAPTERADAPTERNOT AN ADD-ON</v>
      </c>
    </row>
    <row r="34" spans="1:22" ht="15" hidden="1" thickBot="1">
      <c r="A34" s="10" t="s">
        <v>21</v>
      </c>
      <c r="B34" s="10" t="s">
        <v>22</v>
      </c>
      <c r="C34" s="10" t="s">
        <v>435</v>
      </c>
      <c r="D34" s="10" t="s">
        <v>418</v>
      </c>
      <c r="E34" s="10" t="s">
        <v>419</v>
      </c>
      <c r="F34" s="10" t="s">
        <v>420</v>
      </c>
      <c r="G34" s="116">
        <v>96300</v>
      </c>
      <c r="H34" s="163" t="s">
        <v>440</v>
      </c>
      <c r="I34" s="158" t="s">
        <v>441</v>
      </c>
      <c r="J34" s="163" t="s">
        <v>438</v>
      </c>
      <c r="K34" s="10" t="s">
        <v>424</v>
      </c>
      <c r="L34" s="10">
        <v>80</v>
      </c>
      <c r="M34" s="10">
        <f t="shared" si="0"/>
        <v>80</v>
      </c>
      <c r="N34" s="10">
        <v>80</v>
      </c>
      <c r="O34" s="12">
        <v>1</v>
      </c>
      <c r="P34" s="116">
        <v>161000</v>
      </c>
      <c r="Q34" s="10" t="s">
        <v>36</v>
      </c>
      <c r="R34" s="4" t="s">
        <v>1297</v>
      </c>
      <c r="S34" s="4" t="s">
        <v>1295</v>
      </c>
      <c r="T34" s="4" t="s">
        <v>1295</v>
      </c>
      <c r="U34" s="4" t="str">
        <f t="shared" si="1"/>
        <v>NOT AN ADD-ON</v>
      </c>
      <c r="V34" s="4" t="str">
        <f t="shared" si="2"/>
        <v>ADAPTER FOR SAPADAPTERADAPTERNOT AN ADD-ON</v>
      </c>
    </row>
    <row r="35" spans="1:22" ht="15" hidden="1" thickBot="1">
      <c r="A35" s="10" t="s">
        <v>21</v>
      </c>
      <c r="B35" s="10" t="s">
        <v>22</v>
      </c>
      <c r="C35" s="10" t="s">
        <v>385</v>
      </c>
      <c r="D35" s="10" t="s">
        <v>386</v>
      </c>
      <c r="E35" s="10" t="s">
        <v>387</v>
      </c>
      <c r="F35" s="10" t="s">
        <v>388</v>
      </c>
      <c r="G35" s="116">
        <v>584</v>
      </c>
      <c r="H35" s="163" t="s">
        <v>413</v>
      </c>
      <c r="I35" s="158" t="s">
        <v>414</v>
      </c>
      <c r="J35" s="163" t="s">
        <v>413</v>
      </c>
      <c r="K35" s="10" t="s">
        <v>30</v>
      </c>
      <c r="L35" s="10">
        <v>0</v>
      </c>
      <c r="M35" s="10">
        <f t="shared" si="0"/>
        <v>0</v>
      </c>
      <c r="N35" s="15">
        <v>5</v>
      </c>
      <c r="O35" s="16">
        <v>1.67</v>
      </c>
      <c r="P35" s="116">
        <v>584</v>
      </c>
      <c r="Q35" s="10" t="s">
        <v>33</v>
      </c>
      <c r="R35" s="4" t="s">
        <v>1288</v>
      </c>
      <c r="S35" s="4" t="s">
        <v>507</v>
      </c>
      <c r="T35" s="4" t="s">
        <v>19</v>
      </c>
      <c r="U35" s="4" t="str">
        <f t="shared" si="1"/>
        <v>NOT AN ADD-ON</v>
      </c>
      <c r="V35" s="4" t="str">
        <f t="shared" si="2"/>
        <v>CALIBRATIONADD-ONAUTHORIZEDNOT AN ADD-ON</v>
      </c>
    </row>
    <row r="36" spans="1:22" ht="15" hidden="1" thickBot="1">
      <c r="A36" s="10" t="s">
        <v>21</v>
      </c>
      <c r="B36" s="10" t="s">
        <v>22</v>
      </c>
      <c r="C36" s="10" t="s">
        <v>385</v>
      </c>
      <c r="D36" s="10" t="s">
        <v>386</v>
      </c>
      <c r="E36" s="10" t="s">
        <v>387</v>
      </c>
      <c r="F36" s="10" t="s">
        <v>388</v>
      </c>
      <c r="G36" s="116">
        <v>350</v>
      </c>
      <c r="H36" s="163" t="s">
        <v>415</v>
      </c>
      <c r="I36" s="158" t="s">
        <v>416</v>
      </c>
      <c r="J36" s="163" t="s">
        <v>413</v>
      </c>
      <c r="K36" s="10" t="s">
        <v>30</v>
      </c>
      <c r="L36" s="10">
        <v>0</v>
      </c>
      <c r="M36" s="10">
        <f t="shared" si="0"/>
        <v>0</v>
      </c>
      <c r="N36" s="15">
        <v>5</v>
      </c>
      <c r="O36" s="16">
        <v>1.67</v>
      </c>
      <c r="P36" s="116">
        <v>584</v>
      </c>
      <c r="Q36" s="10" t="s">
        <v>36</v>
      </c>
      <c r="R36" s="4" t="s">
        <v>1288</v>
      </c>
      <c r="S36" s="4" t="s">
        <v>507</v>
      </c>
      <c r="T36" s="4" t="s">
        <v>19</v>
      </c>
      <c r="U36" s="4" t="str">
        <f t="shared" si="1"/>
        <v>NOT AN ADD-ON</v>
      </c>
      <c r="V36" s="4" t="str">
        <f t="shared" si="2"/>
        <v>CALIBRATIONADD-ONAUTHORIZEDNOT AN ADD-ON</v>
      </c>
    </row>
    <row r="37" spans="1:22" ht="15" hidden="1" thickBot="1">
      <c r="A37" s="10" t="s">
        <v>21</v>
      </c>
      <c r="B37" s="10" t="s">
        <v>22</v>
      </c>
      <c r="C37" s="10" t="s">
        <v>301</v>
      </c>
      <c r="D37" s="10" t="s">
        <v>141</v>
      </c>
      <c r="E37" s="10" t="s">
        <v>142</v>
      </c>
      <c r="F37" s="10" t="s">
        <v>143</v>
      </c>
      <c r="G37" s="116">
        <v>2020</v>
      </c>
      <c r="H37" s="163" t="s">
        <v>304</v>
      </c>
      <c r="I37" s="158" t="s">
        <v>309</v>
      </c>
      <c r="J37" s="163" t="s">
        <v>304</v>
      </c>
      <c r="K37" s="10" t="s">
        <v>30</v>
      </c>
      <c r="L37" s="10">
        <v>0</v>
      </c>
      <c r="M37" s="10">
        <f t="shared" si="0"/>
        <v>0</v>
      </c>
      <c r="N37" s="10">
        <v>10</v>
      </c>
      <c r="O37" s="12">
        <v>3.3333333333333335</v>
      </c>
      <c r="P37" s="116">
        <v>2020</v>
      </c>
      <c r="Q37" s="10" t="s">
        <v>33</v>
      </c>
      <c r="R37" s="4" t="s">
        <v>1285</v>
      </c>
      <c r="S37" s="4" t="s">
        <v>507</v>
      </c>
      <c r="T37" s="4" t="s">
        <v>19</v>
      </c>
      <c r="U37" s="4" t="str">
        <f t="shared" si="1"/>
        <v>NOT AN ADD-ON</v>
      </c>
      <c r="V37" s="4" t="str">
        <f t="shared" si="2"/>
        <v>SCHEDULERADD-ONAUTHORIZEDNOT AN ADD-ON</v>
      </c>
    </row>
    <row r="38" spans="1:22" ht="15" hidden="1" thickBot="1">
      <c r="A38" s="10" t="s">
        <v>21</v>
      </c>
      <c r="B38" s="10" t="s">
        <v>22</v>
      </c>
      <c r="C38" s="10" t="s">
        <v>301</v>
      </c>
      <c r="D38" s="10" t="s">
        <v>141</v>
      </c>
      <c r="E38" s="10" t="s">
        <v>142</v>
      </c>
      <c r="F38" s="10" t="s">
        <v>143</v>
      </c>
      <c r="G38" s="116">
        <v>1190</v>
      </c>
      <c r="H38" s="163" t="s">
        <v>310</v>
      </c>
      <c r="I38" s="158" t="s">
        <v>311</v>
      </c>
      <c r="J38" s="163" t="s">
        <v>304</v>
      </c>
      <c r="K38" s="10" t="s">
        <v>30</v>
      </c>
      <c r="L38" s="10">
        <v>0</v>
      </c>
      <c r="M38" s="10">
        <f t="shared" si="0"/>
        <v>0</v>
      </c>
      <c r="N38" s="10">
        <v>10</v>
      </c>
      <c r="O38" s="12">
        <v>3.3333333333333335</v>
      </c>
      <c r="P38" s="116">
        <v>2020</v>
      </c>
      <c r="Q38" s="10" t="s">
        <v>36</v>
      </c>
      <c r="R38" s="4" t="s">
        <v>1285</v>
      </c>
      <c r="S38" s="4" t="s">
        <v>507</v>
      </c>
      <c r="T38" s="4" t="s">
        <v>19</v>
      </c>
      <c r="U38" s="4" t="str">
        <f t="shared" si="1"/>
        <v>NOT AN ADD-ON</v>
      </c>
      <c r="V38" s="4" t="str">
        <f t="shared" si="2"/>
        <v>SCHEDULERADD-ONAUTHORIZEDNOT AN ADD-ON</v>
      </c>
    </row>
    <row r="39" spans="1:22" ht="15" hidden="1" thickBot="1">
      <c r="A39" s="10" t="s">
        <v>21</v>
      </c>
      <c r="B39" s="10" t="s">
        <v>22</v>
      </c>
      <c r="C39" s="10" t="s">
        <v>301</v>
      </c>
      <c r="D39" s="10" t="s">
        <v>141</v>
      </c>
      <c r="E39" s="10" t="s">
        <v>142</v>
      </c>
      <c r="F39" s="10" t="s">
        <v>143</v>
      </c>
      <c r="G39" s="116">
        <v>2020</v>
      </c>
      <c r="H39" s="163" t="s">
        <v>330</v>
      </c>
      <c r="I39" s="158" t="s">
        <v>335</v>
      </c>
      <c r="J39" s="163" t="s">
        <v>330</v>
      </c>
      <c r="K39" s="10" t="s">
        <v>30</v>
      </c>
      <c r="L39" s="10">
        <v>0</v>
      </c>
      <c r="M39" s="10">
        <f t="shared" si="0"/>
        <v>0</v>
      </c>
      <c r="N39" s="10">
        <v>10</v>
      </c>
      <c r="O39" s="12">
        <v>3.3333333333333335</v>
      </c>
      <c r="P39" s="116">
        <v>2020</v>
      </c>
      <c r="Q39" s="10" t="s">
        <v>33</v>
      </c>
      <c r="R39" s="4" t="s">
        <v>1285</v>
      </c>
      <c r="S39" s="4" t="s">
        <v>507</v>
      </c>
      <c r="T39" s="4" t="s">
        <v>19</v>
      </c>
      <c r="U39" s="4" t="str">
        <f t="shared" si="1"/>
        <v>NOT AN ADD-ON</v>
      </c>
      <c r="V39" s="4" t="str">
        <f t="shared" si="2"/>
        <v>SCHEDULERADD-ONAUTHORIZEDNOT AN ADD-ON</v>
      </c>
    </row>
    <row r="40" spans="1:22" ht="15" hidden="1" thickBot="1">
      <c r="A40" s="10" t="s">
        <v>21</v>
      </c>
      <c r="B40" s="10" t="s">
        <v>22</v>
      </c>
      <c r="C40" s="10" t="s">
        <v>301</v>
      </c>
      <c r="D40" s="10" t="s">
        <v>141</v>
      </c>
      <c r="E40" s="10" t="s">
        <v>142</v>
      </c>
      <c r="F40" s="10" t="s">
        <v>143</v>
      </c>
      <c r="G40" s="116">
        <v>1190</v>
      </c>
      <c r="H40" s="163" t="s">
        <v>336</v>
      </c>
      <c r="I40" s="158" t="s">
        <v>337</v>
      </c>
      <c r="J40" s="163" t="s">
        <v>330</v>
      </c>
      <c r="K40" s="10" t="s">
        <v>30</v>
      </c>
      <c r="L40" s="10">
        <v>0</v>
      </c>
      <c r="M40" s="10">
        <f t="shared" si="0"/>
        <v>0</v>
      </c>
      <c r="N40" s="10">
        <v>10</v>
      </c>
      <c r="O40" s="12">
        <v>3.3333333333333335</v>
      </c>
      <c r="P40" s="116">
        <v>2020</v>
      </c>
      <c r="Q40" s="10" t="s">
        <v>36</v>
      </c>
      <c r="R40" s="4" t="s">
        <v>1285</v>
      </c>
      <c r="S40" s="4" t="s">
        <v>507</v>
      </c>
      <c r="T40" s="4" t="s">
        <v>19</v>
      </c>
      <c r="U40" s="4" t="str">
        <f t="shared" si="1"/>
        <v>NOT AN ADD-ON</v>
      </c>
      <c r="V40" s="4" t="str">
        <f t="shared" si="2"/>
        <v>SCHEDULERADD-ONAUTHORIZEDNOT AN ADD-ON</v>
      </c>
    </row>
    <row r="41" spans="1:22" ht="15" hidden="1" thickBot="1">
      <c r="A41" s="10" t="s">
        <v>21</v>
      </c>
      <c r="B41" s="10" t="s">
        <v>22</v>
      </c>
      <c r="C41" s="10" t="s">
        <v>140</v>
      </c>
      <c r="D41" s="10" t="s">
        <v>141</v>
      </c>
      <c r="E41" s="10" t="s">
        <v>142</v>
      </c>
      <c r="F41" s="10" t="s">
        <v>143</v>
      </c>
      <c r="G41" s="116">
        <v>3200</v>
      </c>
      <c r="H41" s="163" t="s">
        <v>263</v>
      </c>
      <c r="I41" s="158" t="s">
        <v>266</v>
      </c>
      <c r="J41" s="163" t="s">
        <v>263</v>
      </c>
      <c r="K41" s="10" t="s">
        <v>30</v>
      </c>
      <c r="L41" s="10">
        <v>2</v>
      </c>
      <c r="M41" s="10">
        <v>1</v>
      </c>
      <c r="N41" s="10">
        <v>2</v>
      </c>
      <c r="O41" s="12">
        <v>1</v>
      </c>
      <c r="P41" s="116">
        <v>3200</v>
      </c>
      <c r="Q41" s="10" t="s">
        <v>33</v>
      </c>
      <c r="R41" s="4" t="s">
        <v>1278</v>
      </c>
      <c r="S41" s="4" t="s">
        <v>1278</v>
      </c>
      <c r="T41" s="4" t="s">
        <v>672</v>
      </c>
      <c r="U41" s="4" t="str">
        <f t="shared" si="1"/>
        <v>NOT AN ADD-ON</v>
      </c>
      <c r="V41" s="4" t="str">
        <f t="shared" si="2"/>
        <v>ASSET MANAGEMENT (CORE)ASSET MANAGEMENT (CORE)LIMITEDNOT AN ADD-ON</v>
      </c>
    </row>
    <row r="42" spans="1:22" ht="15" hidden="1" thickBot="1">
      <c r="A42" s="10" t="s">
        <v>21</v>
      </c>
      <c r="B42" s="10" t="s">
        <v>22</v>
      </c>
      <c r="C42" s="10" t="s">
        <v>140</v>
      </c>
      <c r="D42" s="10" t="s">
        <v>141</v>
      </c>
      <c r="E42" s="10" t="s">
        <v>142</v>
      </c>
      <c r="F42" s="10" t="s">
        <v>143</v>
      </c>
      <c r="G42" s="116">
        <v>1920</v>
      </c>
      <c r="H42" s="163" t="s">
        <v>267</v>
      </c>
      <c r="I42" s="158" t="s">
        <v>268</v>
      </c>
      <c r="J42" s="163" t="s">
        <v>263</v>
      </c>
      <c r="K42" s="10" t="s">
        <v>30</v>
      </c>
      <c r="L42" s="10">
        <v>2</v>
      </c>
      <c r="M42" s="10">
        <v>1</v>
      </c>
      <c r="N42" s="10">
        <v>2</v>
      </c>
      <c r="O42" s="12">
        <v>1</v>
      </c>
      <c r="P42" s="116">
        <v>3200</v>
      </c>
      <c r="Q42" s="10" t="s">
        <v>36</v>
      </c>
      <c r="R42" s="4" t="s">
        <v>1278</v>
      </c>
      <c r="S42" s="4" t="s">
        <v>1278</v>
      </c>
      <c r="T42" s="4" t="s">
        <v>672</v>
      </c>
      <c r="U42" s="4" t="str">
        <f t="shared" si="1"/>
        <v>NOT AN ADD-ON</v>
      </c>
      <c r="V42" s="4" t="str">
        <f t="shared" si="2"/>
        <v>ASSET MANAGEMENT (CORE)ASSET MANAGEMENT (CORE)LIMITEDNOT AN ADD-ON</v>
      </c>
    </row>
    <row r="43" spans="1:22" ht="15" hidden="1" thickBot="1">
      <c r="A43" s="10" t="s">
        <v>21</v>
      </c>
      <c r="B43" s="10" t="s">
        <v>22</v>
      </c>
      <c r="C43" s="10" t="s">
        <v>140</v>
      </c>
      <c r="D43" s="10" t="s">
        <v>141</v>
      </c>
      <c r="E43" s="10" t="s">
        <v>142</v>
      </c>
      <c r="F43" s="10" t="s">
        <v>143</v>
      </c>
      <c r="G43" s="116">
        <v>6390</v>
      </c>
      <c r="H43" s="163" t="s">
        <v>146</v>
      </c>
      <c r="I43" s="158" t="s">
        <v>149</v>
      </c>
      <c r="J43" s="163" t="s">
        <v>146</v>
      </c>
      <c r="K43" s="10" t="s">
        <v>30</v>
      </c>
      <c r="L43" s="10">
        <v>3</v>
      </c>
      <c r="M43" s="10">
        <v>1</v>
      </c>
      <c r="N43" s="10">
        <v>3</v>
      </c>
      <c r="O43" s="12">
        <v>1</v>
      </c>
      <c r="P43" s="116">
        <v>6390</v>
      </c>
      <c r="Q43" s="10" t="s">
        <v>33</v>
      </c>
      <c r="R43" s="4" t="s">
        <v>1278</v>
      </c>
      <c r="S43" s="4" t="s">
        <v>1278</v>
      </c>
      <c r="T43" s="4" t="s">
        <v>19</v>
      </c>
      <c r="U43" s="4" t="str">
        <f t="shared" si="1"/>
        <v>NOT AN ADD-ON</v>
      </c>
      <c r="V43" s="4" t="str">
        <f t="shared" si="2"/>
        <v>ASSET MANAGEMENT (CORE)ASSET MANAGEMENT (CORE)AUTHORIZEDNOT AN ADD-ON</v>
      </c>
    </row>
    <row r="44" spans="1:22" ht="15" hidden="1" thickBot="1">
      <c r="A44" s="10" t="s">
        <v>21</v>
      </c>
      <c r="B44" s="10" t="s">
        <v>22</v>
      </c>
      <c r="C44" s="10" t="s">
        <v>140</v>
      </c>
      <c r="D44" s="10" t="s">
        <v>141</v>
      </c>
      <c r="E44" s="10" t="s">
        <v>142</v>
      </c>
      <c r="F44" s="10" t="s">
        <v>143</v>
      </c>
      <c r="G44" s="116">
        <v>3830</v>
      </c>
      <c r="H44" s="163" t="s">
        <v>150</v>
      </c>
      <c r="I44" s="158" t="s">
        <v>151</v>
      </c>
      <c r="J44" s="163" t="s">
        <v>146</v>
      </c>
      <c r="K44" s="10" t="s">
        <v>30</v>
      </c>
      <c r="L44" s="10">
        <v>3</v>
      </c>
      <c r="M44" s="10">
        <v>1</v>
      </c>
      <c r="N44" s="10">
        <v>3</v>
      </c>
      <c r="O44" s="12">
        <v>1</v>
      </c>
      <c r="P44" s="116">
        <v>6390</v>
      </c>
      <c r="Q44" s="10" t="s">
        <v>36</v>
      </c>
      <c r="R44" s="4" t="s">
        <v>1278</v>
      </c>
      <c r="S44" s="4" t="s">
        <v>1278</v>
      </c>
      <c r="T44" s="4" t="s">
        <v>19</v>
      </c>
      <c r="U44" s="4" t="str">
        <f t="shared" si="1"/>
        <v>NOT AN ADD-ON</v>
      </c>
      <c r="V44" s="4" t="str">
        <f t="shared" si="2"/>
        <v>ASSET MANAGEMENT (CORE)ASSET MANAGEMENT (CORE)AUTHORIZEDNOT AN ADD-ON</v>
      </c>
    </row>
    <row r="45" spans="1:22" ht="15" hidden="1" thickBot="1">
      <c r="A45" s="10" t="s">
        <v>21</v>
      </c>
      <c r="B45" s="10" t="s">
        <v>22</v>
      </c>
      <c r="C45" s="10" t="s">
        <v>140</v>
      </c>
      <c r="D45" s="10" t="s">
        <v>141</v>
      </c>
      <c r="E45" s="10" t="s">
        <v>142</v>
      </c>
      <c r="F45" s="10" t="s">
        <v>143</v>
      </c>
      <c r="G45" s="116">
        <v>6390</v>
      </c>
      <c r="H45" s="163" t="s">
        <v>224</v>
      </c>
      <c r="I45" s="158" t="s">
        <v>227</v>
      </c>
      <c r="J45" s="163" t="s">
        <v>224</v>
      </c>
      <c r="K45" s="10" t="s">
        <v>30</v>
      </c>
      <c r="L45" s="10">
        <v>3</v>
      </c>
      <c r="M45" s="10">
        <v>1</v>
      </c>
      <c r="N45" s="10">
        <v>3</v>
      </c>
      <c r="O45" s="12">
        <v>1</v>
      </c>
      <c r="P45" s="116">
        <v>6390</v>
      </c>
      <c r="Q45" s="10" t="s">
        <v>33</v>
      </c>
      <c r="R45" s="4" t="s">
        <v>1278</v>
      </c>
      <c r="S45" s="4" t="s">
        <v>1278</v>
      </c>
      <c r="T45" s="4" t="s">
        <v>19</v>
      </c>
      <c r="U45" s="4" t="str">
        <f t="shared" si="1"/>
        <v>NOT AN ADD-ON</v>
      </c>
      <c r="V45" s="4" t="str">
        <f t="shared" si="2"/>
        <v>ASSET MANAGEMENT (CORE)ASSET MANAGEMENT (CORE)AUTHORIZEDNOT AN ADD-ON</v>
      </c>
    </row>
    <row r="46" spans="1:22" ht="15" hidden="1" thickBot="1">
      <c r="A46" s="10" t="s">
        <v>21</v>
      </c>
      <c r="B46" s="10" t="s">
        <v>22</v>
      </c>
      <c r="C46" s="10" t="s">
        <v>140</v>
      </c>
      <c r="D46" s="10" t="s">
        <v>141</v>
      </c>
      <c r="E46" s="10" t="s">
        <v>142</v>
      </c>
      <c r="F46" s="10" t="s">
        <v>143</v>
      </c>
      <c r="G46" s="116">
        <v>3830</v>
      </c>
      <c r="H46" s="163" t="s">
        <v>228</v>
      </c>
      <c r="I46" s="158" t="s">
        <v>229</v>
      </c>
      <c r="J46" s="163" t="s">
        <v>224</v>
      </c>
      <c r="K46" s="10" t="s">
        <v>30</v>
      </c>
      <c r="L46" s="10">
        <v>3</v>
      </c>
      <c r="M46" s="10">
        <v>1</v>
      </c>
      <c r="N46" s="10">
        <v>3</v>
      </c>
      <c r="O46" s="12">
        <v>1</v>
      </c>
      <c r="P46" s="116">
        <v>6390</v>
      </c>
      <c r="Q46" s="10" t="s">
        <v>36</v>
      </c>
      <c r="R46" s="4" t="s">
        <v>1278</v>
      </c>
      <c r="S46" s="4" t="s">
        <v>1278</v>
      </c>
      <c r="T46" s="4" t="s">
        <v>19</v>
      </c>
      <c r="U46" s="4" t="str">
        <f t="shared" si="1"/>
        <v>NOT AN ADD-ON</v>
      </c>
      <c r="V46" s="4" t="str">
        <f t="shared" si="2"/>
        <v>ASSET MANAGEMENT (CORE)ASSET MANAGEMENT (CORE)AUTHORIZEDNOT AN ADD-ON</v>
      </c>
    </row>
    <row r="47" spans="1:22" ht="15" hidden="1" thickBot="1">
      <c r="A47" s="10" t="s">
        <v>21</v>
      </c>
      <c r="B47" s="10" t="s">
        <v>22</v>
      </c>
      <c r="C47" s="10" t="s">
        <v>140</v>
      </c>
      <c r="D47" s="10" t="s">
        <v>141</v>
      </c>
      <c r="E47" s="10" t="s">
        <v>142</v>
      </c>
      <c r="F47" s="10" t="s">
        <v>143</v>
      </c>
      <c r="G47" s="116">
        <v>3200</v>
      </c>
      <c r="H47" s="163" t="s">
        <v>271</v>
      </c>
      <c r="I47" s="158" t="s">
        <v>274</v>
      </c>
      <c r="J47" s="163" t="s">
        <v>271</v>
      </c>
      <c r="K47" s="10" t="s">
        <v>30</v>
      </c>
      <c r="L47" s="10">
        <v>2</v>
      </c>
      <c r="M47" s="10">
        <v>1</v>
      </c>
      <c r="N47" s="10">
        <v>2</v>
      </c>
      <c r="O47" s="12">
        <v>1</v>
      </c>
      <c r="P47" s="116">
        <v>3200</v>
      </c>
      <c r="Q47" s="10" t="s">
        <v>33</v>
      </c>
      <c r="R47" s="4" t="s">
        <v>1278</v>
      </c>
      <c r="S47" s="4" t="s">
        <v>1278</v>
      </c>
      <c r="T47" s="4" t="s">
        <v>672</v>
      </c>
      <c r="U47" s="4" t="str">
        <f t="shared" si="1"/>
        <v>NOT AN ADD-ON</v>
      </c>
      <c r="V47" s="4" t="str">
        <f t="shared" si="2"/>
        <v>ASSET MANAGEMENT (CORE)ASSET MANAGEMENT (CORE)LIMITEDNOT AN ADD-ON</v>
      </c>
    </row>
    <row r="48" spans="1:22" ht="15" hidden="1" thickBot="1">
      <c r="A48" s="10" t="s">
        <v>21</v>
      </c>
      <c r="B48" s="10" t="s">
        <v>22</v>
      </c>
      <c r="C48" s="10" t="s">
        <v>140</v>
      </c>
      <c r="D48" s="10" t="s">
        <v>141</v>
      </c>
      <c r="E48" s="10" t="s">
        <v>142</v>
      </c>
      <c r="F48" s="10" t="s">
        <v>143</v>
      </c>
      <c r="G48" s="116">
        <v>1920</v>
      </c>
      <c r="H48" s="163" t="s">
        <v>275</v>
      </c>
      <c r="I48" s="158" t="s">
        <v>276</v>
      </c>
      <c r="J48" s="163" t="s">
        <v>271</v>
      </c>
      <c r="K48" s="10" t="s">
        <v>30</v>
      </c>
      <c r="L48" s="10">
        <v>2</v>
      </c>
      <c r="M48" s="10">
        <v>1</v>
      </c>
      <c r="N48" s="10">
        <v>2</v>
      </c>
      <c r="O48" s="12">
        <v>1</v>
      </c>
      <c r="P48" s="116">
        <v>3200</v>
      </c>
      <c r="Q48" s="10" t="s">
        <v>36</v>
      </c>
      <c r="R48" s="4" t="s">
        <v>1278</v>
      </c>
      <c r="S48" s="4" t="s">
        <v>1278</v>
      </c>
      <c r="T48" s="4" t="s">
        <v>672</v>
      </c>
      <c r="U48" s="4" t="str">
        <f t="shared" si="1"/>
        <v>NOT AN ADD-ON</v>
      </c>
      <c r="V48" s="4" t="str">
        <f t="shared" si="2"/>
        <v>ASSET MANAGEMENT (CORE)ASSET MANAGEMENT (CORE)LIMITEDNOT AN ADD-ON</v>
      </c>
    </row>
    <row r="49" spans="1:22" ht="15" hidden="1" thickBot="1">
      <c r="A49" s="10" t="s">
        <v>21</v>
      </c>
      <c r="B49" s="10" t="s">
        <v>22</v>
      </c>
      <c r="C49" s="10" t="s">
        <v>593</v>
      </c>
      <c r="D49" s="10" t="s">
        <v>594</v>
      </c>
      <c r="E49" s="10" t="s">
        <v>595</v>
      </c>
      <c r="F49" s="10" t="s">
        <v>596</v>
      </c>
      <c r="G49" s="116">
        <v>7660</v>
      </c>
      <c r="H49" s="163" t="s">
        <v>621</v>
      </c>
      <c r="I49" s="158" t="s">
        <v>628</v>
      </c>
      <c r="J49" s="163" t="s">
        <v>621</v>
      </c>
      <c r="K49" s="10" t="s">
        <v>30</v>
      </c>
      <c r="L49" s="10">
        <v>5</v>
      </c>
      <c r="M49" s="10">
        <v>1</v>
      </c>
      <c r="N49" s="10">
        <v>5</v>
      </c>
      <c r="O49" s="12">
        <v>1</v>
      </c>
      <c r="P49" s="116">
        <v>7660</v>
      </c>
      <c r="Q49" s="10" t="s">
        <v>33</v>
      </c>
      <c r="R49" s="4" t="s">
        <v>1281</v>
      </c>
      <c r="S49" s="4" t="s">
        <v>1279</v>
      </c>
      <c r="T49" s="4" t="s">
        <v>19</v>
      </c>
      <c r="U49" s="4" t="str">
        <f t="shared" si="1"/>
        <v>NOT AN ADD-ON</v>
      </c>
      <c r="V49" s="4" t="str">
        <f t="shared" si="2"/>
        <v>NUCLEAR POWERINDUSTRY SOLUTIONAUTHORIZEDNOT AN ADD-ON</v>
      </c>
    </row>
    <row r="50" spans="1:22" ht="15" hidden="1" thickBot="1">
      <c r="A50" s="10" t="s">
        <v>21</v>
      </c>
      <c r="B50" s="10" t="s">
        <v>22</v>
      </c>
      <c r="C50" s="10" t="s">
        <v>593</v>
      </c>
      <c r="D50" s="10" t="s">
        <v>594</v>
      </c>
      <c r="E50" s="10" t="s">
        <v>595</v>
      </c>
      <c r="F50" s="10" t="s">
        <v>596</v>
      </c>
      <c r="G50" s="116">
        <v>4600</v>
      </c>
      <c r="H50" s="163" t="s">
        <v>629</v>
      </c>
      <c r="I50" s="158" t="s">
        <v>630</v>
      </c>
      <c r="J50" s="163" t="s">
        <v>621</v>
      </c>
      <c r="K50" s="10" t="s">
        <v>30</v>
      </c>
      <c r="L50" s="10">
        <v>5</v>
      </c>
      <c r="M50" s="10">
        <v>1</v>
      </c>
      <c r="N50" s="10">
        <v>5</v>
      </c>
      <c r="O50" s="12">
        <v>1</v>
      </c>
      <c r="P50" s="116">
        <v>7660</v>
      </c>
      <c r="Q50" s="10" t="s">
        <v>36</v>
      </c>
      <c r="R50" s="4" t="s">
        <v>1281</v>
      </c>
      <c r="S50" s="4" t="s">
        <v>1279</v>
      </c>
      <c r="T50" s="4" t="s">
        <v>19</v>
      </c>
      <c r="U50" s="4" t="str">
        <f t="shared" si="1"/>
        <v>NOT AN ADD-ON</v>
      </c>
      <c r="V50" s="4" t="str">
        <f t="shared" si="2"/>
        <v>NUCLEAR POWERINDUSTRY SOLUTIONAUTHORIZEDNOT AN ADD-ON</v>
      </c>
    </row>
    <row r="51" spans="1:22" ht="27" hidden="1" thickBot="1">
      <c r="A51" s="10" t="s">
        <v>21</v>
      </c>
      <c r="B51" s="10" t="s">
        <v>22</v>
      </c>
      <c r="C51" s="10" t="s">
        <v>593</v>
      </c>
      <c r="D51" s="10" t="s">
        <v>594</v>
      </c>
      <c r="E51" s="10" t="s">
        <v>595</v>
      </c>
      <c r="F51" s="10" t="s">
        <v>596</v>
      </c>
      <c r="G51" s="116">
        <v>2680</v>
      </c>
      <c r="H51" s="163" t="s">
        <v>619</v>
      </c>
      <c r="I51" s="166" t="s">
        <v>620</v>
      </c>
      <c r="J51" s="163" t="s">
        <v>621</v>
      </c>
      <c r="K51" s="10" t="s">
        <v>30</v>
      </c>
      <c r="L51" s="10">
        <v>5</v>
      </c>
      <c r="M51" s="10">
        <v>1</v>
      </c>
      <c r="N51" s="10">
        <v>5</v>
      </c>
      <c r="O51" s="12">
        <v>1</v>
      </c>
      <c r="P51" s="116">
        <v>7660</v>
      </c>
      <c r="Q51" s="10" t="s">
        <v>48</v>
      </c>
      <c r="R51" s="4" t="s">
        <v>1281</v>
      </c>
      <c r="S51" s="4" t="s">
        <v>1279</v>
      </c>
      <c r="T51" s="4" t="s">
        <v>19</v>
      </c>
      <c r="U51" s="4" t="str">
        <f t="shared" si="1"/>
        <v>NOT AN ADD-ON</v>
      </c>
      <c r="V51" s="4" t="str">
        <f t="shared" si="2"/>
        <v>NUCLEAR POWERINDUSTRY SOLUTIONAUTHORIZEDNOT AN ADD-ON</v>
      </c>
    </row>
    <row r="52" spans="1:22" ht="27" hidden="1" thickBot="1">
      <c r="A52" s="10" t="s">
        <v>21</v>
      </c>
      <c r="B52" s="10" t="s">
        <v>22</v>
      </c>
      <c r="C52" s="10" t="s">
        <v>593</v>
      </c>
      <c r="D52" s="10" t="s">
        <v>594</v>
      </c>
      <c r="E52" s="10" t="s">
        <v>595</v>
      </c>
      <c r="F52" s="10" t="s">
        <v>596</v>
      </c>
      <c r="G52" s="116">
        <v>5470</v>
      </c>
      <c r="H52" s="163" t="s">
        <v>622</v>
      </c>
      <c r="I52" s="166" t="s">
        <v>623</v>
      </c>
      <c r="J52" s="163" t="s">
        <v>621</v>
      </c>
      <c r="K52" s="10" t="s">
        <v>30</v>
      </c>
      <c r="L52" s="10">
        <v>5</v>
      </c>
      <c r="M52" s="10">
        <v>1</v>
      </c>
      <c r="N52" s="10">
        <v>5</v>
      </c>
      <c r="O52" s="12">
        <v>1</v>
      </c>
      <c r="P52" s="116">
        <v>7660</v>
      </c>
      <c r="Q52" s="10" t="s">
        <v>48</v>
      </c>
      <c r="R52" s="4" t="s">
        <v>1281</v>
      </c>
      <c r="S52" s="4" t="s">
        <v>1279</v>
      </c>
      <c r="T52" s="4" t="s">
        <v>19</v>
      </c>
      <c r="U52" s="4" t="str">
        <f t="shared" si="1"/>
        <v>NOT AN ADD-ON</v>
      </c>
      <c r="V52" s="4" t="str">
        <f t="shared" si="2"/>
        <v>NUCLEAR POWERINDUSTRY SOLUTIONAUTHORIZEDNOT AN ADD-ON</v>
      </c>
    </row>
    <row r="53" spans="1:22" ht="15" hidden="1" thickBot="1">
      <c r="A53" s="10" t="s">
        <v>21</v>
      </c>
      <c r="B53" s="10" t="s">
        <v>22</v>
      </c>
      <c r="C53" s="10" t="s">
        <v>593</v>
      </c>
      <c r="D53" s="10" t="s">
        <v>594</v>
      </c>
      <c r="E53" s="10" t="s">
        <v>595</v>
      </c>
      <c r="F53" s="10" t="s">
        <v>596</v>
      </c>
      <c r="G53" s="116">
        <v>2150</v>
      </c>
      <c r="H53" s="163" t="s">
        <v>599</v>
      </c>
      <c r="I53" s="158" t="s">
        <v>600</v>
      </c>
      <c r="J53" s="163" t="s">
        <v>599</v>
      </c>
      <c r="K53" s="10" t="s">
        <v>30</v>
      </c>
      <c r="L53" s="10">
        <v>2</v>
      </c>
      <c r="M53" s="10">
        <v>1</v>
      </c>
      <c r="N53" s="10">
        <v>2</v>
      </c>
      <c r="O53" s="12">
        <v>1</v>
      </c>
      <c r="P53" s="116">
        <v>2150</v>
      </c>
      <c r="Q53" s="10" t="s">
        <v>33</v>
      </c>
      <c r="R53" s="4" t="s">
        <v>1281</v>
      </c>
      <c r="S53" s="4" t="s">
        <v>1279</v>
      </c>
      <c r="T53" s="4" t="s">
        <v>19</v>
      </c>
      <c r="U53" s="4" t="s">
        <v>507</v>
      </c>
      <c r="V53" s="4" t="str">
        <f t="shared" si="2"/>
        <v>NUCLEAR POWERINDUSTRY SOLUTIONAUTHORIZEDADD-ON</v>
      </c>
    </row>
    <row r="54" spans="1:22" ht="15" hidden="1" thickBot="1">
      <c r="A54" s="10" t="s">
        <v>21</v>
      </c>
      <c r="B54" s="10" t="s">
        <v>22</v>
      </c>
      <c r="C54" s="10" t="s">
        <v>593</v>
      </c>
      <c r="D54" s="10" t="s">
        <v>594</v>
      </c>
      <c r="E54" s="10" t="s">
        <v>595</v>
      </c>
      <c r="F54" s="10" t="s">
        <v>596</v>
      </c>
      <c r="G54" s="116">
        <v>1300</v>
      </c>
      <c r="H54" s="163" t="s">
        <v>601</v>
      </c>
      <c r="I54" s="158" t="s">
        <v>602</v>
      </c>
      <c r="J54" s="163" t="s">
        <v>599</v>
      </c>
      <c r="K54" s="10" t="s">
        <v>30</v>
      </c>
      <c r="L54" s="10">
        <v>2</v>
      </c>
      <c r="M54" s="10">
        <v>1</v>
      </c>
      <c r="N54" s="10">
        <v>2</v>
      </c>
      <c r="O54" s="12">
        <v>1</v>
      </c>
      <c r="P54" s="116">
        <v>2150</v>
      </c>
      <c r="Q54" s="10" t="s">
        <v>36</v>
      </c>
      <c r="R54" s="4" t="s">
        <v>1281</v>
      </c>
      <c r="S54" s="4" t="s">
        <v>1279</v>
      </c>
      <c r="T54" s="4" t="s">
        <v>19</v>
      </c>
      <c r="U54" s="4" t="s">
        <v>507</v>
      </c>
      <c r="V54" s="4" t="str">
        <f t="shared" si="2"/>
        <v>NUCLEAR POWERINDUSTRY SOLUTIONAUTHORIZEDADD-ON</v>
      </c>
    </row>
    <row r="55" spans="1:22" ht="15" hidden="1" thickBot="1">
      <c r="A55" s="10" t="s">
        <v>21</v>
      </c>
      <c r="B55" s="10" t="s">
        <v>22</v>
      </c>
      <c r="C55" s="10" t="s">
        <v>593</v>
      </c>
      <c r="D55" s="10" t="s">
        <v>594</v>
      </c>
      <c r="E55" s="10" t="s">
        <v>595</v>
      </c>
      <c r="F55" s="10" t="s">
        <v>596</v>
      </c>
      <c r="G55" s="116">
        <v>7660</v>
      </c>
      <c r="H55" s="163" t="s">
        <v>659</v>
      </c>
      <c r="I55" s="158" t="s">
        <v>666</v>
      </c>
      <c r="J55" s="163" t="s">
        <v>659</v>
      </c>
      <c r="K55" s="10" t="s">
        <v>30</v>
      </c>
      <c r="L55" s="10">
        <v>5</v>
      </c>
      <c r="M55" s="10">
        <v>1</v>
      </c>
      <c r="N55" s="10">
        <v>5</v>
      </c>
      <c r="O55" s="12">
        <v>1</v>
      </c>
      <c r="P55" s="116">
        <v>7660</v>
      </c>
      <c r="Q55" s="10" t="s">
        <v>33</v>
      </c>
      <c r="R55" s="4" t="s">
        <v>1281</v>
      </c>
      <c r="S55" s="4" t="s">
        <v>1279</v>
      </c>
      <c r="T55" s="4" t="s">
        <v>19</v>
      </c>
      <c r="U55" s="4" t="str">
        <f>IF(ISNUMBER(SEARCH("ADD-ON",$I55)),"ADD-ON","NOT AN ADD-ON")</f>
        <v>NOT AN ADD-ON</v>
      </c>
      <c r="V55" s="4" t="str">
        <f t="shared" si="2"/>
        <v>NUCLEAR POWERINDUSTRY SOLUTIONAUTHORIZEDNOT AN ADD-ON</v>
      </c>
    </row>
    <row r="56" spans="1:22" ht="15" hidden="1" thickBot="1">
      <c r="A56" s="10" t="s">
        <v>21</v>
      </c>
      <c r="B56" s="10" t="s">
        <v>22</v>
      </c>
      <c r="C56" s="10" t="s">
        <v>593</v>
      </c>
      <c r="D56" s="10" t="s">
        <v>594</v>
      </c>
      <c r="E56" s="10" t="s">
        <v>595</v>
      </c>
      <c r="F56" s="10" t="s">
        <v>596</v>
      </c>
      <c r="G56" s="116">
        <v>4600</v>
      </c>
      <c r="H56" s="163" t="s">
        <v>667</v>
      </c>
      <c r="I56" s="158" t="s">
        <v>668</v>
      </c>
      <c r="J56" s="163" t="s">
        <v>659</v>
      </c>
      <c r="K56" s="10" t="s">
        <v>30</v>
      </c>
      <c r="L56" s="10">
        <v>5</v>
      </c>
      <c r="M56" s="10">
        <v>1</v>
      </c>
      <c r="N56" s="10">
        <v>5</v>
      </c>
      <c r="O56" s="12">
        <v>1</v>
      </c>
      <c r="P56" s="116">
        <v>7660</v>
      </c>
      <c r="Q56" s="10" t="s">
        <v>36</v>
      </c>
      <c r="R56" s="4" t="s">
        <v>1281</v>
      </c>
      <c r="S56" s="4" t="s">
        <v>1279</v>
      </c>
      <c r="T56" s="4" t="s">
        <v>19</v>
      </c>
      <c r="U56" s="4" t="str">
        <f>IF(ISNUMBER(SEARCH("ADD-ON",$I56)),"ADD-ON","NOT AN ADD-ON")</f>
        <v>NOT AN ADD-ON</v>
      </c>
      <c r="V56" s="4" t="str">
        <f t="shared" si="2"/>
        <v>NUCLEAR POWERINDUSTRY SOLUTIONAUTHORIZEDNOT AN ADD-ON</v>
      </c>
    </row>
    <row r="57" spans="1:22" ht="27" hidden="1" thickBot="1">
      <c r="A57" s="10" t="s">
        <v>21</v>
      </c>
      <c r="B57" s="10" t="s">
        <v>22</v>
      </c>
      <c r="C57" s="10" t="s">
        <v>593</v>
      </c>
      <c r="D57" s="10" t="s">
        <v>594</v>
      </c>
      <c r="E57" s="10" t="s">
        <v>595</v>
      </c>
      <c r="F57" s="10" t="s">
        <v>596</v>
      </c>
      <c r="G57" s="116">
        <v>5470</v>
      </c>
      <c r="H57" s="163" t="s">
        <v>660</v>
      </c>
      <c r="I57" s="166" t="s">
        <v>661</v>
      </c>
      <c r="J57" s="163" t="s">
        <v>659</v>
      </c>
      <c r="K57" s="10" t="s">
        <v>30</v>
      </c>
      <c r="L57" s="10">
        <v>5</v>
      </c>
      <c r="M57" s="10">
        <v>1</v>
      </c>
      <c r="N57" s="10">
        <v>5</v>
      </c>
      <c r="O57" s="12">
        <v>1</v>
      </c>
      <c r="P57" s="116">
        <v>7660</v>
      </c>
      <c r="Q57" s="10" t="s">
        <v>48</v>
      </c>
      <c r="R57" s="4" t="s">
        <v>1281</v>
      </c>
      <c r="S57" s="4" t="s">
        <v>1279</v>
      </c>
      <c r="T57" s="4" t="s">
        <v>19</v>
      </c>
      <c r="U57" s="4" t="str">
        <f>IF(ISNUMBER(SEARCH("ADD-ON",$I57)),"ADD-ON","NOT AN ADD-ON")</f>
        <v>NOT AN ADD-ON</v>
      </c>
      <c r="V57" s="4" t="str">
        <f t="shared" si="2"/>
        <v>NUCLEAR POWERINDUSTRY SOLUTIONAUTHORIZEDNOT AN ADD-ON</v>
      </c>
    </row>
    <row r="58" spans="1:22" ht="29.25" hidden="1" customHeight="1" thickBot="1">
      <c r="A58" s="10" t="s">
        <v>21</v>
      </c>
      <c r="B58" s="10" t="s">
        <v>22</v>
      </c>
      <c r="C58" s="10" t="s">
        <v>593</v>
      </c>
      <c r="D58" s="10" t="s">
        <v>594</v>
      </c>
      <c r="E58" s="10" t="s">
        <v>595</v>
      </c>
      <c r="F58" s="10" t="s">
        <v>596</v>
      </c>
      <c r="G58" s="116">
        <v>2680</v>
      </c>
      <c r="H58" s="163" t="s">
        <v>657</v>
      </c>
      <c r="I58" s="166" t="s">
        <v>658</v>
      </c>
      <c r="J58" s="163" t="s">
        <v>659</v>
      </c>
      <c r="K58" s="10" t="s">
        <v>30</v>
      </c>
      <c r="L58" s="10">
        <v>5</v>
      </c>
      <c r="M58" s="10">
        <v>1</v>
      </c>
      <c r="N58" s="10">
        <v>5</v>
      </c>
      <c r="O58" s="12">
        <v>1</v>
      </c>
      <c r="P58" s="116">
        <v>7660</v>
      </c>
      <c r="Q58" s="10" t="s">
        <v>48</v>
      </c>
      <c r="R58" s="4" t="s">
        <v>1281</v>
      </c>
      <c r="S58" s="4" t="s">
        <v>1279</v>
      </c>
      <c r="T58" s="4" t="s">
        <v>19</v>
      </c>
      <c r="U58" s="4" t="str">
        <f>IF(ISNUMBER(SEARCH("ADD-ON",$I58)),"ADD-ON","NOT AN ADD-ON")</f>
        <v>NOT AN ADD-ON</v>
      </c>
      <c r="V58" s="4" t="str">
        <f t="shared" si="2"/>
        <v>NUCLEAR POWERINDUSTRY SOLUTIONAUTHORIZEDNOT AN ADD-ON</v>
      </c>
    </row>
    <row r="59" spans="1:22" ht="29.25" hidden="1" customHeight="1" thickBot="1">
      <c r="A59" s="10" t="s">
        <v>21</v>
      </c>
      <c r="B59" s="10" t="s">
        <v>22</v>
      </c>
      <c r="C59" s="10" t="s">
        <v>593</v>
      </c>
      <c r="D59" s="10" t="s">
        <v>594</v>
      </c>
      <c r="E59" s="10" t="s">
        <v>595</v>
      </c>
      <c r="F59" s="10" t="s">
        <v>596</v>
      </c>
      <c r="G59" s="116">
        <v>2150</v>
      </c>
      <c r="H59" s="163" t="s">
        <v>653</v>
      </c>
      <c r="I59" s="158" t="s">
        <v>654</v>
      </c>
      <c r="J59" s="163" t="s">
        <v>653</v>
      </c>
      <c r="K59" s="10" t="s">
        <v>30</v>
      </c>
      <c r="L59" s="10">
        <v>2</v>
      </c>
      <c r="M59" s="10">
        <v>1</v>
      </c>
      <c r="N59" s="10">
        <v>2</v>
      </c>
      <c r="O59" s="12">
        <v>1</v>
      </c>
      <c r="P59" s="116">
        <v>2150</v>
      </c>
      <c r="Q59" s="10" t="s">
        <v>33</v>
      </c>
      <c r="R59" s="4" t="s">
        <v>1281</v>
      </c>
      <c r="S59" s="4" t="s">
        <v>1279</v>
      </c>
      <c r="T59" s="4" t="s">
        <v>19</v>
      </c>
      <c r="U59" s="4" t="s">
        <v>507</v>
      </c>
      <c r="V59" s="4" t="str">
        <f t="shared" si="2"/>
        <v>NUCLEAR POWERINDUSTRY SOLUTIONAUTHORIZEDADD-ON</v>
      </c>
    </row>
    <row r="60" spans="1:22" ht="29.25" hidden="1" customHeight="1" thickBot="1">
      <c r="A60" s="10" t="s">
        <v>21</v>
      </c>
      <c r="B60" s="10" t="s">
        <v>22</v>
      </c>
      <c r="C60" s="10" t="s">
        <v>593</v>
      </c>
      <c r="D60" s="10" t="s">
        <v>594</v>
      </c>
      <c r="E60" s="10" t="s">
        <v>595</v>
      </c>
      <c r="F60" s="10" t="s">
        <v>596</v>
      </c>
      <c r="G60" s="116">
        <v>1300</v>
      </c>
      <c r="H60" s="163" t="s">
        <v>655</v>
      </c>
      <c r="I60" s="158" t="s">
        <v>656</v>
      </c>
      <c r="J60" s="163" t="s">
        <v>653</v>
      </c>
      <c r="K60" s="10" t="s">
        <v>30</v>
      </c>
      <c r="L60" s="10">
        <v>2</v>
      </c>
      <c r="M60" s="10">
        <v>1</v>
      </c>
      <c r="N60" s="10">
        <v>2</v>
      </c>
      <c r="O60" s="12">
        <v>1</v>
      </c>
      <c r="P60" s="116">
        <v>2150</v>
      </c>
      <c r="Q60" s="10" t="s">
        <v>36</v>
      </c>
      <c r="R60" s="4" t="s">
        <v>1281</v>
      </c>
      <c r="S60" s="4" t="s">
        <v>1279</v>
      </c>
      <c r="T60" s="4" t="s">
        <v>19</v>
      </c>
      <c r="U60" s="4" t="s">
        <v>507</v>
      </c>
      <c r="V60" s="4" t="str">
        <f t="shared" si="2"/>
        <v>NUCLEAR POWERINDUSTRY SOLUTIONAUTHORIZEDADD-ON</v>
      </c>
    </row>
    <row r="61" spans="1:22" ht="15" hidden="1" thickBot="1">
      <c r="A61" s="10" t="s">
        <v>21</v>
      </c>
      <c r="B61" s="10" t="s">
        <v>22</v>
      </c>
      <c r="C61" s="10" t="s">
        <v>686</v>
      </c>
      <c r="D61" s="10" t="s">
        <v>687</v>
      </c>
      <c r="E61" s="10" t="s">
        <v>688</v>
      </c>
      <c r="F61" s="10" t="s">
        <v>689</v>
      </c>
      <c r="G61" s="116">
        <v>7660</v>
      </c>
      <c r="H61" s="163" t="s">
        <v>714</v>
      </c>
      <c r="I61" s="158" t="s">
        <v>721</v>
      </c>
      <c r="J61" s="163" t="s">
        <v>714</v>
      </c>
      <c r="K61" s="10" t="s">
        <v>30</v>
      </c>
      <c r="L61" s="10">
        <v>5</v>
      </c>
      <c r="M61" s="10">
        <v>1</v>
      </c>
      <c r="N61" s="10">
        <v>5</v>
      </c>
      <c r="O61" s="12">
        <v>1</v>
      </c>
      <c r="P61" s="116">
        <v>7660</v>
      </c>
      <c r="Q61" s="10" t="s">
        <v>33</v>
      </c>
      <c r="R61" s="4" t="s">
        <v>1282</v>
      </c>
      <c r="S61" s="4" t="s">
        <v>1279</v>
      </c>
      <c r="T61" s="4" t="s">
        <v>19</v>
      </c>
      <c r="U61" s="4" t="str">
        <f>IF(ISNUMBER(SEARCH("ADD-ON",$I61)),"ADD-ON","NOT AN ADD-ON")</f>
        <v>NOT AN ADD-ON</v>
      </c>
      <c r="V61" s="4" t="str">
        <f t="shared" si="2"/>
        <v>OIL AND GASINDUSTRY SOLUTIONAUTHORIZEDNOT AN ADD-ON</v>
      </c>
    </row>
    <row r="62" spans="1:22" ht="15" hidden="1" thickBot="1">
      <c r="A62" s="10" t="s">
        <v>21</v>
      </c>
      <c r="B62" s="10" t="s">
        <v>22</v>
      </c>
      <c r="C62" s="10" t="s">
        <v>686</v>
      </c>
      <c r="D62" s="10" t="s">
        <v>687</v>
      </c>
      <c r="E62" s="10" t="s">
        <v>688</v>
      </c>
      <c r="F62" s="10" t="s">
        <v>689</v>
      </c>
      <c r="G62" s="116">
        <v>4600</v>
      </c>
      <c r="H62" s="163" t="s">
        <v>722</v>
      </c>
      <c r="I62" s="158" t="s">
        <v>723</v>
      </c>
      <c r="J62" s="163" t="s">
        <v>714</v>
      </c>
      <c r="K62" s="10" t="s">
        <v>30</v>
      </c>
      <c r="L62" s="10">
        <v>5</v>
      </c>
      <c r="M62" s="10">
        <v>1</v>
      </c>
      <c r="N62" s="10">
        <v>5</v>
      </c>
      <c r="O62" s="12">
        <v>1</v>
      </c>
      <c r="P62" s="116">
        <v>7660</v>
      </c>
      <c r="Q62" s="10" t="s">
        <v>36</v>
      </c>
      <c r="R62" s="4" t="s">
        <v>1282</v>
      </c>
      <c r="S62" s="4" t="s">
        <v>1279</v>
      </c>
      <c r="T62" s="4" t="s">
        <v>19</v>
      </c>
      <c r="U62" s="4" t="str">
        <f>IF(ISNUMBER(SEARCH("ADD-ON",$I62)),"ADD-ON","NOT AN ADD-ON")</f>
        <v>NOT AN ADD-ON</v>
      </c>
      <c r="V62" s="4" t="str">
        <f t="shared" si="2"/>
        <v>OIL AND GASINDUSTRY SOLUTIONAUTHORIZEDNOT AN ADD-ON</v>
      </c>
    </row>
    <row r="63" spans="1:22" ht="27" hidden="1" thickBot="1">
      <c r="A63" s="10" t="s">
        <v>21</v>
      </c>
      <c r="B63" s="10" t="s">
        <v>22</v>
      </c>
      <c r="C63" s="10" t="s">
        <v>686</v>
      </c>
      <c r="D63" s="10" t="s">
        <v>687</v>
      </c>
      <c r="E63" s="10" t="s">
        <v>688</v>
      </c>
      <c r="F63" s="10" t="s">
        <v>689</v>
      </c>
      <c r="G63" s="116">
        <v>5470</v>
      </c>
      <c r="H63" s="163" t="s">
        <v>715</v>
      </c>
      <c r="I63" s="166" t="s">
        <v>716</v>
      </c>
      <c r="J63" s="163" t="s">
        <v>714</v>
      </c>
      <c r="K63" s="10" t="s">
        <v>30</v>
      </c>
      <c r="L63" s="10">
        <v>5</v>
      </c>
      <c r="M63" s="10">
        <v>1</v>
      </c>
      <c r="N63" s="10">
        <v>5</v>
      </c>
      <c r="O63" s="12">
        <v>1</v>
      </c>
      <c r="P63" s="116">
        <v>7660</v>
      </c>
      <c r="Q63" s="10" t="s">
        <v>48</v>
      </c>
      <c r="R63" s="4" t="s">
        <v>1282</v>
      </c>
      <c r="S63" s="4" t="s">
        <v>1279</v>
      </c>
      <c r="T63" s="4" t="s">
        <v>19</v>
      </c>
      <c r="U63" s="4" t="str">
        <f>IF(ISNUMBER(SEARCH("ADD-ON",$I63)),"ADD-ON","NOT AN ADD-ON")</f>
        <v>NOT AN ADD-ON</v>
      </c>
      <c r="V63" s="4" t="str">
        <f t="shared" si="2"/>
        <v>OIL AND GASINDUSTRY SOLUTIONAUTHORIZEDNOT AN ADD-ON</v>
      </c>
    </row>
    <row r="64" spans="1:22" ht="27" hidden="1" thickBot="1">
      <c r="A64" s="10" t="s">
        <v>21</v>
      </c>
      <c r="B64" s="10" t="s">
        <v>22</v>
      </c>
      <c r="C64" s="10" t="s">
        <v>686</v>
      </c>
      <c r="D64" s="10" t="s">
        <v>687</v>
      </c>
      <c r="E64" s="10" t="s">
        <v>688</v>
      </c>
      <c r="F64" s="10" t="s">
        <v>689</v>
      </c>
      <c r="G64" s="116">
        <v>2680</v>
      </c>
      <c r="H64" s="163" t="s">
        <v>712</v>
      </c>
      <c r="I64" s="166" t="s">
        <v>713</v>
      </c>
      <c r="J64" s="163" t="s">
        <v>714</v>
      </c>
      <c r="K64" s="10" t="s">
        <v>30</v>
      </c>
      <c r="L64" s="10">
        <v>5</v>
      </c>
      <c r="M64" s="10">
        <v>1</v>
      </c>
      <c r="N64" s="10">
        <v>5</v>
      </c>
      <c r="O64" s="12">
        <v>1</v>
      </c>
      <c r="P64" s="116">
        <v>7660</v>
      </c>
      <c r="Q64" s="10" t="s">
        <v>48</v>
      </c>
      <c r="R64" s="4" t="s">
        <v>1282</v>
      </c>
      <c r="S64" s="4" t="s">
        <v>1279</v>
      </c>
      <c r="T64" s="4" t="s">
        <v>19</v>
      </c>
      <c r="U64" s="4" t="str">
        <f>IF(ISNUMBER(SEARCH("ADD-ON",$I64)),"ADD-ON","NOT AN ADD-ON")</f>
        <v>NOT AN ADD-ON</v>
      </c>
      <c r="V64" s="4" t="str">
        <f t="shared" si="2"/>
        <v>OIL AND GASINDUSTRY SOLUTIONAUTHORIZEDNOT AN ADD-ON</v>
      </c>
    </row>
    <row r="65" spans="1:22" ht="29.25" hidden="1" customHeight="1" thickBot="1">
      <c r="A65" s="10" t="s">
        <v>21</v>
      </c>
      <c r="B65" s="10" t="s">
        <v>22</v>
      </c>
      <c r="C65" s="10" t="s">
        <v>686</v>
      </c>
      <c r="D65" s="10" t="s">
        <v>687</v>
      </c>
      <c r="E65" s="10" t="s">
        <v>688</v>
      </c>
      <c r="F65" s="10" t="s">
        <v>689</v>
      </c>
      <c r="G65" s="116">
        <v>2150</v>
      </c>
      <c r="H65" s="163" t="s">
        <v>692</v>
      </c>
      <c r="I65" s="158" t="s">
        <v>693</v>
      </c>
      <c r="J65" s="163" t="s">
        <v>692</v>
      </c>
      <c r="K65" s="10" t="s">
        <v>30</v>
      </c>
      <c r="L65" s="10">
        <v>2</v>
      </c>
      <c r="M65" s="10">
        <v>1</v>
      </c>
      <c r="N65" s="10">
        <v>2</v>
      </c>
      <c r="O65" s="12">
        <v>1</v>
      </c>
      <c r="P65" s="116">
        <v>2150</v>
      </c>
      <c r="Q65" s="10" t="s">
        <v>33</v>
      </c>
      <c r="R65" s="4" t="s">
        <v>1282</v>
      </c>
      <c r="S65" s="4" t="s">
        <v>1279</v>
      </c>
      <c r="T65" s="4" t="s">
        <v>19</v>
      </c>
      <c r="U65" s="4" t="s">
        <v>507</v>
      </c>
      <c r="V65" s="4" t="str">
        <f t="shared" si="2"/>
        <v>OIL AND GASINDUSTRY SOLUTIONAUTHORIZEDADD-ON</v>
      </c>
    </row>
    <row r="66" spans="1:22" ht="15" hidden="1" thickBot="1">
      <c r="A66" s="10" t="s">
        <v>21</v>
      </c>
      <c r="B66" s="10" t="s">
        <v>22</v>
      </c>
      <c r="C66" s="10" t="s">
        <v>686</v>
      </c>
      <c r="D66" s="10" t="s">
        <v>687</v>
      </c>
      <c r="E66" s="10" t="s">
        <v>688</v>
      </c>
      <c r="F66" s="10" t="s">
        <v>689</v>
      </c>
      <c r="G66" s="116">
        <v>1300</v>
      </c>
      <c r="H66" s="163" t="s">
        <v>694</v>
      </c>
      <c r="I66" s="158" t="s">
        <v>695</v>
      </c>
      <c r="J66" s="163" t="s">
        <v>692</v>
      </c>
      <c r="K66" s="10" t="s">
        <v>30</v>
      </c>
      <c r="L66" s="10">
        <v>2</v>
      </c>
      <c r="M66" s="10">
        <v>1</v>
      </c>
      <c r="N66" s="10">
        <v>2</v>
      </c>
      <c r="O66" s="12">
        <v>1</v>
      </c>
      <c r="P66" s="116">
        <v>2150</v>
      </c>
      <c r="Q66" s="10" t="s">
        <v>36</v>
      </c>
      <c r="R66" s="4" t="s">
        <v>1282</v>
      </c>
      <c r="S66" s="4" t="s">
        <v>1279</v>
      </c>
      <c r="T66" s="4" t="s">
        <v>19</v>
      </c>
      <c r="U66" s="4" t="s">
        <v>507</v>
      </c>
      <c r="V66" s="4" t="str">
        <f t="shared" si="2"/>
        <v>OIL AND GASINDUSTRY SOLUTIONAUTHORIZEDADD-ON</v>
      </c>
    </row>
    <row r="67" spans="1:22" ht="15" hidden="1" thickBot="1">
      <c r="A67" s="10" t="s">
        <v>21</v>
      </c>
      <c r="B67" s="10" t="s">
        <v>22</v>
      </c>
      <c r="C67" s="10" t="s">
        <v>686</v>
      </c>
      <c r="D67" s="10" t="s">
        <v>687</v>
      </c>
      <c r="E67" s="10" t="s">
        <v>688</v>
      </c>
      <c r="F67" s="10" t="s">
        <v>689</v>
      </c>
      <c r="G67" s="116">
        <v>7660</v>
      </c>
      <c r="H67" s="163" t="s">
        <v>758</v>
      </c>
      <c r="I67" s="158" t="s">
        <v>759</v>
      </c>
      <c r="J67" s="163" t="s">
        <v>758</v>
      </c>
      <c r="K67" s="10" t="s">
        <v>30</v>
      </c>
      <c r="L67" s="10">
        <v>5</v>
      </c>
      <c r="M67" s="10">
        <v>1</v>
      </c>
      <c r="N67" s="10">
        <v>5</v>
      </c>
      <c r="O67" s="12">
        <v>1</v>
      </c>
      <c r="P67" s="116">
        <v>7660</v>
      </c>
      <c r="Q67" s="10" t="s">
        <v>33</v>
      </c>
      <c r="R67" s="4" t="s">
        <v>1282</v>
      </c>
      <c r="S67" s="4" t="s">
        <v>1279</v>
      </c>
      <c r="T67" s="4" t="s">
        <v>19</v>
      </c>
      <c r="U67" s="4" t="str">
        <f>IF(ISNUMBER(SEARCH("ADD-ON",$I67)),"ADD-ON","NOT AN ADD-ON")</f>
        <v>NOT AN ADD-ON</v>
      </c>
      <c r="V67" s="4" t="str">
        <f t="shared" ref="V67:V130" si="3">CONCATENATE(R67,S67,T67,U67)</f>
        <v>OIL AND GASINDUSTRY SOLUTIONAUTHORIZEDNOT AN ADD-ON</v>
      </c>
    </row>
    <row r="68" spans="1:22" ht="15" hidden="1" thickBot="1">
      <c r="A68" s="10" t="s">
        <v>21</v>
      </c>
      <c r="B68" s="10" t="s">
        <v>22</v>
      </c>
      <c r="C68" s="10" t="s">
        <v>686</v>
      </c>
      <c r="D68" s="10" t="s">
        <v>687</v>
      </c>
      <c r="E68" s="10" t="s">
        <v>688</v>
      </c>
      <c r="F68" s="10" t="s">
        <v>689</v>
      </c>
      <c r="G68" s="116">
        <v>4600</v>
      </c>
      <c r="H68" s="163" t="s">
        <v>760</v>
      </c>
      <c r="I68" s="158" t="s">
        <v>761</v>
      </c>
      <c r="J68" s="163" t="s">
        <v>758</v>
      </c>
      <c r="K68" s="10" t="s">
        <v>30</v>
      </c>
      <c r="L68" s="10">
        <v>5</v>
      </c>
      <c r="M68" s="10">
        <v>1</v>
      </c>
      <c r="N68" s="10">
        <v>5</v>
      </c>
      <c r="O68" s="12">
        <v>1</v>
      </c>
      <c r="P68" s="116">
        <v>7660</v>
      </c>
      <c r="Q68" s="10" t="s">
        <v>36</v>
      </c>
      <c r="R68" s="4" t="s">
        <v>1282</v>
      </c>
      <c r="S68" s="4" t="s">
        <v>1279</v>
      </c>
      <c r="T68" s="4" t="s">
        <v>19</v>
      </c>
      <c r="U68" s="4" t="str">
        <f>IF(ISNUMBER(SEARCH("ADD-ON",$I68)),"ADD-ON","NOT AN ADD-ON")</f>
        <v>NOT AN ADD-ON</v>
      </c>
      <c r="V68" s="4" t="str">
        <f t="shared" si="3"/>
        <v>OIL AND GASINDUSTRY SOLUTIONAUTHORIZEDNOT AN ADD-ON</v>
      </c>
    </row>
    <row r="69" spans="1:22" ht="29.25" hidden="1" customHeight="1" thickBot="1">
      <c r="A69" s="10" t="s">
        <v>21</v>
      </c>
      <c r="B69" s="10" t="s">
        <v>22</v>
      </c>
      <c r="C69" s="10" t="s">
        <v>686</v>
      </c>
      <c r="D69" s="10" t="s">
        <v>687</v>
      </c>
      <c r="E69" s="10" t="s">
        <v>688</v>
      </c>
      <c r="F69" s="10" t="s">
        <v>689</v>
      </c>
      <c r="G69" s="116">
        <v>2680</v>
      </c>
      <c r="H69" s="163" t="s">
        <v>750</v>
      </c>
      <c r="I69" s="166" t="s">
        <v>751</v>
      </c>
      <c r="J69" s="163" t="s">
        <v>746</v>
      </c>
      <c r="K69" s="10" t="s">
        <v>30</v>
      </c>
      <c r="L69" s="10">
        <v>5</v>
      </c>
      <c r="M69" s="10">
        <v>1</v>
      </c>
      <c r="N69" s="10">
        <v>5</v>
      </c>
      <c r="O69" s="12">
        <v>1</v>
      </c>
      <c r="P69" s="116">
        <v>7660</v>
      </c>
      <c r="Q69" s="10" t="s">
        <v>48</v>
      </c>
      <c r="R69" s="4" t="s">
        <v>1282</v>
      </c>
      <c r="S69" s="4" t="s">
        <v>1279</v>
      </c>
      <c r="T69" s="4" t="s">
        <v>19</v>
      </c>
      <c r="U69" s="4" t="str">
        <f>IF(ISNUMBER(SEARCH("ADD-ON",$I69)),"ADD-ON","NOT AN ADD-ON")</f>
        <v>NOT AN ADD-ON</v>
      </c>
      <c r="V69" s="4" t="str">
        <f t="shared" si="3"/>
        <v>OIL AND GASINDUSTRY SOLUTIONAUTHORIZEDNOT AN ADD-ON</v>
      </c>
    </row>
    <row r="70" spans="1:22" ht="29.25" hidden="1" customHeight="1" thickBot="1">
      <c r="A70" s="10" t="s">
        <v>21</v>
      </c>
      <c r="B70" s="10" t="s">
        <v>22</v>
      </c>
      <c r="C70" s="10" t="s">
        <v>686</v>
      </c>
      <c r="D70" s="10" t="s">
        <v>687</v>
      </c>
      <c r="E70" s="10" t="s">
        <v>688</v>
      </c>
      <c r="F70" s="10" t="s">
        <v>689</v>
      </c>
      <c r="G70" s="116">
        <v>5470</v>
      </c>
      <c r="H70" s="163" t="s">
        <v>752</v>
      </c>
      <c r="I70" s="166" t="s">
        <v>753</v>
      </c>
      <c r="J70" s="163" t="s">
        <v>746</v>
      </c>
      <c r="K70" s="10" t="s">
        <v>30</v>
      </c>
      <c r="L70" s="10">
        <v>5</v>
      </c>
      <c r="M70" s="10">
        <v>1</v>
      </c>
      <c r="N70" s="10">
        <v>5</v>
      </c>
      <c r="O70" s="12">
        <v>1</v>
      </c>
      <c r="P70" s="116">
        <v>7660</v>
      </c>
      <c r="Q70" s="10" t="s">
        <v>48</v>
      </c>
      <c r="R70" s="4" t="s">
        <v>1282</v>
      </c>
      <c r="S70" s="4" t="s">
        <v>1279</v>
      </c>
      <c r="T70" s="4" t="s">
        <v>19</v>
      </c>
      <c r="U70" s="4" t="str">
        <f>IF(ISNUMBER(SEARCH("ADD-ON",$I70)),"ADD-ON","NOT AN ADD-ON")</f>
        <v>NOT AN ADD-ON</v>
      </c>
      <c r="V70" s="4" t="str">
        <f t="shared" si="3"/>
        <v>OIL AND GASINDUSTRY SOLUTIONAUTHORIZEDNOT AN ADD-ON</v>
      </c>
    </row>
    <row r="71" spans="1:22" ht="15" hidden="1" thickBot="1">
      <c r="A71" s="10" t="s">
        <v>21</v>
      </c>
      <c r="B71" s="10" t="s">
        <v>22</v>
      </c>
      <c r="C71" s="10" t="s">
        <v>686</v>
      </c>
      <c r="D71" s="10" t="s">
        <v>687</v>
      </c>
      <c r="E71" s="10" t="s">
        <v>688</v>
      </c>
      <c r="F71" s="10" t="s">
        <v>689</v>
      </c>
      <c r="G71" s="116">
        <v>2150</v>
      </c>
      <c r="H71" s="163" t="s">
        <v>746</v>
      </c>
      <c r="I71" s="158" t="s">
        <v>747</v>
      </c>
      <c r="J71" s="163" t="s">
        <v>746</v>
      </c>
      <c r="K71" s="10" t="s">
        <v>30</v>
      </c>
      <c r="L71" s="10">
        <v>2</v>
      </c>
      <c r="M71" s="10">
        <v>1</v>
      </c>
      <c r="N71" s="10">
        <v>2</v>
      </c>
      <c r="O71" s="12">
        <v>1</v>
      </c>
      <c r="P71" s="116">
        <v>2150</v>
      </c>
      <c r="Q71" s="10" t="s">
        <v>33</v>
      </c>
      <c r="R71" s="4" t="s">
        <v>1282</v>
      </c>
      <c r="S71" s="4" t="s">
        <v>1279</v>
      </c>
      <c r="T71" s="4" t="s">
        <v>19</v>
      </c>
      <c r="U71" s="4" t="s">
        <v>507</v>
      </c>
      <c r="V71" s="4" t="str">
        <f t="shared" si="3"/>
        <v>OIL AND GASINDUSTRY SOLUTIONAUTHORIZEDADD-ON</v>
      </c>
    </row>
    <row r="72" spans="1:22" ht="15" hidden="1" thickBot="1">
      <c r="A72" s="10" t="s">
        <v>21</v>
      </c>
      <c r="B72" s="10" t="s">
        <v>22</v>
      </c>
      <c r="C72" s="10" t="s">
        <v>686</v>
      </c>
      <c r="D72" s="10" t="s">
        <v>687</v>
      </c>
      <c r="E72" s="10" t="s">
        <v>688</v>
      </c>
      <c r="F72" s="10" t="s">
        <v>689</v>
      </c>
      <c r="G72" s="116">
        <v>1300</v>
      </c>
      <c r="H72" s="163" t="s">
        <v>748</v>
      </c>
      <c r="I72" s="158" t="s">
        <v>749</v>
      </c>
      <c r="J72" s="163" t="s">
        <v>746</v>
      </c>
      <c r="K72" s="10" t="s">
        <v>30</v>
      </c>
      <c r="L72" s="10">
        <v>2</v>
      </c>
      <c r="M72" s="10">
        <v>1</v>
      </c>
      <c r="N72" s="10">
        <v>2</v>
      </c>
      <c r="O72" s="12">
        <v>1</v>
      </c>
      <c r="P72" s="116">
        <v>2150</v>
      </c>
      <c r="Q72" s="10" t="s">
        <v>36</v>
      </c>
      <c r="R72" s="4" t="s">
        <v>1282</v>
      </c>
      <c r="S72" s="4" t="s">
        <v>1279</v>
      </c>
      <c r="T72" s="4" t="s">
        <v>19</v>
      </c>
      <c r="U72" s="4" t="s">
        <v>507</v>
      </c>
      <c r="V72" s="4" t="str">
        <f t="shared" si="3"/>
        <v>OIL AND GASINDUSTRY SOLUTIONAUTHORIZEDADD-ON</v>
      </c>
    </row>
    <row r="73" spans="1:22" ht="29.25" hidden="1" customHeight="1" thickBot="1">
      <c r="A73" s="10" t="s">
        <v>21</v>
      </c>
      <c r="B73" s="10" t="s">
        <v>22</v>
      </c>
      <c r="C73" s="10" t="s">
        <v>778</v>
      </c>
      <c r="D73" s="10" t="s">
        <v>779</v>
      </c>
      <c r="E73" s="10" t="s">
        <v>780</v>
      </c>
      <c r="F73" s="10" t="s">
        <v>781</v>
      </c>
      <c r="G73" s="116">
        <v>7660</v>
      </c>
      <c r="H73" s="163" t="s">
        <v>806</v>
      </c>
      <c r="I73" s="158" t="s">
        <v>813</v>
      </c>
      <c r="J73" s="163" t="s">
        <v>806</v>
      </c>
      <c r="K73" s="10" t="s">
        <v>30</v>
      </c>
      <c r="L73" s="10">
        <v>5</v>
      </c>
      <c r="M73" s="10">
        <v>1</v>
      </c>
      <c r="N73" s="10">
        <v>5</v>
      </c>
      <c r="O73" s="12">
        <v>1</v>
      </c>
      <c r="P73" s="116">
        <v>7660</v>
      </c>
      <c r="Q73" s="10" t="s">
        <v>33</v>
      </c>
      <c r="R73" s="4" t="s">
        <v>1283</v>
      </c>
      <c r="S73" s="4" t="s">
        <v>1279</v>
      </c>
      <c r="T73" s="4" t="s">
        <v>19</v>
      </c>
      <c r="U73" s="4" t="str">
        <f>IF(ISNUMBER(SEARCH("ADD-ON",$I73)),"ADD-ON","NOT AN ADD-ON")</f>
        <v>NOT AN ADD-ON</v>
      </c>
      <c r="V73" s="4" t="str">
        <f t="shared" si="3"/>
        <v>TRANSPORATIONINDUSTRY SOLUTIONAUTHORIZEDNOT AN ADD-ON</v>
      </c>
    </row>
    <row r="74" spans="1:22" ht="15" hidden="1" thickBot="1">
      <c r="A74" s="10" t="s">
        <v>21</v>
      </c>
      <c r="B74" s="10" t="s">
        <v>22</v>
      </c>
      <c r="C74" s="10" t="s">
        <v>778</v>
      </c>
      <c r="D74" s="10" t="s">
        <v>779</v>
      </c>
      <c r="E74" s="10" t="s">
        <v>780</v>
      </c>
      <c r="F74" s="10" t="s">
        <v>781</v>
      </c>
      <c r="G74" s="116">
        <v>4600</v>
      </c>
      <c r="H74" s="163" t="s">
        <v>814</v>
      </c>
      <c r="I74" s="158" t="s">
        <v>815</v>
      </c>
      <c r="J74" s="163" t="s">
        <v>806</v>
      </c>
      <c r="K74" s="10" t="s">
        <v>30</v>
      </c>
      <c r="L74" s="10">
        <v>5</v>
      </c>
      <c r="M74" s="10">
        <v>1</v>
      </c>
      <c r="N74" s="10">
        <v>5</v>
      </c>
      <c r="O74" s="12">
        <v>1</v>
      </c>
      <c r="P74" s="116">
        <v>7660</v>
      </c>
      <c r="Q74" s="10" t="s">
        <v>36</v>
      </c>
      <c r="R74" s="4" t="s">
        <v>1283</v>
      </c>
      <c r="S74" s="4" t="s">
        <v>1279</v>
      </c>
      <c r="T74" s="4" t="s">
        <v>19</v>
      </c>
      <c r="U74" s="4" t="str">
        <f>IF(ISNUMBER(SEARCH("ADD-ON",$I74)),"ADD-ON","NOT AN ADD-ON")</f>
        <v>NOT AN ADD-ON</v>
      </c>
      <c r="V74" s="4" t="str">
        <f t="shared" si="3"/>
        <v>TRANSPORATIONINDUSTRY SOLUTIONAUTHORIZEDNOT AN ADD-ON</v>
      </c>
    </row>
    <row r="75" spans="1:22" ht="29.25" hidden="1" customHeight="1" thickBot="1">
      <c r="A75" s="10" t="s">
        <v>21</v>
      </c>
      <c r="B75" s="10" t="s">
        <v>22</v>
      </c>
      <c r="C75" s="10" t="s">
        <v>778</v>
      </c>
      <c r="D75" s="10" t="s">
        <v>779</v>
      </c>
      <c r="E75" s="10" t="s">
        <v>780</v>
      </c>
      <c r="F75" s="10" t="s">
        <v>781</v>
      </c>
      <c r="G75" s="116">
        <v>2680</v>
      </c>
      <c r="H75" s="163" t="s">
        <v>804</v>
      </c>
      <c r="I75" s="166" t="s">
        <v>805</v>
      </c>
      <c r="J75" s="163" t="s">
        <v>806</v>
      </c>
      <c r="K75" s="10" t="s">
        <v>30</v>
      </c>
      <c r="L75" s="10">
        <v>5</v>
      </c>
      <c r="M75" s="10">
        <v>1</v>
      </c>
      <c r="N75" s="10">
        <v>5</v>
      </c>
      <c r="O75" s="12">
        <v>1</v>
      </c>
      <c r="P75" s="116">
        <v>7660</v>
      </c>
      <c r="Q75" s="10" t="s">
        <v>48</v>
      </c>
      <c r="R75" s="4" t="s">
        <v>1283</v>
      </c>
      <c r="S75" s="4" t="s">
        <v>1279</v>
      </c>
      <c r="T75" s="4" t="s">
        <v>19</v>
      </c>
      <c r="U75" s="4" t="str">
        <f>IF(ISNUMBER(SEARCH("ADD-ON",$I75)),"ADD-ON","NOT AN ADD-ON")</f>
        <v>NOT AN ADD-ON</v>
      </c>
      <c r="V75" s="4" t="str">
        <f t="shared" si="3"/>
        <v>TRANSPORATIONINDUSTRY SOLUTIONAUTHORIZEDNOT AN ADD-ON</v>
      </c>
    </row>
    <row r="76" spans="1:22" ht="27" hidden="1" thickBot="1">
      <c r="A76" s="10" t="s">
        <v>21</v>
      </c>
      <c r="B76" s="10" t="s">
        <v>22</v>
      </c>
      <c r="C76" s="10" t="s">
        <v>778</v>
      </c>
      <c r="D76" s="10" t="s">
        <v>779</v>
      </c>
      <c r="E76" s="10" t="s">
        <v>780</v>
      </c>
      <c r="F76" s="10" t="s">
        <v>781</v>
      </c>
      <c r="G76" s="116">
        <v>5470</v>
      </c>
      <c r="H76" s="163" t="s">
        <v>807</v>
      </c>
      <c r="I76" s="166" t="s">
        <v>808</v>
      </c>
      <c r="J76" s="163" t="s">
        <v>806</v>
      </c>
      <c r="K76" s="10" t="s">
        <v>30</v>
      </c>
      <c r="L76" s="10">
        <v>5</v>
      </c>
      <c r="M76" s="10">
        <v>1</v>
      </c>
      <c r="N76" s="10">
        <v>5</v>
      </c>
      <c r="O76" s="12">
        <v>1</v>
      </c>
      <c r="P76" s="116">
        <v>7660</v>
      </c>
      <c r="Q76" s="10" t="s">
        <v>48</v>
      </c>
      <c r="R76" s="4" t="s">
        <v>1283</v>
      </c>
      <c r="S76" s="4" t="s">
        <v>1279</v>
      </c>
      <c r="T76" s="4" t="s">
        <v>19</v>
      </c>
      <c r="U76" s="4" t="str">
        <f>IF(ISNUMBER(SEARCH("ADD-ON",$I76)),"ADD-ON","NOT AN ADD-ON")</f>
        <v>NOT AN ADD-ON</v>
      </c>
      <c r="V76" s="4" t="str">
        <f t="shared" si="3"/>
        <v>TRANSPORATIONINDUSTRY SOLUTIONAUTHORIZEDNOT AN ADD-ON</v>
      </c>
    </row>
    <row r="77" spans="1:22" ht="29.25" hidden="1" customHeight="1" thickBot="1">
      <c r="A77" s="10" t="s">
        <v>21</v>
      </c>
      <c r="B77" s="10" t="s">
        <v>22</v>
      </c>
      <c r="C77" s="10" t="s">
        <v>778</v>
      </c>
      <c r="D77" s="10" t="s">
        <v>779</v>
      </c>
      <c r="E77" s="10" t="s">
        <v>780</v>
      </c>
      <c r="F77" s="10" t="s">
        <v>781</v>
      </c>
      <c r="G77" s="116">
        <v>2150</v>
      </c>
      <c r="H77" s="163" t="s">
        <v>784</v>
      </c>
      <c r="I77" s="158" t="s">
        <v>785</v>
      </c>
      <c r="J77" s="163" t="s">
        <v>784</v>
      </c>
      <c r="K77" s="10" t="s">
        <v>30</v>
      </c>
      <c r="L77" s="10">
        <v>2</v>
      </c>
      <c r="M77" s="10">
        <v>1</v>
      </c>
      <c r="N77" s="10">
        <v>2</v>
      </c>
      <c r="O77" s="12">
        <v>1</v>
      </c>
      <c r="P77" s="116">
        <v>2150</v>
      </c>
      <c r="Q77" s="10" t="s">
        <v>33</v>
      </c>
      <c r="R77" s="4" t="s">
        <v>1283</v>
      </c>
      <c r="S77" s="4" t="s">
        <v>1279</v>
      </c>
      <c r="T77" s="4" t="s">
        <v>19</v>
      </c>
      <c r="U77" s="4" t="s">
        <v>507</v>
      </c>
      <c r="V77" s="4" t="str">
        <f t="shared" si="3"/>
        <v>TRANSPORATIONINDUSTRY SOLUTIONAUTHORIZEDADD-ON</v>
      </c>
    </row>
    <row r="78" spans="1:22" ht="29.25" hidden="1" customHeight="1" thickBot="1">
      <c r="A78" s="10" t="s">
        <v>21</v>
      </c>
      <c r="B78" s="10" t="s">
        <v>22</v>
      </c>
      <c r="C78" s="10" t="s">
        <v>778</v>
      </c>
      <c r="D78" s="10" t="s">
        <v>779</v>
      </c>
      <c r="E78" s="10" t="s">
        <v>780</v>
      </c>
      <c r="F78" s="10" t="s">
        <v>781</v>
      </c>
      <c r="G78" s="116">
        <v>1300</v>
      </c>
      <c r="H78" s="163" t="s">
        <v>786</v>
      </c>
      <c r="I78" s="158" t="s">
        <v>787</v>
      </c>
      <c r="J78" s="163" t="s">
        <v>784</v>
      </c>
      <c r="K78" s="10" t="s">
        <v>30</v>
      </c>
      <c r="L78" s="10">
        <v>2</v>
      </c>
      <c r="M78" s="10">
        <v>1</v>
      </c>
      <c r="N78" s="10">
        <v>2</v>
      </c>
      <c r="O78" s="12">
        <v>1</v>
      </c>
      <c r="P78" s="116">
        <v>2150</v>
      </c>
      <c r="Q78" s="10" t="s">
        <v>36</v>
      </c>
      <c r="R78" s="4" t="s">
        <v>1283</v>
      </c>
      <c r="S78" s="4" t="s">
        <v>1279</v>
      </c>
      <c r="T78" s="4" t="s">
        <v>19</v>
      </c>
      <c r="U78" s="4" t="s">
        <v>507</v>
      </c>
      <c r="V78" s="4" t="str">
        <f t="shared" si="3"/>
        <v>TRANSPORATIONINDUSTRY SOLUTIONAUTHORIZEDADD-ON</v>
      </c>
    </row>
    <row r="79" spans="1:22" ht="29.25" hidden="1" customHeight="1" thickBot="1">
      <c r="A79" s="10" t="s">
        <v>21</v>
      </c>
      <c r="B79" s="10" t="s">
        <v>22</v>
      </c>
      <c r="C79" s="10" t="s">
        <v>778</v>
      </c>
      <c r="D79" s="10" t="s">
        <v>779</v>
      </c>
      <c r="E79" s="10" t="s">
        <v>780</v>
      </c>
      <c r="F79" s="10" t="s">
        <v>781</v>
      </c>
      <c r="G79" s="116">
        <v>7660</v>
      </c>
      <c r="H79" s="163" t="s">
        <v>844</v>
      </c>
      <c r="I79" s="158" t="s">
        <v>851</v>
      </c>
      <c r="J79" s="163" t="s">
        <v>844</v>
      </c>
      <c r="K79" s="10" t="s">
        <v>30</v>
      </c>
      <c r="L79" s="10">
        <v>5</v>
      </c>
      <c r="M79" s="10">
        <v>1</v>
      </c>
      <c r="N79" s="10">
        <v>5</v>
      </c>
      <c r="O79" s="12">
        <v>1</v>
      </c>
      <c r="P79" s="116">
        <v>7660</v>
      </c>
      <c r="Q79" s="10" t="s">
        <v>33</v>
      </c>
      <c r="R79" s="4" t="s">
        <v>1283</v>
      </c>
      <c r="S79" s="4" t="s">
        <v>1279</v>
      </c>
      <c r="T79" s="4" t="s">
        <v>19</v>
      </c>
      <c r="U79" s="4" t="str">
        <f>IF(ISNUMBER(SEARCH("ADD-ON",$I79)),"ADD-ON","NOT AN ADD-ON")</f>
        <v>NOT AN ADD-ON</v>
      </c>
      <c r="V79" s="4" t="str">
        <f t="shared" si="3"/>
        <v>TRANSPORATIONINDUSTRY SOLUTIONAUTHORIZEDNOT AN ADD-ON</v>
      </c>
    </row>
    <row r="80" spans="1:22" ht="15" hidden="1" thickBot="1">
      <c r="A80" s="10" t="s">
        <v>21</v>
      </c>
      <c r="B80" s="10" t="s">
        <v>22</v>
      </c>
      <c r="C80" s="10" t="s">
        <v>778</v>
      </c>
      <c r="D80" s="10" t="s">
        <v>779</v>
      </c>
      <c r="E80" s="10" t="s">
        <v>780</v>
      </c>
      <c r="F80" s="10" t="s">
        <v>781</v>
      </c>
      <c r="G80" s="116">
        <v>4600</v>
      </c>
      <c r="H80" s="163" t="s">
        <v>852</v>
      </c>
      <c r="I80" s="158" t="s">
        <v>853</v>
      </c>
      <c r="J80" s="163" t="s">
        <v>844</v>
      </c>
      <c r="K80" s="10" t="s">
        <v>30</v>
      </c>
      <c r="L80" s="10">
        <v>5</v>
      </c>
      <c r="M80" s="10">
        <v>1</v>
      </c>
      <c r="N80" s="10">
        <v>5</v>
      </c>
      <c r="O80" s="12">
        <v>1</v>
      </c>
      <c r="P80" s="116">
        <v>7660</v>
      </c>
      <c r="Q80" s="10" t="s">
        <v>36</v>
      </c>
      <c r="R80" s="4" t="s">
        <v>1283</v>
      </c>
      <c r="S80" s="4" t="s">
        <v>1279</v>
      </c>
      <c r="T80" s="4" t="s">
        <v>19</v>
      </c>
      <c r="U80" s="4" t="str">
        <f>IF(ISNUMBER(SEARCH("ADD-ON",$I80)),"ADD-ON","NOT AN ADD-ON")</f>
        <v>NOT AN ADD-ON</v>
      </c>
      <c r="V80" s="4" t="str">
        <f t="shared" si="3"/>
        <v>TRANSPORATIONINDUSTRY SOLUTIONAUTHORIZEDNOT AN ADD-ON</v>
      </c>
    </row>
    <row r="81" spans="1:22" ht="29.25" hidden="1" customHeight="1" thickBot="1">
      <c r="A81" s="10" t="s">
        <v>21</v>
      </c>
      <c r="B81" s="10" t="s">
        <v>22</v>
      </c>
      <c r="C81" s="10" t="s">
        <v>778</v>
      </c>
      <c r="D81" s="10" t="s">
        <v>779</v>
      </c>
      <c r="E81" s="10" t="s">
        <v>780</v>
      </c>
      <c r="F81" s="10" t="s">
        <v>781</v>
      </c>
      <c r="G81" s="116">
        <v>2680</v>
      </c>
      <c r="H81" s="163" t="s">
        <v>842</v>
      </c>
      <c r="I81" s="166" t="s">
        <v>843</v>
      </c>
      <c r="J81" s="163" t="s">
        <v>844</v>
      </c>
      <c r="K81" s="10" t="s">
        <v>30</v>
      </c>
      <c r="L81" s="10">
        <v>5</v>
      </c>
      <c r="M81" s="10">
        <v>1</v>
      </c>
      <c r="N81" s="10">
        <v>5</v>
      </c>
      <c r="O81" s="12">
        <v>1</v>
      </c>
      <c r="P81" s="116">
        <v>7660</v>
      </c>
      <c r="Q81" s="10" t="s">
        <v>48</v>
      </c>
      <c r="R81" s="4" t="s">
        <v>1283</v>
      </c>
      <c r="S81" s="4" t="s">
        <v>1279</v>
      </c>
      <c r="T81" s="4" t="s">
        <v>19</v>
      </c>
      <c r="U81" s="4" t="str">
        <f>IF(ISNUMBER(SEARCH("ADD-ON",$I81)),"ADD-ON","NOT AN ADD-ON")</f>
        <v>NOT AN ADD-ON</v>
      </c>
      <c r="V81" s="4" t="str">
        <f t="shared" si="3"/>
        <v>TRANSPORATIONINDUSTRY SOLUTIONAUTHORIZEDNOT AN ADD-ON</v>
      </c>
    </row>
    <row r="82" spans="1:22" ht="27" hidden="1" thickBot="1">
      <c r="A82" s="10" t="s">
        <v>21</v>
      </c>
      <c r="B82" s="10" t="s">
        <v>22</v>
      </c>
      <c r="C82" s="10" t="s">
        <v>778</v>
      </c>
      <c r="D82" s="10" t="s">
        <v>779</v>
      </c>
      <c r="E82" s="10" t="s">
        <v>780</v>
      </c>
      <c r="F82" s="10" t="s">
        <v>781</v>
      </c>
      <c r="G82" s="116">
        <v>5470</v>
      </c>
      <c r="H82" s="163" t="s">
        <v>845</v>
      </c>
      <c r="I82" s="166" t="s">
        <v>846</v>
      </c>
      <c r="J82" s="163" t="s">
        <v>844</v>
      </c>
      <c r="K82" s="10" t="s">
        <v>30</v>
      </c>
      <c r="L82" s="10">
        <v>5</v>
      </c>
      <c r="M82" s="10">
        <v>1</v>
      </c>
      <c r="N82" s="10">
        <v>5</v>
      </c>
      <c r="O82" s="12">
        <v>1</v>
      </c>
      <c r="P82" s="116">
        <v>7660</v>
      </c>
      <c r="Q82" s="10" t="s">
        <v>48</v>
      </c>
      <c r="R82" s="4" t="s">
        <v>1283</v>
      </c>
      <c r="S82" s="4" t="s">
        <v>1279</v>
      </c>
      <c r="T82" s="4" t="s">
        <v>19</v>
      </c>
      <c r="U82" s="4" t="str">
        <f>IF(ISNUMBER(SEARCH("ADD-ON",$I82)),"ADD-ON","NOT AN ADD-ON")</f>
        <v>NOT AN ADD-ON</v>
      </c>
      <c r="V82" s="4" t="str">
        <f t="shared" si="3"/>
        <v>TRANSPORATIONINDUSTRY SOLUTIONAUTHORIZEDNOT AN ADD-ON</v>
      </c>
    </row>
    <row r="83" spans="1:22" ht="15" hidden="1" thickBot="1">
      <c r="A83" s="10" t="s">
        <v>21</v>
      </c>
      <c r="B83" s="10" t="s">
        <v>22</v>
      </c>
      <c r="C83" s="10" t="s">
        <v>778</v>
      </c>
      <c r="D83" s="10" t="s">
        <v>779</v>
      </c>
      <c r="E83" s="10" t="s">
        <v>780</v>
      </c>
      <c r="F83" s="10" t="s">
        <v>781</v>
      </c>
      <c r="G83" s="116">
        <v>2150</v>
      </c>
      <c r="H83" s="163" t="s">
        <v>838</v>
      </c>
      <c r="I83" s="158" t="s">
        <v>839</v>
      </c>
      <c r="J83" s="163" t="s">
        <v>838</v>
      </c>
      <c r="K83" s="10" t="s">
        <v>30</v>
      </c>
      <c r="L83" s="10">
        <v>2</v>
      </c>
      <c r="M83" s="10">
        <v>1</v>
      </c>
      <c r="N83" s="10">
        <v>2</v>
      </c>
      <c r="O83" s="12">
        <v>1</v>
      </c>
      <c r="P83" s="116">
        <v>2150</v>
      </c>
      <c r="Q83" s="10" t="s">
        <v>33</v>
      </c>
      <c r="R83" s="4" t="s">
        <v>1283</v>
      </c>
      <c r="S83" s="4" t="s">
        <v>1279</v>
      </c>
      <c r="T83" s="4" t="s">
        <v>19</v>
      </c>
      <c r="U83" s="4" t="s">
        <v>507</v>
      </c>
      <c r="V83" s="4" t="str">
        <f t="shared" si="3"/>
        <v>TRANSPORATIONINDUSTRY SOLUTIONAUTHORIZEDADD-ON</v>
      </c>
    </row>
    <row r="84" spans="1:22" ht="29.25" hidden="1" customHeight="1" thickBot="1">
      <c r="A84" s="10" t="s">
        <v>21</v>
      </c>
      <c r="B84" s="10" t="s">
        <v>22</v>
      </c>
      <c r="C84" s="10" t="s">
        <v>778</v>
      </c>
      <c r="D84" s="10" t="s">
        <v>779</v>
      </c>
      <c r="E84" s="10" t="s">
        <v>780</v>
      </c>
      <c r="F84" s="10" t="s">
        <v>781</v>
      </c>
      <c r="G84" s="116">
        <v>1300</v>
      </c>
      <c r="H84" s="163" t="s">
        <v>840</v>
      </c>
      <c r="I84" s="158" t="s">
        <v>841</v>
      </c>
      <c r="J84" s="163" t="s">
        <v>838</v>
      </c>
      <c r="K84" s="10" t="s">
        <v>30</v>
      </c>
      <c r="L84" s="10">
        <v>2</v>
      </c>
      <c r="M84" s="10">
        <v>1</v>
      </c>
      <c r="N84" s="10">
        <v>2</v>
      </c>
      <c r="O84" s="12">
        <v>1</v>
      </c>
      <c r="P84" s="116">
        <v>2150</v>
      </c>
      <c r="Q84" s="10" t="s">
        <v>36</v>
      </c>
      <c r="R84" s="4" t="s">
        <v>1283</v>
      </c>
      <c r="S84" s="4" t="s">
        <v>1279</v>
      </c>
      <c r="T84" s="4" t="s">
        <v>19</v>
      </c>
      <c r="U84" s="4" t="s">
        <v>507</v>
      </c>
      <c r="V84" s="4" t="str">
        <f t="shared" si="3"/>
        <v>TRANSPORATIONINDUSTRY SOLUTIONAUTHORIZEDADD-ON</v>
      </c>
    </row>
    <row r="85" spans="1:22" ht="29.25" hidden="1" customHeight="1" thickBot="1">
      <c r="A85" s="10" t="s">
        <v>21</v>
      </c>
      <c r="B85" s="10" t="s">
        <v>22</v>
      </c>
      <c r="C85" s="10" t="s">
        <v>870</v>
      </c>
      <c r="D85" s="10" t="s">
        <v>871</v>
      </c>
      <c r="E85" s="10" t="s">
        <v>872</v>
      </c>
      <c r="F85" s="10" t="s">
        <v>873</v>
      </c>
      <c r="G85" s="116">
        <v>7660</v>
      </c>
      <c r="H85" s="163" t="s">
        <v>898</v>
      </c>
      <c r="I85" s="158" t="s">
        <v>905</v>
      </c>
      <c r="J85" s="163" t="s">
        <v>898</v>
      </c>
      <c r="K85" s="10" t="s">
        <v>30</v>
      </c>
      <c r="L85" s="10">
        <v>5</v>
      </c>
      <c r="M85" s="10">
        <v>1</v>
      </c>
      <c r="N85" s="10">
        <v>5</v>
      </c>
      <c r="O85" s="12">
        <v>1</v>
      </c>
      <c r="P85" s="116">
        <v>7660</v>
      </c>
      <c r="Q85" s="10" t="s">
        <v>33</v>
      </c>
      <c r="R85" s="4" t="s">
        <v>1284</v>
      </c>
      <c r="S85" s="4" t="s">
        <v>1279</v>
      </c>
      <c r="T85" s="4" t="s">
        <v>19</v>
      </c>
      <c r="U85" s="4" t="str">
        <f>IF(ISNUMBER(SEARCH("ADD-ON",$I85)),"ADD-ON","NOT AN ADD-ON")</f>
        <v>NOT AN ADD-ON</v>
      </c>
      <c r="V85" s="4" t="str">
        <f t="shared" si="3"/>
        <v>UTILITIESINDUSTRY SOLUTIONAUTHORIZEDNOT AN ADD-ON</v>
      </c>
    </row>
    <row r="86" spans="1:22" ht="15" hidden="1" thickBot="1">
      <c r="A86" s="10" t="s">
        <v>21</v>
      </c>
      <c r="B86" s="10" t="s">
        <v>22</v>
      </c>
      <c r="C86" s="10" t="s">
        <v>870</v>
      </c>
      <c r="D86" s="10" t="s">
        <v>871</v>
      </c>
      <c r="E86" s="10" t="s">
        <v>872</v>
      </c>
      <c r="F86" s="10" t="s">
        <v>873</v>
      </c>
      <c r="G86" s="116">
        <v>4600</v>
      </c>
      <c r="H86" s="163" t="s">
        <v>906</v>
      </c>
      <c r="I86" s="158" t="s">
        <v>907</v>
      </c>
      <c r="J86" s="163" t="s">
        <v>898</v>
      </c>
      <c r="K86" s="10" t="s">
        <v>30</v>
      </c>
      <c r="L86" s="10">
        <v>5</v>
      </c>
      <c r="M86" s="10">
        <v>1</v>
      </c>
      <c r="N86" s="10">
        <v>5</v>
      </c>
      <c r="O86" s="12">
        <v>1</v>
      </c>
      <c r="P86" s="116">
        <v>7660</v>
      </c>
      <c r="Q86" s="10" t="s">
        <v>36</v>
      </c>
      <c r="R86" s="4" t="s">
        <v>1284</v>
      </c>
      <c r="S86" s="4" t="s">
        <v>1279</v>
      </c>
      <c r="T86" s="4" t="s">
        <v>19</v>
      </c>
      <c r="U86" s="4" t="str">
        <f>IF(ISNUMBER(SEARCH("ADD-ON",$I86)),"ADD-ON","NOT AN ADD-ON")</f>
        <v>NOT AN ADD-ON</v>
      </c>
      <c r="V86" s="4" t="str">
        <f t="shared" si="3"/>
        <v>UTILITIESINDUSTRY SOLUTIONAUTHORIZEDNOT AN ADD-ON</v>
      </c>
    </row>
    <row r="87" spans="1:22" ht="27" hidden="1" thickBot="1">
      <c r="A87" s="10" t="s">
        <v>21</v>
      </c>
      <c r="B87" s="10" t="s">
        <v>22</v>
      </c>
      <c r="C87" s="10" t="s">
        <v>870</v>
      </c>
      <c r="D87" s="10" t="s">
        <v>871</v>
      </c>
      <c r="E87" s="10" t="s">
        <v>872</v>
      </c>
      <c r="F87" s="10" t="s">
        <v>873</v>
      </c>
      <c r="G87" s="116">
        <v>2680</v>
      </c>
      <c r="H87" s="163" t="s">
        <v>896</v>
      </c>
      <c r="I87" s="166" t="s">
        <v>897</v>
      </c>
      <c r="J87" s="163" t="s">
        <v>898</v>
      </c>
      <c r="K87" s="10" t="s">
        <v>30</v>
      </c>
      <c r="L87" s="10">
        <v>5</v>
      </c>
      <c r="M87" s="10">
        <v>1</v>
      </c>
      <c r="N87" s="10">
        <v>5</v>
      </c>
      <c r="O87" s="12">
        <v>1</v>
      </c>
      <c r="P87" s="116">
        <v>7660</v>
      </c>
      <c r="Q87" s="10" t="s">
        <v>48</v>
      </c>
      <c r="R87" s="4" t="s">
        <v>1284</v>
      </c>
      <c r="S87" s="4" t="s">
        <v>1279</v>
      </c>
      <c r="T87" s="4" t="s">
        <v>19</v>
      </c>
      <c r="U87" s="4" t="str">
        <f>IF(ISNUMBER(SEARCH("ADD-ON",$I87)),"ADD-ON","NOT AN ADD-ON")</f>
        <v>NOT AN ADD-ON</v>
      </c>
      <c r="V87" s="4" t="str">
        <f t="shared" si="3"/>
        <v>UTILITIESINDUSTRY SOLUTIONAUTHORIZEDNOT AN ADD-ON</v>
      </c>
    </row>
    <row r="88" spans="1:22" ht="29.25" hidden="1" customHeight="1" thickBot="1">
      <c r="A88" s="10" t="s">
        <v>21</v>
      </c>
      <c r="B88" s="10" t="s">
        <v>22</v>
      </c>
      <c r="C88" s="10" t="s">
        <v>870</v>
      </c>
      <c r="D88" s="10" t="s">
        <v>871</v>
      </c>
      <c r="E88" s="10" t="s">
        <v>872</v>
      </c>
      <c r="F88" s="10" t="s">
        <v>873</v>
      </c>
      <c r="G88" s="116">
        <v>5470</v>
      </c>
      <c r="H88" s="163" t="s">
        <v>899</v>
      </c>
      <c r="I88" s="166" t="s">
        <v>900</v>
      </c>
      <c r="J88" s="163" t="s">
        <v>898</v>
      </c>
      <c r="K88" s="10" t="s">
        <v>30</v>
      </c>
      <c r="L88" s="10">
        <v>5</v>
      </c>
      <c r="M88" s="10">
        <v>1</v>
      </c>
      <c r="N88" s="10">
        <v>5</v>
      </c>
      <c r="O88" s="12">
        <v>1</v>
      </c>
      <c r="P88" s="116">
        <v>7660</v>
      </c>
      <c r="Q88" s="10" t="s">
        <v>48</v>
      </c>
      <c r="R88" s="4" t="s">
        <v>1284</v>
      </c>
      <c r="S88" s="4" t="s">
        <v>1279</v>
      </c>
      <c r="T88" s="4" t="s">
        <v>19</v>
      </c>
      <c r="U88" s="4" t="str">
        <f>IF(ISNUMBER(SEARCH("ADD-ON",$I88)),"ADD-ON","NOT AN ADD-ON")</f>
        <v>NOT AN ADD-ON</v>
      </c>
      <c r="V88" s="4" t="str">
        <f t="shared" si="3"/>
        <v>UTILITIESINDUSTRY SOLUTIONAUTHORIZEDNOT AN ADD-ON</v>
      </c>
    </row>
    <row r="89" spans="1:22" ht="29.25" hidden="1" customHeight="1" thickBot="1">
      <c r="A89" s="10" t="s">
        <v>21</v>
      </c>
      <c r="B89" s="10" t="s">
        <v>22</v>
      </c>
      <c r="C89" s="10" t="s">
        <v>870</v>
      </c>
      <c r="D89" s="10" t="s">
        <v>871</v>
      </c>
      <c r="E89" s="10" t="s">
        <v>872</v>
      </c>
      <c r="F89" s="10" t="s">
        <v>873</v>
      </c>
      <c r="G89" s="116">
        <v>2150</v>
      </c>
      <c r="H89" s="163" t="s">
        <v>876</v>
      </c>
      <c r="I89" s="158" t="s">
        <v>877</v>
      </c>
      <c r="J89" s="163" t="s">
        <v>876</v>
      </c>
      <c r="K89" s="10" t="s">
        <v>30</v>
      </c>
      <c r="L89" s="10">
        <v>2</v>
      </c>
      <c r="M89" s="10">
        <v>1</v>
      </c>
      <c r="N89" s="10">
        <v>2</v>
      </c>
      <c r="O89" s="12">
        <v>1</v>
      </c>
      <c r="P89" s="116">
        <v>2150</v>
      </c>
      <c r="Q89" s="10" t="s">
        <v>33</v>
      </c>
      <c r="R89" s="4" t="s">
        <v>1284</v>
      </c>
      <c r="S89" s="4" t="s">
        <v>1279</v>
      </c>
      <c r="T89" s="4" t="s">
        <v>19</v>
      </c>
      <c r="U89" s="4" t="s">
        <v>507</v>
      </c>
      <c r="V89" s="4" t="str">
        <f t="shared" si="3"/>
        <v>UTILITIESINDUSTRY SOLUTIONAUTHORIZEDADD-ON</v>
      </c>
    </row>
    <row r="90" spans="1:22" ht="15" hidden="1" thickBot="1">
      <c r="A90" s="10" t="s">
        <v>21</v>
      </c>
      <c r="B90" s="10" t="s">
        <v>22</v>
      </c>
      <c r="C90" s="10" t="s">
        <v>870</v>
      </c>
      <c r="D90" s="10" t="s">
        <v>871</v>
      </c>
      <c r="E90" s="10" t="s">
        <v>872</v>
      </c>
      <c r="F90" s="10" t="s">
        <v>873</v>
      </c>
      <c r="G90" s="116">
        <v>1300</v>
      </c>
      <c r="H90" s="163" t="s">
        <v>878</v>
      </c>
      <c r="I90" s="158" t="s">
        <v>879</v>
      </c>
      <c r="J90" s="163" t="s">
        <v>876</v>
      </c>
      <c r="K90" s="10" t="s">
        <v>30</v>
      </c>
      <c r="L90" s="10">
        <v>2</v>
      </c>
      <c r="M90" s="10">
        <v>1</v>
      </c>
      <c r="N90" s="10">
        <v>2</v>
      </c>
      <c r="O90" s="12">
        <v>1</v>
      </c>
      <c r="P90" s="116">
        <v>2150</v>
      </c>
      <c r="Q90" s="10" t="s">
        <v>36</v>
      </c>
      <c r="R90" s="4" t="s">
        <v>1284</v>
      </c>
      <c r="S90" s="4" t="s">
        <v>1279</v>
      </c>
      <c r="T90" s="4" t="s">
        <v>19</v>
      </c>
      <c r="U90" s="4" t="s">
        <v>507</v>
      </c>
      <c r="V90" s="4" t="str">
        <f t="shared" si="3"/>
        <v>UTILITIESINDUSTRY SOLUTIONAUTHORIZEDADD-ON</v>
      </c>
    </row>
    <row r="91" spans="1:22" ht="29.25" hidden="1" customHeight="1" thickBot="1">
      <c r="A91" s="10" t="s">
        <v>21</v>
      </c>
      <c r="B91" s="10" t="s">
        <v>22</v>
      </c>
      <c r="C91" s="10" t="s">
        <v>870</v>
      </c>
      <c r="D91" s="10" t="s">
        <v>871</v>
      </c>
      <c r="E91" s="10" t="s">
        <v>872</v>
      </c>
      <c r="F91" s="10" t="s">
        <v>873</v>
      </c>
      <c r="G91" s="116">
        <v>7660</v>
      </c>
      <c r="H91" s="163" t="s">
        <v>932</v>
      </c>
      <c r="I91" s="158" t="s">
        <v>939</v>
      </c>
      <c r="J91" s="163" t="s">
        <v>932</v>
      </c>
      <c r="K91" s="10" t="s">
        <v>30</v>
      </c>
      <c r="L91" s="10">
        <v>5</v>
      </c>
      <c r="M91" s="10">
        <v>1</v>
      </c>
      <c r="N91" s="10">
        <v>5</v>
      </c>
      <c r="O91" s="12">
        <v>1</v>
      </c>
      <c r="P91" s="116">
        <v>7660</v>
      </c>
      <c r="Q91" s="10" t="s">
        <v>33</v>
      </c>
      <c r="R91" s="4" t="s">
        <v>1284</v>
      </c>
      <c r="S91" s="4" t="s">
        <v>1279</v>
      </c>
      <c r="T91" s="4" t="s">
        <v>19</v>
      </c>
      <c r="U91" s="4" t="str">
        <f t="shared" ref="U91:U100" si="4">IF(ISNUMBER(SEARCH("ADD-ON",$I91)),"ADD-ON","NOT AN ADD-ON")</f>
        <v>NOT AN ADD-ON</v>
      </c>
      <c r="V91" s="4" t="str">
        <f t="shared" si="3"/>
        <v>UTILITIESINDUSTRY SOLUTIONAUTHORIZEDNOT AN ADD-ON</v>
      </c>
    </row>
    <row r="92" spans="1:22" ht="29.25" hidden="1" customHeight="1" thickBot="1">
      <c r="A92" s="10" t="s">
        <v>21</v>
      </c>
      <c r="B92" s="10" t="s">
        <v>22</v>
      </c>
      <c r="C92" s="10" t="s">
        <v>870</v>
      </c>
      <c r="D92" s="10" t="s">
        <v>871</v>
      </c>
      <c r="E92" s="10" t="s">
        <v>872</v>
      </c>
      <c r="F92" s="10" t="s">
        <v>873</v>
      </c>
      <c r="G92" s="116">
        <v>4600</v>
      </c>
      <c r="H92" s="163" t="s">
        <v>940</v>
      </c>
      <c r="I92" s="158" t="s">
        <v>941</v>
      </c>
      <c r="J92" s="163" t="s">
        <v>932</v>
      </c>
      <c r="K92" s="10" t="s">
        <v>30</v>
      </c>
      <c r="L92" s="10">
        <v>5</v>
      </c>
      <c r="M92" s="10">
        <v>1</v>
      </c>
      <c r="N92" s="10">
        <v>5</v>
      </c>
      <c r="O92" s="12">
        <v>1</v>
      </c>
      <c r="P92" s="116">
        <v>7660</v>
      </c>
      <c r="Q92" s="10" t="s">
        <v>36</v>
      </c>
      <c r="R92" s="4" t="s">
        <v>1284</v>
      </c>
      <c r="S92" s="4" t="s">
        <v>1279</v>
      </c>
      <c r="T92" s="4" t="s">
        <v>19</v>
      </c>
      <c r="U92" s="4" t="str">
        <f t="shared" si="4"/>
        <v>NOT AN ADD-ON</v>
      </c>
      <c r="V92" s="4" t="str">
        <f t="shared" si="3"/>
        <v>UTILITIESINDUSTRY SOLUTIONAUTHORIZEDNOT AN ADD-ON</v>
      </c>
    </row>
    <row r="93" spans="1:22" ht="27" hidden="1" thickBot="1">
      <c r="A93" s="10" t="s">
        <v>21</v>
      </c>
      <c r="B93" s="10" t="s">
        <v>22</v>
      </c>
      <c r="C93" s="10" t="s">
        <v>870</v>
      </c>
      <c r="D93" s="10" t="s">
        <v>871</v>
      </c>
      <c r="E93" s="10" t="s">
        <v>872</v>
      </c>
      <c r="F93" s="10" t="s">
        <v>873</v>
      </c>
      <c r="G93" s="116">
        <v>5470</v>
      </c>
      <c r="H93" s="163" t="s">
        <v>933</v>
      </c>
      <c r="I93" s="166" t="s">
        <v>934</v>
      </c>
      <c r="J93" s="163" t="s">
        <v>932</v>
      </c>
      <c r="K93" s="10" t="s">
        <v>30</v>
      </c>
      <c r="L93" s="10">
        <v>5</v>
      </c>
      <c r="M93" s="10">
        <v>1</v>
      </c>
      <c r="N93" s="10">
        <v>5</v>
      </c>
      <c r="O93" s="12">
        <v>1</v>
      </c>
      <c r="P93" s="116">
        <v>7660</v>
      </c>
      <c r="Q93" s="10" t="s">
        <v>48</v>
      </c>
      <c r="R93" s="4" t="s">
        <v>1284</v>
      </c>
      <c r="S93" s="4" t="s">
        <v>1279</v>
      </c>
      <c r="T93" s="4" t="s">
        <v>19</v>
      </c>
      <c r="U93" s="4" t="str">
        <f t="shared" si="4"/>
        <v>NOT AN ADD-ON</v>
      </c>
      <c r="V93" s="4" t="str">
        <f t="shared" si="3"/>
        <v>UTILITIESINDUSTRY SOLUTIONAUTHORIZEDNOT AN ADD-ON</v>
      </c>
    </row>
    <row r="94" spans="1:22" ht="27" hidden="1" thickBot="1">
      <c r="A94" s="10" t="s">
        <v>21</v>
      </c>
      <c r="B94" s="10" t="s">
        <v>22</v>
      </c>
      <c r="C94" s="10" t="s">
        <v>870</v>
      </c>
      <c r="D94" s="10" t="s">
        <v>871</v>
      </c>
      <c r="E94" s="10" t="s">
        <v>872</v>
      </c>
      <c r="F94" s="10" t="s">
        <v>873</v>
      </c>
      <c r="G94" s="116">
        <v>2680</v>
      </c>
      <c r="H94" s="163" t="s">
        <v>930</v>
      </c>
      <c r="I94" s="166" t="s">
        <v>931</v>
      </c>
      <c r="J94" s="163" t="s">
        <v>932</v>
      </c>
      <c r="K94" s="10" t="s">
        <v>30</v>
      </c>
      <c r="L94" s="10">
        <v>5</v>
      </c>
      <c r="M94" s="10">
        <v>1</v>
      </c>
      <c r="N94" s="10">
        <v>5</v>
      </c>
      <c r="O94" s="12">
        <v>1</v>
      </c>
      <c r="P94" s="116">
        <v>7660</v>
      </c>
      <c r="Q94" s="10" t="s">
        <v>48</v>
      </c>
      <c r="R94" s="4" t="s">
        <v>1284</v>
      </c>
      <c r="S94" s="4" t="s">
        <v>1279</v>
      </c>
      <c r="T94" s="4" t="s">
        <v>19</v>
      </c>
      <c r="U94" s="4" t="str">
        <f t="shared" si="4"/>
        <v>NOT AN ADD-ON</v>
      </c>
      <c r="V94" s="4" t="str">
        <f t="shared" si="3"/>
        <v>UTILITIESINDUSTRY SOLUTIONAUTHORIZEDNOT AN ADD-ON</v>
      </c>
    </row>
    <row r="95" spans="1:22" ht="29.25" hidden="1" customHeight="1" thickBot="1">
      <c r="A95" s="10" t="s">
        <v>21</v>
      </c>
      <c r="B95" s="10" t="s">
        <v>22</v>
      </c>
      <c r="C95" s="10" t="s">
        <v>870</v>
      </c>
      <c r="D95" s="10" t="s">
        <v>871</v>
      </c>
      <c r="E95" s="10" t="s">
        <v>872</v>
      </c>
      <c r="F95" s="10" t="s">
        <v>873</v>
      </c>
      <c r="G95" s="116">
        <v>2150</v>
      </c>
      <c r="H95" s="163" t="s">
        <v>926</v>
      </c>
      <c r="I95" s="158" t="s">
        <v>927</v>
      </c>
      <c r="J95" s="163" t="s">
        <v>926</v>
      </c>
      <c r="K95" s="10" t="s">
        <v>30</v>
      </c>
      <c r="L95" s="10">
        <v>5</v>
      </c>
      <c r="M95" s="10">
        <v>1</v>
      </c>
      <c r="N95" s="10">
        <v>5</v>
      </c>
      <c r="O95" s="12">
        <v>1</v>
      </c>
      <c r="P95" s="116">
        <v>2150</v>
      </c>
      <c r="Q95" s="10" t="s">
        <v>33</v>
      </c>
      <c r="R95" s="4" t="s">
        <v>1284</v>
      </c>
      <c r="S95" s="4" t="s">
        <v>1279</v>
      </c>
      <c r="T95" s="4" t="s">
        <v>19</v>
      </c>
      <c r="U95" s="4" t="str">
        <f t="shared" si="4"/>
        <v>NOT AN ADD-ON</v>
      </c>
      <c r="V95" s="4" t="str">
        <f t="shared" si="3"/>
        <v>UTILITIESINDUSTRY SOLUTIONAUTHORIZEDNOT AN ADD-ON</v>
      </c>
    </row>
    <row r="96" spans="1:22" ht="15" hidden="1" thickBot="1">
      <c r="A96" s="10" t="s">
        <v>21</v>
      </c>
      <c r="B96" s="10" t="s">
        <v>22</v>
      </c>
      <c r="C96" s="10" t="s">
        <v>870</v>
      </c>
      <c r="D96" s="10" t="s">
        <v>871</v>
      </c>
      <c r="E96" s="10" t="s">
        <v>872</v>
      </c>
      <c r="F96" s="10" t="s">
        <v>873</v>
      </c>
      <c r="G96" s="116">
        <v>1300</v>
      </c>
      <c r="H96" s="163" t="s">
        <v>928</v>
      </c>
      <c r="I96" s="158" t="s">
        <v>929</v>
      </c>
      <c r="J96" s="163" t="s">
        <v>926</v>
      </c>
      <c r="K96" s="10" t="s">
        <v>30</v>
      </c>
      <c r="L96" s="10">
        <v>5</v>
      </c>
      <c r="M96" s="10">
        <v>1</v>
      </c>
      <c r="N96" s="10">
        <v>5</v>
      </c>
      <c r="O96" s="12">
        <v>1</v>
      </c>
      <c r="P96" s="116">
        <v>2150</v>
      </c>
      <c r="Q96" s="10" t="s">
        <v>36</v>
      </c>
      <c r="R96" s="4" t="s">
        <v>1284</v>
      </c>
      <c r="S96" s="4" t="s">
        <v>1279</v>
      </c>
      <c r="T96" s="4" t="s">
        <v>19</v>
      </c>
      <c r="U96" s="4" t="str">
        <f t="shared" si="4"/>
        <v>NOT AN ADD-ON</v>
      </c>
      <c r="V96" s="4" t="str">
        <f t="shared" si="3"/>
        <v>UTILITIESINDUSTRY SOLUTIONAUTHORIZEDNOT AN ADD-ON</v>
      </c>
    </row>
    <row r="97" spans="1:22" ht="15" hidden="1" thickBot="1">
      <c r="A97" s="10" t="s">
        <v>21</v>
      </c>
      <c r="B97" s="10" t="s">
        <v>22</v>
      </c>
      <c r="C97" s="10" t="s">
        <v>500</v>
      </c>
      <c r="D97" s="10" t="s">
        <v>501</v>
      </c>
      <c r="E97" s="10" t="s">
        <v>502</v>
      </c>
      <c r="F97" s="10" t="s">
        <v>503</v>
      </c>
      <c r="G97" s="116">
        <v>6980</v>
      </c>
      <c r="H97" s="163" t="s">
        <v>529</v>
      </c>
      <c r="I97" s="158" t="s">
        <v>536</v>
      </c>
      <c r="J97" s="163" t="s">
        <v>529</v>
      </c>
      <c r="K97" s="10" t="s">
        <v>30</v>
      </c>
      <c r="L97" s="10">
        <v>3</v>
      </c>
      <c r="M97" s="10">
        <v>1</v>
      </c>
      <c r="N97" s="10">
        <v>3</v>
      </c>
      <c r="O97" s="12">
        <v>1</v>
      </c>
      <c r="P97" s="116">
        <v>6980</v>
      </c>
      <c r="Q97" s="10" t="s">
        <v>33</v>
      </c>
      <c r="R97" s="4" t="s">
        <v>1292</v>
      </c>
      <c r="S97" s="4" t="s">
        <v>1292</v>
      </c>
      <c r="T97" s="4" t="s">
        <v>19</v>
      </c>
      <c r="U97" s="4" t="str">
        <f t="shared" si="4"/>
        <v>NOT AN ADD-ON</v>
      </c>
      <c r="V97" s="4" t="str">
        <f t="shared" si="3"/>
        <v>LIFE SCIENCESLIFE SCIENCESAUTHORIZEDNOT AN ADD-ON</v>
      </c>
    </row>
    <row r="98" spans="1:22" ht="29.25" hidden="1" customHeight="1" thickBot="1">
      <c r="A98" s="10" t="s">
        <v>21</v>
      </c>
      <c r="B98" s="10" t="s">
        <v>22</v>
      </c>
      <c r="C98" s="10" t="s">
        <v>500</v>
      </c>
      <c r="D98" s="10" t="s">
        <v>501</v>
      </c>
      <c r="E98" s="10" t="s">
        <v>502</v>
      </c>
      <c r="F98" s="10" t="s">
        <v>503</v>
      </c>
      <c r="G98" s="116">
        <v>4180</v>
      </c>
      <c r="H98" s="163" t="s">
        <v>537</v>
      </c>
      <c r="I98" s="158" t="s">
        <v>538</v>
      </c>
      <c r="J98" s="163" t="s">
        <v>529</v>
      </c>
      <c r="K98" s="10" t="s">
        <v>30</v>
      </c>
      <c r="L98" s="10">
        <v>3</v>
      </c>
      <c r="M98" s="10">
        <v>1</v>
      </c>
      <c r="N98" s="10">
        <v>3</v>
      </c>
      <c r="O98" s="12">
        <v>1</v>
      </c>
      <c r="P98" s="116">
        <v>6980</v>
      </c>
      <c r="Q98" s="10" t="s">
        <v>36</v>
      </c>
      <c r="R98" s="4" t="s">
        <v>1292</v>
      </c>
      <c r="S98" s="4" t="s">
        <v>1292</v>
      </c>
      <c r="T98" s="4" t="s">
        <v>19</v>
      </c>
      <c r="U98" s="4" t="str">
        <f t="shared" si="4"/>
        <v>NOT AN ADD-ON</v>
      </c>
      <c r="V98" s="4" t="str">
        <f t="shared" si="3"/>
        <v>LIFE SCIENCESLIFE SCIENCESAUTHORIZEDNOT AN ADD-ON</v>
      </c>
    </row>
    <row r="99" spans="1:22" ht="29.25" hidden="1" customHeight="1" thickBot="1">
      <c r="A99" s="10" t="s">
        <v>21</v>
      </c>
      <c r="B99" s="10" t="s">
        <v>22</v>
      </c>
      <c r="C99" s="10" t="s">
        <v>500</v>
      </c>
      <c r="D99" s="10" t="s">
        <v>501</v>
      </c>
      <c r="E99" s="10" t="s">
        <v>502</v>
      </c>
      <c r="F99" s="10" t="s">
        <v>503</v>
      </c>
      <c r="G99" s="116">
        <v>4710</v>
      </c>
      <c r="H99" s="163" t="s">
        <v>530</v>
      </c>
      <c r="I99" s="166" t="s">
        <v>531</v>
      </c>
      <c r="J99" s="163" t="s">
        <v>529</v>
      </c>
      <c r="K99" s="10" t="s">
        <v>30</v>
      </c>
      <c r="L99" s="10">
        <v>3</v>
      </c>
      <c r="M99" s="10">
        <v>1</v>
      </c>
      <c r="N99" s="10">
        <v>3</v>
      </c>
      <c r="O99" s="12">
        <v>1</v>
      </c>
      <c r="P99" s="116">
        <v>6980</v>
      </c>
      <c r="Q99" s="10" t="s">
        <v>48</v>
      </c>
      <c r="R99" s="4" t="s">
        <v>1292</v>
      </c>
      <c r="S99" s="4" t="s">
        <v>1292</v>
      </c>
      <c r="T99" s="4" t="s">
        <v>19</v>
      </c>
      <c r="U99" s="4" t="str">
        <f t="shared" si="4"/>
        <v>NOT AN ADD-ON</v>
      </c>
      <c r="V99" s="4" t="str">
        <f t="shared" si="3"/>
        <v>LIFE SCIENCESLIFE SCIENCESAUTHORIZEDNOT AN ADD-ON</v>
      </c>
    </row>
    <row r="100" spans="1:22" ht="27" hidden="1" thickBot="1">
      <c r="A100" s="10" t="s">
        <v>21</v>
      </c>
      <c r="B100" s="10" t="s">
        <v>22</v>
      </c>
      <c r="C100" s="10" t="s">
        <v>500</v>
      </c>
      <c r="D100" s="10" t="s">
        <v>501</v>
      </c>
      <c r="E100" s="10" t="s">
        <v>502</v>
      </c>
      <c r="F100" s="10" t="s">
        <v>503</v>
      </c>
      <c r="G100" s="116">
        <v>1920</v>
      </c>
      <c r="H100" s="163" t="s">
        <v>527</v>
      </c>
      <c r="I100" s="166" t="s">
        <v>528</v>
      </c>
      <c r="J100" s="163" t="s">
        <v>529</v>
      </c>
      <c r="K100" s="10" t="s">
        <v>30</v>
      </c>
      <c r="L100" s="10">
        <v>3</v>
      </c>
      <c r="M100" s="10">
        <v>1</v>
      </c>
      <c r="N100" s="10">
        <v>3</v>
      </c>
      <c r="O100" s="12">
        <v>1</v>
      </c>
      <c r="P100" s="116">
        <v>6980</v>
      </c>
      <c r="Q100" s="10" t="s">
        <v>48</v>
      </c>
      <c r="R100" s="4" t="s">
        <v>1292</v>
      </c>
      <c r="S100" s="4" t="s">
        <v>1292</v>
      </c>
      <c r="T100" s="4" t="s">
        <v>19</v>
      </c>
      <c r="U100" s="4" t="str">
        <f t="shared" si="4"/>
        <v>NOT AN ADD-ON</v>
      </c>
      <c r="V100" s="4" t="str">
        <f t="shared" si="3"/>
        <v>LIFE SCIENCESLIFE SCIENCESAUTHORIZEDNOT AN ADD-ON</v>
      </c>
    </row>
    <row r="101" spans="1:22" ht="15" hidden="1" thickBot="1">
      <c r="A101" s="10" t="s">
        <v>21</v>
      </c>
      <c r="B101" s="10" t="s">
        <v>22</v>
      </c>
      <c r="C101" s="10" t="s">
        <v>500</v>
      </c>
      <c r="D101" s="10" t="s">
        <v>501</v>
      </c>
      <c r="E101" s="10" t="s">
        <v>502</v>
      </c>
      <c r="F101" s="10" t="s">
        <v>503</v>
      </c>
      <c r="G101" s="116">
        <v>712</v>
      </c>
      <c r="H101" s="163" t="s">
        <v>506</v>
      </c>
      <c r="I101" s="158" t="s">
        <v>508</v>
      </c>
      <c r="J101" s="163" t="s">
        <v>506</v>
      </c>
      <c r="K101" s="10" t="s">
        <v>30</v>
      </c>
      <c r="L101" s="10">
        <v>0</v>
      </c>
      <c r="M101" s="10">
        <f t="shared" ref="M101:M116" si="5">ROUND(IF(K101="Authorized User",L101/3,L101),2)</f>
        <v>0</v>
      </c>
      <c r="N101" s="15">
        <v>5</v>
      </c>
      <c r="O101" s="16">
        <v>1.67</v>
      </c>
      <c r="P101" s="116">
        <v>712</v>
      </c>
      <c r="Q101" s="10" t="s">
        <v>33</v>
      </c>
      <c r="R101" s="4" t="s">
        <v>1292</v>
      </c>
      <c r="S101" s="4" t="s">
        <v>1292</v>
      </c>
      <c r="T101" s="4" t="s">
        <v>19</v>
      </c>
      <c r="U101" s="4" t="s">
        <v>507</v>
      </c>
      <c r="V101" s="4" t="str">
        <f t="shared" si="3"/>
        <v>LIFE SCIENCESLIFE SCIENCESAUTHORIZEDADD-ON</v>
      </c>
    </row>
    <row r="102" spans="1:22" ht="29.25" hidden="1" customHeight="1" thickBot="1">
      <c r="A102" s="10" t="s">
        <v>21</v>
      </c>
      <c r="B102" s="10" t="s">
        <v>22</v>
      </c>
      <c r="C102" s="10" t="s">
        <v>500</v>
      </c>
      <c r="D102" s="10" t="s">
        <v>501</v>
      </c>
      <c r="E102" s="10" t="s">
        <v>502</v>
      </c>
      <c r="F102" s="10" t="s">
        <v>503</v>
      </c>
      <c r="G102" s="116">
        <v>427</v>
      </c>
      <c r="H102" s="163" t="s">
        <v>509</v>
      </c>
      <c r="I102" s="158" t="s">
        <v>510</v>
      </c>
      <c r="J102" s="163" t="s">
        <v>506</v>
      </c>
      <c r="K102" s="10" t="s">
        <v>30</v>
      </c>
      <c r="L102" s="10">
        <v>0</v>
      </c>
      <c r="M102" s="10">
        <f t="shared" si="5"/>
        <v>0</v>
      </c>
      <c r="N102" s="15">
        <v>5</v>
      </c>
      <c r="O102" s="16">
        <v>1.67</v>
      </c>
      <c r="P102" s="116">
        <v>712</v>
      </c>
      <c r="Q102" s="10" t="s">
        <v>36</v>
      </c>
      <c r="R102" s="4" t="s">
        <v>1292</v>
      </c>
      <c r="S102" s="4" t="s">
        <v>1292</v>
      </c>
      <c r="T102" s="4" t="s">
        <v>19</v>
      </c>
      <c r="U102" s="4" t="s">
        <v>507</v>
      </c>
      <c r="V102" s="4" t="str">
        <f t="shared" si="3"/>
        <v>LIFE SCIENCESLIFE SCIENCESAUTHORIZEDADD-ON</v>
      </c>
    </row>
    <row r="103" spans="1:22" ht="15" hidden="1" thickBot="1">
      <c r="A103" s="10" t="s">
        <v>21</v>
      </c>
      <c r="B103" s="10" t="s">
        <v>22</v>
      </c>
      <c r="C103" s="10" t="s">
        <v>500</v>
      </c>
      <c r="D103" s="10" t="s">
        <v>501</v>
      </c>
      <c r="E103" s="10" t="s">
        <v>502</v>
      </c>
      <c r="F103" s="10" t="s">
        <v>503</v>
      </c>
      <c r="G103" s="116">
        <v>6980</v>
      </c>
      <c r="H103" s="163" t="s">
        <v>573</v>
      </c>
      <c r="I103" s="158" t="s">
        <v>574</v>
      </c>
      <c r="J103" s="163" t="s">
        <v>573</v>
      </c>
      <c r="K103" s="10" t="s">
        <v>30</v>
      </c>
      <c r="L103" s="10">
        <v>3</v>
      </c>
      <c r="M103" s="10">
        <v>1</v>
      </c>
      <c r="N103" s="10">
        <v>3</v>
      </c>
      <c r="O103" s="12">
        <v>1</v>
      </c>
      <c r="P103" s="116">
        <v>6980</v>
      </c>
      <c r="Q103" s="10" t="s">
        <v>33</v>
      </c>
      <c r="R103" s="4" t="s">
        <v>1292</v>
      </c>
      <c r="S103" s="4" t="s">
        <v>1292</v>
      </c>
      <c r="T103" s="4" t="s">
        <v>19</v>
      </c>
      <c r="U103" s="4" t="str">
        <f>IF(ISNUMBER(SEARCH("ADD-ON",$I103)),"ADD-ON","NOT AN ADD-ON")</f>
        <v>NOT AN ADD-ON</v>
      </c>
      <c r="V103" s="4" t="str">
        <f t="shared" si="3"/>
        <v>LIFE SCIENCESLIFE SCIENCESAUTHORIZEDNOT AN ADD-ON</v>
      </c>
    </row>
    <row r="104" spans="1:22" ht="15" hidden="1" thickBot="1">
      <c r="A104" s="10" t="s">
        <v>21</v>
      </c>
      <c r="B104" s="10" t="s">
        <v>22</v>
      </c>
      <c r="C104" s="10" t="s">
        <v>500</v>
      </c>
      <c r="D104" s="10" t="s">
        <v>501</v>
      </c>
      <c r="E104" s="10" t="s">
        <v>502</v>
      </c>
      <c r="F104" s="10" t="s">
        <v>503</v>
      </c>
      <c r="G104" s="116">
        <v>4180</v>
      </c>
      <c r="H104" s="163" t="s">
        <v>575</v>
      </c>
      <c r="I104" s="158" t="s">
        <v>576</v>
      </c>
      <c r="J104" s="163" t="s">
        <v>573</v>
      </c>
      <c r="K104" s="10" t="s">
        <v>30</v>
      </c>
      <c r="L104" s="10">
        <v>3</v>
      </c>
      <c r="M104" s="10">
        <v>1</v>
      </c>
      <c r="N104" s="10">
        <v>3</v>
      </c>
      <c r="O104" s="12">
        <v>1</v>
      </c>
      <c r="P104" s="116">
        <v>6980</v>
      </c>
      <c r="Q104" s="10" t="s">
        <v>36</v>
      </c>
      <c r="R104" s="4" t="s">
        <v>1292</v>
      </c>
      <c r="S104" s="4" t="s">
        <v>1292</v>
      </c>
      <c r="T104" s="4" t="s">
        <v>19</v>
      </c>
      <c r="U104" s="4" t="str">
        <f>IF(ISNUMBER(SEARCH("ADD-ON",$I104)),"ADD-ON","NOT AN ADD-ON")</f>
        <v>NOT AN ADD-ON</v>
      </c>
      <c r="V104" s="4" t="str">
        <f t="shared" si="3"/>
        <v>LIFE SCIENCESLIFE SCIENCESAUTHORIZEDNOT AN ADD-ON</v>
      </c>
    </row>
    <row r="105" spans="1:22" ht="29.25" hidden="1" customHeight="1" thickBot="1">
      <c r="A105" s="10" t="s">
        <v>21</v>
      </c>
      <c r="B105" s="10" t="s">
        <v>22</v>
      </c>
      <c r="C105" s="10" t="s">
        <v>500</v>
      </c>
      <c r="D105" s="10" t="s">
        <v>501</v>
      </c>
      <c r="E105" s="10" t="s">
        <v>502</v>
      </c>
      <c r="F105" s="10" t="s">
        <v>503</v>
      </c>
      <c r="G105" s="116">
        <v>1920</v>
      </c>
      <c r="H105" s="163" t="s">
        <v>565</v>
      </c>
      <c r="I105" s="166" t="s">
        <v>566</v>
      </c>
      <c r="J105" s="163" t="s">
        <v>561</v>
      </c>
      <c r="K105" s="10" t="s">
        <v>30</v>
      </c>
      <c r="L105" s="10">
        <v>3</v>
      </c>
      <c r="M105" s="10">
        <v>1</v>
      </c>
      <c r="N105" s="10">
        <v>3</v>
      </c>
      <c r="O105" s="12">
        <v>1</v>
      </c>
      <c r="P105" s="116">
        <v>712</v>
      </c>
      <c r="Q105" s="10" t="s">
        <v>48</v>
      </c>
      <c r="R105" s="4" t="s">
        <v>1292</v>
      </c>
      <c r="S105" s="4" t="s">
        <v>1292</v>
      </c>
      <c r="T105" s="4" t="s">
        <v>19</v>
      </c>
      <c r="U105" s="4" t="str">
        <f>IF(ISNUMBER(SEARCH("ADD-ON",$I105)),"ADD-ON","NOT AN ADD-ON")</f>
        <v>NOT AN ADD-ON</v>
      </c>
      <c r="V105" s="4" t="str">
        <f t="shared" si="3"/>
        <v>LIFE SCIENCESLIFE SCIENCESAUTHORIZEDNOT AN ADD-ON</v>
      </c>
    </row>
    <row r="106" spans="1:22" ht="29.25" hidden="1" customHeight="1" thickBot="1">
      <c r="A106" s="10" t="s">
        <v>21</v>
      </c>
      <c r="B106" s="10" t="s">
        <v>22</v>
      </c>
      <c r="C106" s="10" t="s">
        <v>500</v>
      </c>
      <c r="D106" s="10" t="s">
        <v>501</v>
      </c>
      <c r="E106" s="10" t="s">
        <v>502</v>
      </c>
      <c r="F106" s="10" t="s">
        <v>503</v>
      </c>
      <c r="G106" s="116">
        <v>4710</v>
      </c>
      <c r="H106" s="163" t="s">
        <v>567</v>
      </c>
      <c r="I106" s="166" t="s">
        <v>568</v>
      </c>
      <c r="J106" s="163" t="s">
        <v>561</v>
      </c>
      <c r="K106" s="10" t="s">
        <v>30</v>
      </c>
      <c r="L106" s="10">
        <v>3</v>
      </c>
      <c r="M106" s="10">
        <v>1</v>
      </c>
      <c r="N106" s="10">
        <v>3</v>
      </c>
      <c r="O106" s="12">
        <v>1</v>
      </c>
      <c r="P106" s="116">
        <v>712</v>
      </c>
      <c r="Q106" s="10" t="s">
        <v>48</v>
      </c>
      <c r="R106" s="4" t="s">
        <v>1292</v>
      </c>
      <c r="S106" s="4" t="s">
        <v>1292</v>
      </c>
      <c r="T106" s="4" t="s">
        <v>19</v>
      </c>
      <c r="U106" s="4" t="str">
        <f>IF(ISNUMBER(SEARCH("ADD-ON",$I106)),"ADD-ON","NOT AN ADD-ON")</f>
        <v>NOT AN ADD-ON</v>
      </c>
      <c r="V106" s="4" t="str">
        <f t="shared" si="3"/>
        <v>LIFE SCIENCESLIFE SCIENCESAUTHORIZEDNOT AN ADD-ON</v>
      </c>
    </row>
    <row r="107" spans="1:22" ht="15" hidden="1" thickBot="1">
      <c r="A107" s="10" t="s">
        <v>21</v>
      </c>
      <c r="B107" s="10" t="s">
        <v>22</v>
      </c>
      <c r="C107" s="10" t="s">
        <v>500</v>
      </c>
      <c r="D107" s="10" t="s">
        <v>501</v>
      </c>
      <c r="E107" s="10" t="s">
        <v>502</v>
      </c>
      <c r="F107" s="10" t="s">
        <v>503</v>
      </c>
      <c r="G107" s="116">
        <v>712</v>
      </c>
      <c r="H107" s="163" t="s">
        <v>561</v>
      </c>
      <c r="I107" s="158" t="s">
        <v>562</v>
      </c>
      <c r="J107" s="163" t="s">
        <v>561</v>
      </c>
      <c r="K107" s="10" t="s">
        <v>30</v>
      </c>
      <c r="L107" s="10">
        <v>0</v>
      </c>
      <c r="M107" s="10">
        <f t="shared" si="5"/>
        <v>0</v>
      </c>
      <c r="N107" s="10">
        <v>5</v>
      </c>
      <c r="O107" s="12">
        <v>1.6666666666666667</v>
      </c>
      <c r="P107" s="116">
        <v>712</v>
      </c>
      <c r="Q107" s="10" t="s">
        <v>33</v>
      </c>
      <c r="R107" s="4" t="s">
        <v>1292</v>
      </c>
      <c r="S107" s="4" t="s">
        <v>1292</v>
      </c>
      <c r="T107" s="4" t="s">
        <v>19</v>
      </c>
      <c r="U107" s="4" t="s">
        <v>507</v>
      </c>
      <c r="V107" s="4" t="str">
        <f t="shared" si="3"/>
        <v>LIFE SCIENCESLIFE SCIENCESAUTHORIZEDADD-ON</v>
      </c>
    </row>
    <row r="108" spans="1:22" ht="29.25" hidden="1" customHeight="1" thickBot="1">
      <c r="A108" s="10" t="s">
        <v>21</v>
      </c>
      <c r="B108" s="10" t="s">
        <v>22</v>
      </c>
      <c r="C108" s="10" t="s">
        <v>500</v>
      </c>
      <c r="D108" s="10" t="s">
        <v>501</v>
      </c>
      <c r="E108" s="10" t="s">
        <v>502</v>
      </c>
      <c r="F108" s="10" t="s">
        <v>503</v>
      </c>
      <c r="G108" s="116">
        <v>427</v>
      </c>
      <c r="H108" s="163" t="s">
        <v>563</v>
      </c>
      <c r="I108" s="158" t="s">
        <v>564</v>
      </c>
      <c r="J108" s="163" t="s">
        <v>561</v>
      </c>
      <c r="K108" s="10" t="s">
        <v>30</v>
      </c>
      <c r="L108" s="10">
        <v>0</v>
      </c>
      <c r="M108" s="10">
        <f t="shared" si="5"/>
        <v>0</v>
      </c>
      <c r="N108" s="10">
        <v>5</v>
      </c>
      <c r="O108" s="12">
        <v>1.6666666666666667</v>
      </c>
      <c r="P108" s="116">
        <v>712</v>
      </c>
      <c r="Q108" s="10" t="s">
        <v>36</v>
      </c>
      <c r="R108" s="4" t="s">
        <v>1292</v>
      </c>
      <c r="S108" s="4" t="s">
        <v>1292</v>
      </c>
      <c r="T108" s="4" t="s">
        <v>19</v>
      </c>
      <c r="U108" s="4" t="s">
        <v>507</v>
      </c>
      <c r="V108" s="4" t="str">
        <f t="shared" si="3"/>
        <v>LIFE SCIENCESLIFE SCIENCESAUTHORIZEDADD-ON</v>
      </c>
    </row>
    <row r="109" spans="1:22" ht="15" hidden="1" thickBot="1">
      <c r="A109" s="10" t="s">
        <v>21</v>
      </c>
      <c r="B109" s="10" t="s">
        <v>22</v>
      </c>
      <c r="C109" s="10" t="s">
        <v>1044</v>
      </c>
      <c r="D109" s="10" t="s">
        <v>1045</v>
      </c>
      <c r="E109" s="10" t="s">
        <v>1046</v>
      </c>
      <c r="F109" s="10" t="s">
        <v>1047</v>
      </c>
      <c r="G109" s="116">
        <v>35700</v>
      </c>
      <c r="H109" s="163" t="s">
        <v>1085</v>
      </c>
      <c r="I109" s="158" t="s">
        <v>1086</v>
      </c>
      <c r="J109" s="163" t="s">
        <v>1085</v>
      </c>
      <c r="K109" s="10" t="s">
        <v>1079</v>
      </c>
      <c r="L109" s="10">
        <v>20</v>
      </c>
      <c r="M109" s="10">
        <f t="shared" si="5"/>
        <v>20</v>
      </c>
      <c r="N109" s="10">
        <v>20</v>
      </c>
      <c r="O109" s="12">
        <v>1</v>
      </c>
      <c r="P109" s="116">
        <v>35700</v>
      </c>
      <c r="Q109" s="10" t="s">
        <v>33</v>
      </c>
      <c r="R109" s="4" t="s">
        <v>1291</v>
      </c>
      <c r="S109" s="4" t="s">
        <v>507</v>
      </c>
      <c r="T109" s="4" t="s">
        <v>1384</v>
      </c>
      <c r="U109" s="4" t="str">
        <f t="shared" ref="U109:U172" si="6">IF(ISNUMBER(SEARCH("ADD-ON",$I109)),"ADD-ON","NOT AN ADD-ON")</f>
        <v>NOT AN ADD-ON</v>
      </c>
      <c r="V109" s="4" t="str">
        <f t="shared" si="3"/>
        <v>SPATIALADD-ONINSTALLNOT AN ADD-ON</v>
      </c>
    </row>
    <row r="110" spans="1:22" ht="29.25" hidden="1" customHeight="1" thickBot="1">
      <c r="A110" s="10" t="s">
        <v>21</v>
      </c>
      <c r="B110" s="10" t="s">
        <v>22</v>
      </c>
      <c r="C110" s="10" t="s">
        <v>1044</v>
      </c>
      <c r="D110" s="10" t="s">
        <v>1045</v>
      </c>
      <c r="E110" s="10" t="s">
        <v>1046</v>
      </c>
      <c r="F110" s="10" t="s">
        <v>1047</v>
      </c>
      <c r="G110" s="116">
        <v>21400</v>
      </c>
      <c r="H110" s="163" t="s">
        <v>1087</v>
      </c>
      <c r="I110" s="158" t="s">
        <v>1088</v>
      </c>
      <c r="J110" s="163" t="s">
        <v>1085</v>
      </c>
      <c r="K110" s="10" t="s">
        <v>1079</v>
      </c>
      <c r="L110" s="10">
        <v>20</v>
      </c>
      <c r="M110" s="10">
        <f t="shared" si="5"/>
        <v>20</v>
      </c>
      <c r="N110" s="10">
        <v>20</v>
      </c>
      <c r="O110" s="12">
        <v>1</v>
      </c>
      <c r="P110" s="116">
        <v>35700</v>
      </c>
      <c r="Q110" s="10" t="s">
        <v>36</v>
      </c>
      <c r="R110" s="4" t="s">
        <v>1291</v>
      </c>
      <c r="S110" s="4" t="s">
        <v>507</v>
      </c>
      <c r="T110" s="4" t="s">
        <v>1384</v>
      </c>
      <c r="U110" s="4" t="str">
        <f t="shared" si="6"/>
        <v>NOT AN ADD-ON</v>
      </c>
      <c r="V110" s="4" t="str">
        <f t="shared" si="3"/>
        <v>SPATIALADD-ONINSTALLNOT AN ADD-ON</v>
      </c>
    </row>
    <row r="111" spans="1:22" ht="29.25" hidden="1" customHeight="1" thickBot="1">
      <c r="A111" s="10" t="s">
        <v>21</v>
      </c>
      <c r="B111" s="10" t="s">
        <v>22</v>
      </c>
      <c r="C111" s="10" t="s">
        <v>1044</v>
      </c>
      <c r="D111" s="10" t="s">
        <v>1045</v>
      </c>
      <c r="E111" s="10" t="s">
        <v>1046</v>
      </c>
      <c r="F111" s="10" t="s">
        <v>1047</v>
      </c>
      <c r="G111" s="116">
        <v>215</v>
      </c>
      <c r="H111" s="163" t="s">
        <v>1050</v>
      </c>
      <c r="I111" s="158" t="s">
        <v>1051</v>
      </c>
      <c r="J111" s="163" t="s">
        <v>1050</v>
      </c>
      <c r="K111" s="10" t="s">
        <v>30</v>
      </c>
      <c r="L111" s="10">
        <v>0</v>
      </c>
      <c r="M111" s="10">
        <f t="shared" si="5"/>
        <v>0</v>
      </c>
      <c r="N111" s="10">
        <v>5</v>
      </c>
      <c r="O111" s="12">
        <v>1.6666666666666667</v>
      </c>
      <c r="P111" s="116">
        <v>215</v>
      </c>
      <c r="Q111" s="10" t="s">
        <v>33</v>
      </c>
      <c r="R111" s="4" t="s">
        <v>1291</v>
      </c>
      <c r="S111" s="4" t="s">
        <v>507</v>
      </c>
      <c r="T111" s="4" t="s">
        <v>19</v>
      </c>
      <c r="U111" s="4" t="str">
        <f t="shared" si="6"/>
        <v>NOT AN ADD-ON</v>
      </c>
      <c r="V111" s="4" t="str">
        <f t="shared" si="3"/>
        <v>SPATIALADD-ONAUTHORIZEDNOT AN ADD-ON</v>
      </c>
    </row>
    <row r="112" spans="1:22" ht="29.25" hidden="1" customHeight="1" thickBot="1">
      <c r="A112" s="10" t="s">
        <v>21</v>
      </c>
      <c r="B112" s="10" t="s">
        <v>22</v>
      </c>
      <c r="C112" s="10" t="s">
        <v>1044</v>
      </c>
      <c r="D112" s="10" t="s">
        <v>1045</v>
      </c>
      <c r="E112" s="10" t="s">
        <v>1046</v>
      </c>
      <c r="F112" s="10" t="s">
        <v>1047</v>
      </c>
      <c r="G112" s="116">
        <v>130</v>
      </c>
      <c r="H112" s="163" t="s">
        <v>1052</v>
      </c>
      <c r="I112" s="158" t="s">
        <v>1053</v>
      </c>
      <c r="J112" s="163" t="s">
        <v>1050</v>
      </c>
      <c r="K112" s="10" t="s">
        <v>30</v>
      </c>
      <c r="L112" s="10">
        <v>0</v>
      </c>
      <c r="M112" s="10">
        <f t="shared" si="5"/>
        <v>0</v>
      </c>
      <c r="N112" s="10">
        <v>5</v>
      </c>
      <c r="O112" s="12">
        <v>1.6666666666666667</v>
      </c>
      <c r="P112" s="116">
        <v>215</v>
      </c>
      <c r="Q112" s="10" t="s">
        <v>36</v>
      </c>
      <c r="R112" s="4" t="s">
        <v>1291</v>
      </c>
      <c r="S112" s="4" t="s">
        <v>507</v>
      </c>
      <c r="T112" s="4" t="s">
        <v>19</v>
      </c>
      <c r="U112" s="4" t="str">
        <f t="shared" si="6"/>
        <v>NOT AN ADD-ON</v>
      </c>
      <c r="V112" s="4" t="str">
        <f t="shared" si="3"/>
        <v>SPATIALADD-ONAUTHORIZEDNOT AN ADD-ON</v>
      </c>
    </row>
    <row r="113" spans="1:22" ht="15" hidden="1" thickBot="1">
      <c r="A113" s="10" t="s">
        <v>21</v>
      </c>
      <c r="B113" s="10" t="s">
        <v>22</v>
      </c>
      <c r="C113" s="10" t="s">
        <v>1044</v>
      </c>
      <c r="D113" s="10" t="s">
        <v>1045</v>
      </c>
      <c r="E113" s="10" t="s">
        <v>1046</v>
      </c>
      <c r="F113" s="10" t="s">
        <v>1047</v>
      </c>
      <c r="G113" s="116">
        <v>215</v>
      </c>
      <c r="H113" s="163" t="s">
        <v>1072</v>
      </c>
      <c r="I113" s="158" t="s">
        <v>1073</v>
      </c>
      <c r="J113" s="163" t="s">
        <v>1072</v>
      </c>
      <c r="K113" s="10" t="s">
        <v>30</v>
      </c>
      <c r="L113" s="10">
        <v>0</v>
      </c>
      <c r="M113" s="10">
        <f t="shared" si="5"/>
        <v>0</v>
      </c>
      <c r="N113" s="10">
        <v>5</v>
      </c>
      <c r="O113" s="12">
        <v>1.6666666666666667</v>
      </c>
      <c r="P113" s="116">
        <v>215</v>
      </c>
      <c r="Q113" s="10" t="s">
        <v>33</v>
      </c>
      <c r="R113" s="4" t="s">
        <v>1291</v>
      </c>
      <c r="S113" s="4" t="s">
        <v>507</v>
      </c>
      <c r="T113" s="4" t="s">
        <v>19</v>
      </c>
      <c r="U113" s="4" t="str">
        <f t="shared" si="6"/>
        <v>NOT AN ADD-ON</v>
      </c>
      <c r="V113" s="4" t="str">
        <f t="shared" si="3"/>
        <v>SPATIALADD-ONAUTHORIZEDNOT AN ADD-ON</v>
      </c>
    </row>
    <row r="114" spans="1:22" ht="29.25" hidden="1" customHeight="1" thickBot="1">
      <c r="A114" s="10" t="s">
        <v>21</v>
      </c>
      <c r="B114" s="10" t="s">
        <v>22</v>
      </c>
      <c r="C114" s="10" t="s">
        <v>1044</v>
      </c>
      <c r="D114" s="10" t="s">
        <v>1045</v>
      </c>
      <c r="E114" s="10" t="s">
        <v>1046</v>
      </c>
      <c r="F114" s="10" t="s">
        <v>1047</v>
      </c>
      <c r="G114" s="116">
        <v>130</v>
      </c>
      <c r="H114" s="163" t="s">
        <v>1074</v>
      </c>
      <c r="I114" s="158" t="s">
        <v>1075</v>
      </c>
      <c r="J114" s="163" t="s">
        <v>1072</v>
      </c>
      <c r="K114" s="10" t="s">
        <v>30</v>
      </c>
      <c r="L114" s="10">
        <v>0</v>
      </c>
      <c r="M114" s="10">
        <f t="shared" si="5"/>
        <v>0</v>
      </c>
      <c r="N114" s="10">
        <v>5</v>
      </c>
      <c r="O114" s="12">
        <v>1.6666666666666667</v>
      </c>
      <c r="P114" s="116">
        <v>215</v>
      </c>
      <c r="Q114" s="10" t="s">
        <v>36</v>
      </c>
      <c r="R114" s="4" t="s">
        <v>1291</v>
      </c>
      <c r="S114" s="4" t="s">
        <v>507</v>
      </c>
      <c r="T114" s="4" t="s">
        <v>19</v>
      </c>
      <c r="U114" s="4" t="str">
        <f t="shared" si="6"/>
        <v>NOT AN ADD-ON</v>
      </c>
      <c r="V114" s="4" t="str">
        <f t="shared" si="3"/>
        <v>SPATIALADD-ONAUTHORIZEDNOT AN ADD-ON</v>
      </c>
    </row>
    <row r="115" spans="1:22" ht="15" hidden="1" thickBot="1">
      <c r="A115" s="10" t="s">
        <v>21</v>
      </c>
      <c r="B115" s="10" t="s">
        <v>22</v>
      </c>
      <c r="C115" s="10" t="s">
        <v>1044</v>
      </c>
      <c r="D115" s="10" t="s">
        <v>1045</v>
      </c>
      <c r="E115" s="10" t="s">
        <v>1046</v>
      </c>
      <c r="F115" s="10" t="s">
        <v>1047</v>
      </c>
      <c r="G115" s="116">
        <v>35700</v>
      </c>
      <c r="H115" s="163" t="s">
        <v>1078</v>
      </c>
      <c r="I115" s="158" t="s">
        <v>1080</v>
      </c>
      <c r="J115" s="163" t="s">
        <v>1078</v>
      </c>
      <c r="K115" s="10" t="s">
        <v>1079</v>
      </c>
      <c r="L115" s="10">
        <v>20</v>
      </c>
      <c r="M115" s="10">
        <f t="shared" si="5"/>
        <v>20</v>
      </c>
      <c r="N115" s="10">
        <v>20</v>
      </c>
      <c r="O115" s="12">
        <v>1</v>
      </c>
      <c r="P115" s="116">
        <v>35700</v>
      </c>
      <c r="Q115" s="10" t="s">
        <v>33</v>
      </c>
      <c r="R115" s="4" t="s">
        <v>1291</v>
      </c>
      <c r="S115" s="4" t="s">
        <v>507</v>
      </c>
      <c r="T115" s="4" t="s">
        <v>1384</v>
      </c>
      <c r="U115" s="4" t="str">
        <f t="shared" si="6"/>
        <v>NOT AN ADD-ON</v>
      </c>
      <c r="V115" s="4" t="str">
        <f t="shared" si="3"/>
        <v>SPATIALADD-ONINSTALLNOT AN ADD-ON</v>
      </c>
    </row>
    <row r="116" spans="1:22" ht="29.25" hidden="1" customHeight="1" thickBot="1">
      <c r="A116" s="10" t="s">
        <v>21</v>
      </c>
      <c r="B116" s="10" t="s">
        <v>22</v>
      </c>
      <c r="C116" s="10" t="s">
        <v>1044</v>
      </c>
      <c r="D116" s="10" t="s">
        <v>1045</v>
      </c>
      <c r="E116" s="10" t="s">
        <v>1046</v>
      </c>
      <c r="F116" s="10" t="s">
        <v>1047</v>
      </c>
      <c r="G116" s="116">
        <v>21400</v>
      </c>
      <c r="H116" s="163" t="s">
        <v>1081</v>
      </c>
      <c r="I116" s="158" t="s">
        <v>1082</v>
      </c>
      <c r="J116" s="163" t="s">
        <v>1078</v>
      </c>
      <c r="K116" s="10" t="s">
        <v>1079</v>
      </c>
      <c r="L116" s="10">
        <v>20</v>
      </c>
      <c r="M116" s="10">
        <f t="shared" si="5"/>
        <v>20</v>
      </c>
      <c r="N116" s="10">
        <v>20</v>
      </c>
      <c r="O116" s="12">
        <v>1</v>
      </c>
      <c r="P116" s="116">
        <v>35700</v>
      </c>
      <c r="Q116" s="10" t="s">
        <v>36</v>
      </c>
      <c r="R116" s="4" t="s">
        <v>1291</v>
      </c>
      <c r="S116" s="4" t="s">
        <v>507</v>
      </c>
      <c r="T116" s="4" t="s">
        <v>1384</v>
      </c>
      <c r="U116" s="4" t="str">
        <f t="shared" si="6"/>
        <v>NOT AN ADD-ON</v>
      </c>
      <c r="V116" s="4" t="str">
        <f t="shared" si="3"/>
        <v>SPATIALADD-ONINSTALLNOT AN ADD-ON</v>
      </c>
    </row>
    <row r="117" spans="1:22" ht="27" hidden="1" thickBot="1">
      <c r="A117" s="10" t="s">
        <v>21</v>
      </c>
      <c r="B117" s="10" t="s">
        <v>22</v>
      </c>
      <c r="C117" s="10" t="s">
        <v>986</v>
      </c>
      <c r="D117" s="10" t="s">
        <v>141</v>
      </c>
      <c r="E117" s="10" t="s">
        <v>142</v>
      </c>
      <c r="F117" s="10" t="s">
        <v>143</v>
      </c>
      <c r="G117" s="116">
        <v>2680</v>
      </c>
      <c r="H117" s="163" t="s">
        <v>995</v>
      </c>
      <c r="I117" s="166" t="s">
        <v>996</v>
      </c>
      <c r="J117" s="163" t="s">
        <v>995</v>
      </c>
      <c r="K117" s="10" t="s">
        <v>30</v>
      </c>
      <c r="L117" s="10">
        <v>2</v>
      </c>
      <c r="M117" s="10">
        <v>1</v>
      </c>
      <c r="N117" s="10">
        <v>2</v>
      </c>
      <c r="O117" s="12">
        <v>1</v>
      </c>
      <c r="P117" s="116">
        <v>2680</v>
      </c>
      <c r="Q117" s="10" t="s">
        <v>33</v>
      </c>
      <c r="R117" s="4" t="s">
        <v>1293</v>
      </c>
      <c r="S117" s="4" t="s">
        <v>1383</v>
      </c>
      <c r="T117" s="4" t="s">
        <v>19</v>
      </c>
      <c r="U117" s="4" t="str">
        <f t="shared" si="6"/>
        <v>NOT AN ADD-ON</v>
      </c>
      <c r="V117" s="4" t="str">
        <f t="shared" si="3"/>
        <v>HEALTH SAFETY AND ENVIRONMENT MANAGERHSEAUTHORIZEDNOT AN ADD-ON</v>
      </c>
    </row>
    <row r="118" spans="1:22" ht="27" hidden="1" thickBot="1">
      <c r="A118" s="10" t="s">
        <v>21</v>
      </c>
      <c r="B118" s="10" t="s">
        <v>22</v>
      </c>
      <c r="C118" s="10" t="s">
        <v>986</v>
      </c>
      <c r="D118" s="10" t="s">
        <v>141</v>
      </c>
      <c r="E118" s="10" t="s">
        <v>142</v>
      </c>
      <c r="F118" s="10" t="s">
        <v>143</v>
      </c>
      <c r="G118" s="116">
        <v>1610</v>
      </c>
      <c r="H118" s="163" t="s">
        <v>997</v>
      </c>
      <c r="I118" s="166" t="s">
        <v>998</v>
      </c>
      <c r="J118" s="163" t="s">
        <v>995</v>
      </c>
      <c r="K118" s="10" t="s">
        <v>30</v>
      </c>
      <c r="L118" s="10">
        <v>2</v>
      </c>
      <c r="M118" s="10">
        <v>1</v>
      </c>
      <c r="N118" s="10">
        <v>2</v>
      </c>
      <c r="O118" s="12">
        <v>1</v>
      </c>
      <c r="P118" s="116">
        <v>2680</v>
      </c>
      <c r="Q118" s="10" t="s">
        <v>36</v>
      </c>
      <c r="R118" s="4" t="s">
        <v>1293</v>
      </c>
      <c r="S118" s="4" t="s">
        <v>1383</v>
      </c>
      <c r="T118" s="4" t="s">
        <v>19</v>
      </c>
      <c r="U118" s="4" t="str">
        <f t="shared" si="6"/>
        <v>NOT AN ADD-ON</v>
      </c>
      <c r="V118" s="4" t="str">
        <f t="shared" si="3"/>
        <v>HEALTH SAFETY AND ENVIRONMENT MANAGERHSEAUTHORIZEDNOT AN ADD-ON</v>
      </c>
    </row>
    <row r="119" spans="1:22" ht="29.25" hidden="1" customHeight="1" thickBot="1">
      <c r="A119" s="10" t="s">
        <v>21</v>
      </c>
      <c r="B119" s="10" t="s">
        <v>22</v>
      </c>
      <c r="C119" s="10" t="s">
        <v>986</v>
      </c>
      <c r="D119" s="10" t="s">
        <v>141</v>
      </c>
      <c r="E119" s="10" t="s">
        <v>142</v>
      </c>
      <c r="F119" s="10" t="s">
        <v>143</v>
      </c>
      <c r="G119" s="116">
        <v>2680</v>
      </c>
      <c r="H119" s="163" t="s">
        <v>1001</v>
      </c>
      <c r="I119" s="158" t="s">
        <v>1002</v>
      </c>
      <c r="J119" s="163" t="s">
        <v>1001</v>
      </c>
      <c r="K119" s="10" t="s">
        <v>30</v>
      </c>
      <c r="L119" s="10">
        <v>2</v>
      </c>
      <c r="M119" s="10">
        <v>1</v>
      </c>
      <c r="N119" s="10">
        <v>2</v>
      </c>
      <c r="O119" s="12">
        <v>1</v>
      </c>
      <c r="P119" s="116">
        <v>2680</v>
      </c>
      <c r="Q119" s="10" t="s">
        <v>33</v>
      </c>
      <c r="R119" s="4" t="s">
        <v>1293</v>
      </c>
      <c r="S119" s="4" t="s">
        <v>1383</v>
      </c>
      <c r="T119" s="4" t="s">
        <v>19</v>
      </c>
      <c r="U119" s="4" t="str">
        <f t="shared" si="6"/>
        <v>NOT AN ADD-ON</v>
      </c>
      <c r="V119" s="4" t="str">
        <f t="shared" si="3"/>
        <v>HEALTH SAFETY AND ENVIRONMENT MANAGERHSEAUTHORIZEDNOT AN ADD-ON</v>
      </c>
    </row>
    <row r="120" spans="1:22" ht="29.25" hidden="1" customHeight="1" thickBot="1">
      <c r="A120" s="10" t="s">
        <v>21</v>
      </c>
      <c r="B120" s="10" t="s">
        <v>22</v>
      </c>
      <c r="C120" s="10" t="s">
        <v>986</v>
      </c>
      <c r="D120" s="10" t="s">
        <v>141</v>
      </c>
      <c r="E120" s="10" t="s">
        <v>142</v>
      </c>
      <c r="F120" s="10" t="s">
        <v>143</v>
      </c>
      <c r="G120" s="116">
        <v>1610</v>
      </c>
      <c r="H120" s="163" t="s">
        <v>1003</v>
      </c>
      <c r="I120" s="158" t="s">
        <v>1004</v>
      </c>
      <c r="J120" s="163" t="s">
        <v>1001</v>
      </c>
      <c r="K120" s="10" t="s">
        <v>30</v>
      </c>
      <c r="L120" s="10">
        <v>2</v>
      </c>
      <c r="M120" s="10">
        <v>1</v>
      </c>
      <c r="N120" s="10">
        <v>2</v>
      </c>
      <c r="O120" s="12">
        <v>1</v>
      </c>
      <c r="P120" s="116">
        <v>2680</v>
      </c>
      <c r="Q120" s="10" t="s">
        <v>36</v>
      </c>
      <c r="R120" s="4" t="s">
        <v>1293</v>
      </c>
      <c r="S120" s="4" t="s">
        <v>1383</v>
      </c>
      <c r="T120" s="4" t="s">
        <v>19</v>
      </c>
      <c r="U120" s="4" t="str">
        <f t="shared" si="6"/>
        <v>NOT AN ADD-ON</v>
      </c>
      <c r="V120" s="4" t="str">
        <f t="shared" si="3"/>
        <v>HEALTH SAFETY AND ENVIRONMENT MANAGERHSEAUTHORIZEDNOT AN ADD-ON</v>
      </c>
    </row>
    <row r="121" spans="1:22" ht="15" hidden="1" thickBot="1">
      <c r="A121" s="10" t="s">
        <v>21</v>
      </c>
      <c r="B121" s="10" t="s">
        <v>22</v>
      </c>
      <c r="C121" s="10" t="s">
        <v>140</v>
      </c>
      <c r="D121" s="10" t="s">
        <v>141</v>
      </c>
      <c r="E121" s="10" t="s">
        <v>142</v>
      </c>
      <c r="F121" s="10" t="s">
        <v>143</v>
      </c>
      <c r="G121" s="116">
        <v>1190</v>
      </c>
      <c r="H121" s="163" t="s">
        <v>178</v>
      </c>
      <c r="I121" s="158" t="s">
        <v>179</v>
      </c>
      <c r="J121" s="163" t="s">
        <v>178</v>
      </c>
      <c r="K121" s="10" t="s">
        <v>30</v>
      </c>
      <c r="L121" s="10">
        <v>2</v>
      </c>
      <c r="M121" s="10">
        <v>1</v>
      </c>
      <c r="N121" s="10">
        <v>2</v>
      </c>
      <c r="O121" s="12">
        <v>1</v>
      </c>
      <c r="P121" s="116">
        <v>1190</v>
      </c>
      <c r="Q121" s="10" t="s">
        <v>33</v>
      </c>
      <c r="R121" s="4" t="s">
        <v>1278</v>
      </c>
      <c r="S121" s="4" t="s">
        <v>1278</v>
      </c>
      <c r="T121" s="4" t="s">
        <v>1381</v>
      </c>
      <c r="U121" s="4" t="str">
        <f t="shared" si="6"/>
        <v>NOT AN ADD-ON</v>
      </c>
      <c r="V121" s="4" t="str">
        <f t="shared" si="3"/>
        <v>ASSET MANAGEMENT (CORE)ASSET MANAGEMENT (CORE)EXPRESSNOT AN ADD-ON</v>
      </c>
    </row>
    <row r="122" spans="1:22" ht="15" hidden="1" thickBot="1">
      <c r="A122" s="10" t="s">
        <v>21</v>
      </c>
      <c r="B122" s="10" t="s">
        <v>22</v>
      </c>
      <c r="C122" s="10" t="s">
        <v>140</v>
      </c>
      <c r="D122" s="10" t="s">
        <v>141</v>
      </c>
      <c r="E122" s="10" t="s">
        <v>142</v>
      </c>
      <c r="F122" s="10" t="s">
        <v>143</v>
      </c>
      <c r="G122" s="116">
        <v>721</v>
      </c>
      <c r="H122" s="163" t="s">
        <v>180</v>
      </c>
      <c r="I122" s="158" t="s">
        <v>181</v>
      </c>
      <c r="J122" s="163" t="s">
        <v>178</v>
      </c>
      <c r="K122" s="10" t="s">
        <v>30</v>
      </c>
      <c r="L122" s="10">
        <v>2</v>
      </c>
      <c r="M122" s="10">
        <v>1</v>
      </c>
      <c r="N122" s="10">
        <v>2</v>
      </c>
      <c r="O122" s="12">
        <v>1</v>
      </c>
      <c r="P122" s="116">
        <v>1190</v>
      </c>
      <c r="Q122" s="10" t="s">
        <v>36</v>
      </c>
      <c r="R122" s="4" t="s">
        <v>1278</v>
      </c>
      <c r="S122" s="4" t="s">
        <v>1278</v>
      </c>
      <c r="T122" s="4" t="s">
        <v>1381</v>
      </c>
      <c r="U122" s="4" t="str">
        <f t="shared" si="6"/>
        <v>NOT AN ADD-ON</v>
      </c>
      <c r="V122" s="4" t="str">
        <f t="shared" si="3"/>
        <v>ASSET MANAGEMENT (CORE)ASSET MANAGEMENT (CORE)EXPRESSNOT AN ADD-ON</v>
      </c>
    </row>
    <row r="123" spans="1:22" ht="29.25" hidden="1" customHeight="1" thickBot="1">
      <c r="A123" s="10" t="s">
        <v>21</v>
      </c>
      <c r="B123" s="10" t="s">
        <v>22</v>
      </c>
      <c r="C123" s="10" t="s">
        <v>140</v>
      </c>
      <c r="D123" s="10" t="s">
        <v>141</v>
      </c>
      <c r="E123" s="10" t="s">
        <v>142</v>
      </c>
      <c r="F123" s="10" t="s">
        <v>143</v>
      </c>
      <c r="G123" s="116">
        <v>1190</v>
      </c>
      <c r="H123" s="163" t="s">
        <v>195</v>
      </c>
      <c r="I123" s="158" t="s">
        <v>196</v>
      </c>
      <c r="J123" s="163" t="s">
        <v>195</v>
      </c>
      <c r="K123" s="10" t="s">
        <v>30</v>
      </c>
      <c r="L123" s="10">
        <v>2</v>
      </c>
      <c r="M123" s="10">
        <v>1</v>
      </c>
      <c r="N123" s="10">
        <v>2</v>
      </c>
      <c r="O123" s="12">
        <v>1</v>
      </c>
      <c r="P123" s="116">
        <v>1190</v>
      </c>
      <c r="Q123" s="10" t="s">
        <v>33</v>
      </c>
      <c r="R123" s="4" t="s">
        <v>1278</v>
      </c>
      <c r="S123" s="4" t="s">
        <v>1278</v>
      </c>
      <c r="T123" s="4" t="s">
        <v>1381</v>
      </c>
      <c r="U123" s="4" t="str">
        <f t="shared" si="6"/>
        <v>NOT AN ADD-ON</v>
      </c>
      <c r="V123" s="4" t="str">
        <f t="shared" si="3"/>
        <v>ASSET MANAGEMENT (CORE)ASSET MANAGEMENT (CORE)EXPRESSNOT AN ADD-ON</v>
      </c>
    </row>
    <row r="124" spans="1:22" ht="15" hidden="1" thickBot="1">
      <c r="A124" s="10" t="s">
        <v>21</v>
      </c>
      <c r="B124" s="10" t="s">
        <v>22</v>
      </c>
      <c r="C124" s="10" t="s">
        <v>140</v>
      </c>
      <c r="D124" s="10" t="s">
        <v>141</v>
      </c>
      <c r="E124" s="10" t="s">
        <v>142</v>
      </c>
      <c r="F124" s="10" t="s">
        <v>143</v>
      </c>
      <c r="G124" s="116">
        <v>721</v>
      </c>
      <c r="H124" s="163" t="s">
        <v>197</v>
      </c>
      <c r="I124" s="158" t="s">
        <v>198</v>
      </c>
      <c r="J124" s="163" t="s">
        <v>195</v>
      </c>
      <c r="K124" s="10" t="s">
        <v>30</v>
      </c>
      <c r="L124" s="10">
        <v>2</v>
      </c>
      <c r="M124" s="10">
        <v>1</v>
      </c>
      <c r="N124" s="10">
        <v>2</v>
      </c>
      <c r="O124" s="12">
        <v>1</v>
      </c>
      <c r="P124" s="116">
        <v>1190</v>
      </c>
      <c r="Q124" s="10" t="s">
        <v>36</v>
      </c>
      <c r="R124" s="4" t="s">
        <v>1278</v>
      </c>
      <c r="S124" s="4" t="s">
        <v>1278</v>
      </c>
      <c r="T124" s="4" t="s">
        <v>1381</v>
      </c>
      <c r="U124" s="4" t="str">
        <f t="shared" si="6"/>
        <v>NOT AN ADD-ON</v>
      </c>
      <c r="V124" s="4" t="str">
        <f t="shared" si="3"/>
        <v>ASSET MANAGEMENT (CORE)ASSET MANAGEMENT (CORE)EXPRESSNOT AN ADD-ON</v>
      </c>
    </row>
    <row r="125" spans="1:22" ht="15" hidden="1" thickBot="1">
      <c r="A125" s="10" t="s">
        <v>21</v>
      </c>
      <c r="B125" s="10" t="s">
        <v>22</v>
      </c>
      <c r="C125" s="10" t="s">
        <v>593</v>
      </c>
      <c r="D125" s="10" t="s">
        <v>594</v>
      </c>
      <c r="E125" s="10" t="s">
        <v>595</v>
      </c>
      <c r="F125" s="10" t="s">
        <v>596</v>
      </c>
      <c r="G125" s="116">
        <v>3840</v>
      </c>
      <c r="H125" s="163" t="s">
        <v>671</v>
      </c>
      <c r="I125" s="158" t="s">
        <v>675</v>
      </c>
      <c r="J125" s="163" t="s">
        <v>671</v>
      </c>
      <c r="K125" s="10" t="s">
        <v>30</v>
      </c>
      <c r="L125" s="10">
        <v>2</v>
      </c>
      <c r="M125" s="10">
        <v>1</v>
      </c>
      <c r="N125" s="10">
        <v>2</v>
      </c>
      <c r="O125" s="12">
        <v>1</v>
      </c>
      <c r="P125" s="116">
        <v>3840</v>
      </c>
      <c r="Q125" s="10" t="s">
        <v>33</v>
      </c>
      <c r="R125" s="4" t="s">
        <v>1281</v>
      </c>
      <c r="S125" s="4" t="s">
        <v>1279</v>
      </c>
      <c r="T125" s="4" t="s">
        <v>672</v>
      </c>
      <c r="U125" s="4" t="str">
        <f t="shared" si="6"/>
        <v>NOT AN ADD-ON</v>
      </c>
      <c r="V125" s="4" t="str">
        <f t="shared" si="3"/>
        <v>NUCLEAR POWERINDUSTRY SOLUTIONLIMITEDNOT AN ADD-ON</v>
      </c>
    </row>
    <row r="126" spans="1:22" ht="29.25" hidden="1" customHeight="1" thickBot="1">
      <c r="A126" s="10" t="s">
        <v>21</v>
      </c>
      <c r="B126" s="10" t="s">
        <v>22</v>
      </c>
      <c r="C126" s="10" t="s">
        <v>593</v>
      </c>
      <c r="D126" s="10" t="s">
        <v>594</v>
      </c>
      <c r="E126" s="10" t="s">
        <v>595</v>
      </c>
      <c r="F126" s="10" t="s">
        <v>596</v>
      </c>
      <c r="G126" s="116">
        <v>2310</v>
      </c>
      <c r="H126" s="163" t="s">
        <v>676</v>
      </c>
      <c r="I126" s="158" t="s">
        <v>677</v>
      </c>
      <c r="J126" s="163" t="s">
        <v>671</v>
      </c>
      <c r="K126" s="10" t="s">
        <v>30</v>
      </c>
      <c r="L126" s="10">
        <v>2</v>
      </c>
      <c r="M126" s="10">
        <v>1</v>
      </c>
      <c r="N126" s="10">
        <v>2</v>
      </c>
      <c r="O126" s="12">
        <v>1</v>
      </c>
      <c r="P126" s="116">
        <v>3840</v>
      </c>
      <c r="Q126" s="10" t="s">
        <v>36</v>
      </c>
      <c r="R126" s="4" t="s">
        <v>1281</v>
      </c>
      <c r="S126" s="4" t="s">
        <v>1279</v>
      </c>
      <c r="T126" s="4" t="s">
        <v>672</v>
      </c>
      <c r="U126" s="4" t="str">
        <f t="shared" si="6"/>
        <v>NOT AN ADD-ON</v>
      </c>
      <c r="V126" s="4" t="str">
        <f t="shared" si="3"/>
        <v>NUCLEAR POWERINDUSTRY SOLUTIONLIMITEDNOT AN ADD-ON</v>
      </c>
    </row>
    <row r="127" spans="1:22" ht="27" hidden="1" thickBot="1">
      <c r="A127" s="10" t="s">
        <v>21</v>
      </c>
      <c r="B127" s="10" t="s">
        <v>22</v>
      </c>
      <c r="C127" s="10" t="s">
        <v>593</v>
      </c>
      <c r="D127" s="10" t="s">
        <v>594</v>
      </c>
      <c r="E127" s="10" t="s">
        <v>595</v>
      </c>
      <c r="F127" s="10" t="s">
        <v>596</v>
      </c>
      <c r="G127" s="116">
        <v>1330</v>
      </c>
      <c r="H127" s="163" t="s">
        <v>669</v>
      </c>
      <c r="I127" s="166" t="s">
        <v>670</v>
      </c>
      <c r="J127" s="163" t="s">
        <v>671</v>
      </c>
      <c r="K127" s="10" t="s">
        <v>30</v>
      </c>
      <c r="L127" s="10">
        <v>2</v>
      </c>
      <c r="M127" s="10">
        <v>1</v>
      </c>
      <c r="N127" s="10">
        <v>2</v>
      </c>
      <c r="O127" s="12">
        <v>1</v>
      </c>
      <c r="P127" s="116">
        <v>3840</v>
      </c>
      <c r="Q127" s="10" t="s">
        <v>48</v>
      </c>
      <c r="R127" s="4" t="s">
        <v>1281</v>
      </c>
      <c r="S127" s="4" t="s">
        <v>1279</v>
      </c>
      <c r="T127" s="4" t="s">
        <v>672</v>
      </c>
      <c r="U127" s="4" t="str">
        <f t="shared" si="6"/>
        <v>NOT AN ADD-ON</v>
      </c>
      <c r="V127" s="4" t="str">
        <f t="shared" si="3"/>
        <v>NUCLEAR POWERINDUSTRY SOLUTIONLIMITEDNOT AN ADD-ON</v>
      </c>
    </row>
    <row r="128" spans="1:22" ht="15" hidden="1" thickBot="1">
      <c r="A128" s="10" t="s">
        <v>21</v>
      </c>
      <c r="B128" s="10" t="s">
        <v>22</v>
      </c>
      <c r="C128" s="10" t="s">
        <v>593</v>
      </c>
      <c r="D128" s="10" t="s">
        <v>594</v>
      </c>
      <c r="E128" s="10" t="s">
        <v>595</v>
      </c>
      <c r="F128" s="10" t="s">
        <v>596</v>
      </c>
      <c r="G128" s="116">
        <v>3840</v>
      </c>
      <c r="H128" s="163" t="s">
        <v>680</v>
      </c>
      <c r="I128" s="158" t="s">
        <v>683</v>
      </c>
      <c r="J128" s="163" t="s">
        <v>680</v>
      </c>
      <c r="K128" s="10" t="s">
        <v>30</v>
      </c>
      <c r="L128" s="10">
        <v>2</v>
      </c>
      <c r="M128" s="10">
        <v>1</v>
      </c>
      <c r="N128" s="10">
        <v>2</v>
      </c>
      <c r="O128" s="12">
        <v>1</v>
      </c>
      <c r="P128" s="116">
        <v>3840</v>
      </c>
      <c r="Q128" s="10" t="s">
        <v>33</v>
      </c>
      <c r="R128" s="4" t="s">
        <v>1281</v>
      </c>
      <c r="S128" s="4" t="s">
        <v>1279</v>
      </c>
      <c r="T128" s="4" t="s">
        <v>672</v>
      </c>
      <c r="U128" s="4" t="str">
        <f t="shared" si="6"/>
        <v>NOT AN ADD-ON</v>
      </c>
      <c r="V128" s="4" t="str">
        <f t="shared" si="3"/>
        <v>NUCLEAR POWERINDUSTRY SOLUTIONLIMITEDNOT AN ADD-ON</v>
      </c>
    </row>
    <row r="129" spans="1:22" ht="15" hidden="1" thickBot="1">
      <c r="A129" s="10" t="s">
        <v>21</v>
      </c>
      <c r="B129" s="10" t="s">
        <v>22</v>
      </c>
      <c r="C129" s="10" t="s">
        <v>593</v>
      </c>
      <c r="D129" s="10" t="s">
        <v>594</v>
      </c>
      <c r="E129" s="10" t="s">
        <v>595</v>
      </c>
      <c r="F129" s="10" t="s">
        <v>596</v>
      </c>
      <c r="G129" s="116">
        <v>2310</v>
      </c>
      <c r="H129" s="163" t="s">
        <v>684</v>
      </c>
      <c r="I129" s="158" t="s">
        <v>685</v>
      </c>
      <c r="J129" s="163" t="s">
        <v>680</v>
      </c>
      <c r="K129" s="10" t="s">
        <v>30</v>
      </c>
      <c r="L129" s="10">
        <v>2</v>
      </c>
      <c r="M129" s="10">
        <v>1</v>
      </c>
      <c r="N129" s="10">
        <v>2</v>
      </c>
      <c r="O129" s="12">
        <v>1</v>
      </c>
      <c r="P129" s="116">
        <v>3840</v>
      </c>
      <c r="Q129" s="10" t="s">
        <v>36</v>
      </c>
      <c r="R129" s="4" t="s">
        <v>1281</v>
      </c>
      <c r="S129" s="4" t="s">
        <v>1279</v>
      </c>
      <c r="T129" s="4" t="s">
        <v>672</v>
      </c>
      <c r="U129" s="4" t="str">
        <f t="shared" si="6"/>
        <v>NOT AN ADD-ON</v>
      </c>
      <c r="V129" s="4" t="str">
        <f t="shared" si="3"/>
        <v>NUCLEAR POWERINDUSTRY SOLUTIONLIMITEDNOT AN ADD-ON</v>
      </c>
    </row>
    <row r="130" spans="1:22" ht="29.25" hidden="1" customHeight="1" thickBot="1">
      <c r="A130" s="10" t="s">
        <v>21</v>
      </c>
      <c r="B130" s="10" t="s">
        <v>22</v>
      </c>
      <c r="C130" s="10" t="s">
        <v>593</v>
      </c>
      <c r="D130" s="10" t="s">
        <v>594</v>
      </c>
      <c r="E130" s="10" t="s">
        <v>595</v>
      </c>
      <c r="F130" s="10" t="s">
        <v>596</v>
      </c>
      <c r="G130" s="116">
        <v>1330</v>
      </c>
      <c r="H130" s="163" t="s">
        <v>678</v>
      </c>
      <c r="I130" s="166" t="s">
        <v>679</v>
      </c>
      <c r="J130" s="163" t="s">
        <v>680</v>
      </c>
      <c r="K130" s="10" t="s">
        <v>30</v>
      </c>
      <c r="L130" s="10">
        <v>2</v>
      </c>
      <c r="M130" s="10">
        <v>1</v>
      </c>
      <c r="N130" s="10">
        <v>2</v>
      </c>
      <c r="O130" s="12">
        <v>1</v>
      </c>
      <c r="P130" s="116">
        <v>3840</v>
      </c>
      <c r="Q130" s="10" t="s">
        <v>48</v>
      </c>
      <c r="R130" s="4" t="s">
        <v>1281</v>
      </c>
      <c r="S130" s="4" t="s">
        <v>1279</v>
      </c>
      <c r="T130" s="4" t="s">
        <v>672</v>
      </c>
      <c r="U130" s="4" t="str">
        <f t="shared" si="6"/>
        <v>NOT AN ADD-ON</v>
      </c>
      <c r="V130" s="4" t="str">
        <f t="shared" si="3"/>
        <v>NUCLEAR POWERINDUSTRY SOLUTIONLIMITEDNOT AN ADD-ON</v>
      </c>
    </row>
    <row r="131" spans="1:22" ht="15" hidden="1" thickBot="1">
      <c r="A131" s="10" t="s">
        <v>21</v>
      </c>
      <c r="B131" s="10" t="s">
        <v>22</v>
      </c>
      <c r="C131" s="10" t="s">
        <v>686</v>
      </c>
      <c r="D131" s="10" t="s">
        <v>687</v>
      </c>
      <c r="E131" s="10" t="s">
        <v>688</v>
      </c>
      <c r="F131" s="10" t="s">
        <v>689</v>
      </c>
      <c r="G131" s="116">
        <v>3840</v>
      </c>
      <c r="H131" s="163" t="s">
        <v>764</v>
      </c>
      <c r="I131" s="158" t="s">
        <v>767</v>
      </c>
      <c r="J131" s="163" t="s">
        <v>764</v>
      </c>
      <c r="K131" s="10" t="s">
        <v>30</v>
      </c>
      <c r="L131" s="10">
        <v>2</v>
      </c>
      <c r="M131" s="10">
        <v>1</v>
      </c>
      <c r="N131" s="10">
        <v>2</v>
      </c>
      <c r="O131" s="12">
        <v>1</v>
      </c>
      <c r="P131" s="116">
        <v>3840</v>
      </c>
      <c r="Q131" s="10" t="s">
        <v>33</v>
      </c>
      <c r="R131" s="4" t="s">
        <v>1282</v>
      </c>
      <c r="S131" s="4" t="s">
        <v>1279</v>
      </c>
      <c r="T131" s="4" t="s">
        <v>672</v>
      </c>
      <c r="U131" s="4" t="str">
        <f t="shared" si="6"/>
        <v>NOT AN ADD-ON</v>
      </c>
      <c r="V131" s="4" t="str">
        <f t="shared" ref="V131:V194" si="7">CONCATENATE(R131,S131,T131,U131)</f>
        <v>OIL AND GASINDUSTRY SOLUTIONLIMITEDNOT AN ADD-ON</v>
      </c>
    </row>
    <row r="132" spans="1:22" ht="15" hidden="1" thickBot="1">
      <c r="A132" s="10" t="s">
        <v>21</v>
      </c>
      <c r="B132" s="10" t="s">
        <v>22</v>
      </c>
      <c r="C132" s="10" t="s">
        <v>686</v>
      </c>
      <c r="D132" s="10" t="s">
        <v>687</v>
      </c>
      <c r="E132" s="10" t="s">
        <v>688</v>
      </c>
      <c r="F132" s="10" t="s">
        <v>689</v>
      </c>
      <c r="G132" s="116">
        <v>2310</v>
      </c>
      <c r="H132" s="163" t="s">
        <v>768</v>
      </c>
      <c r="I132" s="158" t="s">
        <v>769</v>
      </c>
      <c r="J132" s="163" t="s">
        <v>764</v>
      </c>
      <c r="K132" s="10" t="s">
        <v>30</v>
      </c>
      <c r="L132" s="10">
        <v>2</v>
      </c>
      <c r="M132" s="10">
        <v>1</v>
      </c>
      <c r="N132" s="10">
        <v>2</v>
      </c>
      <c r="O132" s="12">
        <v>1</v>
      </c>
      <c r="P132" s="116">
        <v>3840</v>
      </c>
      <c r="Q132" s="10" t="s">
        <v>36</v>
      </c>
      <c r="R132" s="4" t="s">
        <v>1282</v>
      </c>
      <c r="S132" s="4" t="s">
        <v>1279</v>
      </c>
      <c r="T132" s="4" t="s">
        <v>672</v>
      </c>
      <c r="U132" s="4" t="str">
        <f t="shared" si="6"/>
        <v>NOT AN ADD-ON</v>
      </c>
      <c r="V132" s="4" t="str">
        <f t="shared" si="7"/>
        <v>OIL AND GASINDUSTRY SOLUTIONLIMITEDNOT AN ADD-ON</v>
      </c>
    </row>
    <row r="133" spans="1:22" ht="29.25" hidden="1" customHeight="1" thickBot="1">
      <c r="A133" s="10" t="s">
        <v>21</v>
      </c>
      <c r="B133" s="10" t="s">
        <v>22</v>
      </c>
      <c r="C133" s="10" t="s">
        <v>686</v>
      </c>
      <c r="D133" s="10" t="s">
        <v>687</v>
      </c>
      <c r="E133" s="10" t="s">
        <v>688</v>
      </c>
      <c r="F133" s="10" t="s">
        <v>689</v>
      </c>
      <c r="G133" s="116">
        <v>1330</v>
      </c>
      <c r="H133" s="163" t="s">
        <v>762</v>
      </c>
      <c r="I133" s="166" t="s">
        <v>763</v>
      </c>
      <c r="J133" s="163" t="s">
        <v>764</v>
      </c>
      <c r="K133" s="10" t="s">
        <v>30</v>
      </c>
      <c r="L133" s="10">
        <v>2</v>
      </c>
      <c r="M133" s="10">
        <v>1</v>
      </c>
      <c r="N133" s="10">
        <v>2</v>
      </c>
      <c r="O133" s="12">
        <v>1</v>
      </c>
      <c r="P133" s="116">
        <v>3840</v>
      </c>
      <c r="Q133" s="10" t="s">
        <v>48</v>
      </c>
      <c r="R133" s="4" t="s">
        <v>1282</v>
      </c>
      <c r="S133" s="4" t="s">
        <v>1279</v>
      </c>
      <c r="T133" s="4" t="s">
        <v>672</v>
      </c>
      <c r="U133" s="4" t="str">
        <f t="shared" si="6"/>
        <v>NOT AN ADD-ON</v>
      </c>
      <c r="V133" s="4" t="str">
        <f t="shared" si="7"/>
        <v>OIL AND GASINDUSTRY SOLUTIONLIMITEDNOT AN ADD-ON</v>
      </c>
    </row>
    <row r="134" spans="1:22" ht="15" hidden="1" thickBot="1">
      <c r="A134" s="10" t="s">
        <v>21</v>
      </c>
      <c r="B134" s="10" t="s">
        <v>22</v>
      </c>
      <c r="C134" s="10" t="s">
        <v>686</v>
      </c>
      <c r="D134" s="10" t="s">
        <v>687</v>
      </c>
      <c r="E134" s="10" t="s">
        <v>688</v>
      </c>
      <c r="F134" s="10" t="s">
        <v>689</v>
      </c>
      <c r="G134" s="116">
        <v>3840</v>
      </c>
      <c r="H134" s="163" t="s">
        <v>772</v>
      </c>
      <c r="I134" s="158" t="s">
        <v>775</v>
      </c>
      <c r="J134" s="163" t="s">
        <v>772</v>
      </c>
      <c r="K134" s="10" t="s">
        <v>30</v>
      </c>
      <c r="L134" s="10">
        <v>2</v>
      </c>
      <c r="M134" s="10">
        <v>1</v>
      </c>
      <c r="N134" s="10">
        <v>2</v>
      </c>
      <c r="O134" s="12">
        <v>1</v>
      </c>
      <c r="P134" s="116">
        <v>3840</v>
      </c>
      <c r="Q134" s="10" t="s">
        <v>33</v>
      </c>
      <c r="R134" s="4" t="s">
        <v>1282</v>
      </c>
      <c r="S134" s="4" t="s">
        <v>1279</v>
      </c>
      <c r="T134" s="4" t="s">
        <v>672</v>
      </c>
      <c r="U134" s="4" t="str">
        <f t="shared" si="6"/>
        <v>NOT AN ADD-ON</v>
      </c>
      <c r="V134" s="4" t="str">
        <f t="shared" si="7"/>
        <v>OIL AND GASINDUSTRY SOLUTIONLIMITEDNOT AN ADD-ON</v>
      </c>
    </row>
    <row r="135" spans="1:22" ht="29.25" hidden="1" customHeight="1" thickBot="1">
      <c r="A135" s="10" t="s">
        <v>21</v>
      </c>
      <c r="B135" s="10" t="s">
        <v>22</v>
      </c>
      <c r="C135" s="10" t="s">
        <v>686</v>
      </c>
      <c r="D135" s="10" t="s">
        <v>687</v>
      </c>
      <c r="E135" s="10" t="s">
        <v>688</v>
      </c>
      <c r="F135" s="10" t="s">
        <v>689</v>
      </c>
      <c r="G135" s="116">
        <v>2310</v>
      </c>
      <c r="H135" s="163" t="s">
        <v>776</v>
      </c>
      <c r="I135" s="158" t="s">
        <v>777</v>
      </c>
      <c r="J135" s="163" t="s">
        <v>772</v>
      </c>
      <c r="K135" s="10" t="s">
        <v>30</v>
      </c>
      <c r="L135" s="10">
        <v>2</v>
      </c>
      <c r="M135" s="10">
        <v>1</v>
      </c>
      <c r="N135" s="10">
        <v>2</v>
      </c>
      <c r="O135" s="12">
        <v>1</v>
      </c>
      <c r="P135" s="116">
        <v>3840</v>
      </c>
      <c r="Q135" s="10" t="s">
        <v>36</v>
      </c>
      <c r="R135" s="4" t="s">
        <v>1282</v>
      </c>
      <c r="S135" s="4" t="s">
        <v>1279</v>
      </c>
      <c r="T135" s="4" t="s">
        <v>672</v>
      </c>
      <c r="U135" s="4" t="str">
        <f t="shared" si="6"/>
        <v>NOT AN ADD-ON</v>
      </c>
      <c r="V135" s="4" t="str">
        <f t="shared" si="7"/>
        <v>OIL AND GASINDUSTRY SOLUTIONLIMITEDNOT AN ADD-ON</v>
      </c>
    </row>
    <row r="136" spans="1:22" ht="27" hidden="1" thickBot="1">
      <c r="A136" s="10" t="s">
        <v>21</v>
      </c>
      <c r="B136" s="10" t="s">
        <v>22</v>
      </c>
      <c r="C136" s="10" t="s">
        <v>686</v>
      </c>
      <c r="D136" s="10" t="s">
        <v>687</v>
      </c>
      <c r="E136" s="10" t="s">
        <v>688</v>
      </c>
      <c r="F136" s="10" t="s">
        <v>689</v>
      </c>
      <c r="G136" s="116">
        <v>1330</v>
      </c>
      <c r="H136" s="163" t="s">
        <v>770</v>
      </c>
      <c r="I136" s="166" t="s">
        <v>771</v>
      </c>
      <c r="J136" s="163" t="s">
        <v>772</v>
      </c>
      <c r="K136" s="10" t="s">
        <v>30</v>
      </c>
      <c r="L136" s="10">
        <v>2</v>
      </c>
      <c r="M136" s="10">
        <v>1</v>
      </c>
      <c r="N136" s="10">
        <v>2</v>
      </c>
      <c r="O136" s="12">
        <v>1</v>
      </c>
      <c r="P136" s="116">
        <v>3840</v>
      </c>
      <c r="Q136" s="10" t="s">
        <v>48</v>
      </c>
      <c r="R136" s="4" t="s">
        <v>1282</v>
      </c>
      <c r="S136" s="4" t="s">
        <v>1279</v>
      </c>
      <c r="T136" s="4" t="s">
        <v>672</v>
      </c>
      <c r="U136" s="4" t="str">
        <f t="shared" si="6"/>
        <v>NOT AN ADD-ON</v>
      </c>
      <c r="V136" s="4" t="str">
        <f t="shared" si="7"/>
        <v>OIL AND GASINDUSTRY SOLUTIONLIMITEDNOT AN ADD-ON</v>
      </c>
    </row>
    <row r="137" spans="1:22" ht="29.25" hidden="1" customHeight="1" thickBot="1">
      <c r="A137" s="10" t="s">
        <v>21</v>
      </c>
      <c r="B137" s="10" t="s">
        <v>22</v>
      </c>
      <c r="C137" s="10" t="s">
        <v>778</v>
      </c>
      <c r="D137" s="10" t="s">
        <v>779</v>
      </c>
      <c r="E137" s="10" t="s">
        <v>780</v>
      </c>
      <c r="F137" s="10" t="s">
        <v>781</v>
      </c>
      <c r="G137" s="116">
        <v>3840</v>
      </c>
      <c r="H137" s="163" t="s">
        <v>856</v>
      </c>
      <c r="I137" s="158" t="s">
        <v>859</v>
      </c>
      <c r="J137" s="163" t="s">
        <v>856</v>
      </c>
      <c r="K137" s="10" t="s">
        <v>30</v>
      </c>
      <c r="L137" s="10">
        <v>2</v>
      </c>
      <c r="M137" s="10">
        <v>1</v>
      </c>
      <c r="N137" s="10">
        <v>2</v>
      </c>
      <c r="O137" s="12">
        <v>1</v>
      </c>
      <c r="P137" s="116">
        <v>3840</v>
      </c>
      <c r="Q137" s="10" t="s">
        <v>33</v>
      </c>
      <c r="R137" s="4" t="s">
        <v>1283</v>
      </c>
      <c r="S137" s="4" t="s">
        <v>1279</v>
      </c>
      <c r="T137" s="4" t="s">
        <v>672</v>
      </c>
      <c r="U137" s="4" t="str">
        <f t="shared" si="6"/>
        <v>NOT AN ADD-ON</v>
      </c>
      <c r="V137" s="4" t="str">
        <f t="shared" si="7"/>
        <v>TRANSPORATIONINDUSTRY SOLUTIONLIMITEDNOT AN ADD-ON</v>
      </c>
    </row>
    <row r="138" spans="1:22" ht="15" hidden="1" thickBot="1">
      <c r="A138" s="10" t="s">
        <v>21</v>
      </c>
      <c r="B138" s="10" t="s">
        <v>22</v>
      </c>
      <c r="C138" s="10" t="s">
        <v>778</v>
      </c>
      <c r="D138" s="10" t="s">
        <v>779</v>
      </c>
      <c r="E138" s="10" t="s">
        <v>780</v>
      </c>
      <c r="F138" s="10" t="s">
        <v>781</v>
      </c>
      <c r="G138" s="116">
        <v>2310</v>
      </c>
      <c r="H138" s="163" t="s">
        <v>860</v>
      </c>
      <c r="I138" s="158" t="s">
        <v>861</v>
      </c>
      <c r="J138" s="163" t="s">
        <v>856</v>
      </c>
      <c r="K138" s="10" t="s">
        <v>30</v>
      </c>
      <c r="L138" s="10">
        <v>2</v>
      </c>
      <c r="M138" s="10">
        <v>1</v>
      </c>
      <c r="N138" s="10">
        <v>2</v>
      </c>
      <c r="O138" s="12">
        <v>1</v>
      </c>
      <c r="P138" s="116">
        <v>3840</v>
      </c>
      <c r="Q138" s="10" t="s">
        <v>36</v>
      </c>
      <c r="R138" s="4" t="s">
        <v>1283</v>
      </c>
      <c r="S138" s="4" t="s">
        <v>1279</v>
      </c>
      <c r="T138" s="4" t="s">
        <v>672</v>
      </c>
      <c r="U138" s="4" t="str">
        <f t="shared" si="6"/>
        <v>NOT AN ADD-ON</v>
      </c>
      <c r="V138" s="4" t="str">
        <f t="shared" si="7"/>
        <v>TRANSPORATIONINDUSTRY SOLUTIONLIMITEDNOT AN ADD-ON</v>
      </c>
    </row>
    <row r="139" spans="1:22" ht="27" hidden="1" thickBot="1">
      <c r="A139" s="10" t="s">
        <v>21</v>
      </c>
      <c r="B139" s="10" t="s">
        <v>22</v>
      </c>
      <c r="C139" s="10" t="s">
        <v>778</v>
      </c>
      <c r="D139" s="10" t="s">
        <v>779</v>
      </c>
      <c r="E139" s="10" t="s">
        <v>780</v>
      </c>
      <c r="F139" s="10" t="s">
        <v>781</v>
      </c>
      <c r="G139" s="116">
        <v>1330</v>
      </c>
      <c r="H139" s="163" t="s">
        <v>854</v>
      </c>
      <c r="I139" s="166" t="s">
        <v>855</v>
      </c>
      <c r="J139" s="163" t="s">
        <v>856</v>
      </c>
      <c r="K139" s="10" t="s">
        <v>30</v>
      </c>
      <c r="L139" s="10">
        <v>5</v>
      </c>
      <c r="M139" s="10">
        <v>1</v>
      </c>
      <c r="N139" s="10">
        <v>5</v>
      </c>
      <c r="O139" s="12">
        <v>1</v>
      </c>
      <c r="P139" s="116">
        <v>3840</v>
      </c>
      <c r="Q139" s="10" t="s">
        <v>48</v>
      </c>
      <c r="R139" s="4" t="s">
        <v>1283</v>
      </c>
      <c r="S139" s="4" t="s">
        <v>1279</v>
      </c>
      <c r="T139" s="4" t="s">
        <v>19</v>
      </c>
      <c r="U139" s="4" t="str">
        <f t="shared" si="6"/>
        <v>NOT AN ADD-ON</v>
      </c>
      <c r="V139" s="4" t="str">
        <f t="shared" si="7"/>
        <v>TRANSPORATIONINDUSTRY SOLUTIONAUTHORIZEDNOT AN ADD-ON</v>
      </c>
    </row>
    <row r="140" spans="1:22" ht="29.25" hidden="1" customHeight="1" thickTop="1" thickBot="1">
      <c r="A140" s="13" t="s">
        <v>21</v>
      </c>
      <c r="B140" s="13" t="s">
        <v>22</v>
      </c>
      <c r="C140" s="13" t="s">
        <v>778</v>
      </c>
      <c r="D140" s="13" t="s">
        <v>779</v>
      </c>
      <c r="E140" s="13" t="s">
        <v>780</v>
      </c>
      <c r="F140" s="13" t="s">
        <v>781</v>
      </c>
      <c r="G140" s="247">
        <v>3840</v>
      </c>
      <c r="H140" s="164" t="s">
        <v>864</v>
      </c>
      <c r="I140" s="159" t="s">
        <v>867</v>
      </c>
      <c r="J140" s="163" t="s">
        <v>864</v>
      </c>
      <c r="K140" s="13" t="s">
        <v>30</v>
      </c>
      <c r="L140" s="10">
        <v>2</v>
      </c>
      <c r="M140" s="10">
        <v>1</v>
      </c>
      <c r="N140" s="10">
        <v>2</v>
      </c>
      <c r="O140" s="12">
        <v>1</v>
      </c>
      <c r="P140" s="247">
        <v>3840</v>
      </c>
      <c r="Q140" s="13" t="s">
        <v>33</v>
      </c>
      <c r="R140" s="4" t="s">
        <v>1283</v>
      </c>
      <c r="S140" s="4" t="s">
        <v>1279</v>
      </c>
      <c r="T140" s="4" t="s">
        <v>672</v>
      </c>
      <c r="U140" s="4" t="str">
        <f t="shared" si="6"/>
        <v>NOT AN ADD-ON</v>
      </c>
      <c r="V140" s="4" t="str">
        <f t="shared" si="7"/>
        <v>TRANSPORATIONINDUSTRY SOLUTIONLIMITEDNOT AN ADD-ON</v>
      </c>
    </row>
    <row r="141" spans="1:22" ht="28" hidden="1" thickTop="1" thickBot="1">
      <c r="A141" s="10" t="s">
        <v>21</v>
      </c>
      <c r="B141" s="10" t="s">
        <v>22</v>
      </c>
      <c r="C141" s="10" t="s">
        <v>778</v>
      </c>
      <c r="D141" s="10" t="s">
        <v>779</v>
      </c>
      <c r="E141" s="10" t="s">
        <v>780</v>
      </c>
      <c r="F141" s="10" t="s">
        <v>781</v>
      </c>
      <c r="G141" s="116">
        <v>2310</v>
      </c>
      <c r="H141" s="163" t="s">
        <v>868</v>
      </c>
      <c r="I141" s="166" t="s">
        <v>869</v>
      </c>
      <c r="J141" s="163" t="s">
        <v>864</v>
      </c>
      <c r="K141" s="10" t="s">
        <v>30</v>
      </c>
      <c r="L141" s="10">
        <v>2</v>
      </c>
      <c r="M141" s="10">
        <v>1</v>
      </c>
      <c r="N141" s="10">
        <v>2</v>
      </c>
      <c r="O141" s="12">
        <v>1</v>
      </c>
      <c r="P141" s="247">
        <v>3840</v>
      </c>
      <c r="Q141" s="10" t="s">
        <v>36</v>
      </c>
      <c r="R141" s="4" t="s">
        <v>1283</v>
      </c>
      <c r="S141" s="4" t="s">
        <v>1279</v>
      </c>
      <c r="T141" s="4" t="s">
        <v>672</v>
      </c>
      <c r="U141" s="4" t="str">
        <f t="shared" si="6"/>
        <v>NOT AN ADD-ON</v>
      </c>
      <c r="V141" s="4" t="str">
        <f t="shared" si="7"/>
        <v>TRANSPORATIONINDUSTRY SOLUTIONLIMITEDNOT AN ADD-ON</v>
      </c>
    </row>
    <row r="142" spans="1:22" ht="29.25" hidden="1" customHeight="1" thickTop="1" thickBot="1">
      <c r="A142" s="10" t="s">
        <v>21</v>
      </c>
      <c r="B142" s="10" t="s">
        <v>22</v>
      </c>
      <c r="C142" s="10" t="s">
        <v>778</v>
      </c>
      <c r="D142" s="10" t="s">
        <v>779</v>
      </c>
      <c r="E142" s="10" t="s">
        <v>780</v>
      </c>
      <c r="F142" s="10" t="s">
        <v>781</v>
      </c>
      <c r="G142" s="116">
        <v>1330</v>
      </c>
      <c r="H142" s="163" t="s">
        <v>862</v>
      </c>
      <c r="I142" s="166" t="s">
        <v>863</v>
      </c>
      <c r="J142" s="163" t="s">
        <v>864</v>
      </c>
      <c r="K142" s="10" t="s">
        <v>30</v>
      </c>
      <c r="L142" s="10">
        <v>2</v>
      </c>
      <c r="M142" s="10">
        <v>1</v>
      </c>
      <c r="N142" s="10">
        <v>2</v>
      </c>
      <c r="O142" s="12">
        <v>1</v>
      </c>
      <c r="P142" s="247">
        <v>3840</v>
      </c>
      <c r="Q142" s="10" t="s">
        <v>48</v>
      </c>
      <c r="R142" s="4" t="s">
        <v>1283</v>
      </c>
      <c r="S142" s="4" t="s">
        <v>1279</v>
      </c>
      <c r="T142" s="4" t="s">
        <v>672</v>
      </c>
      <c r="U142" s="4" t="str">
        <f t="shared" si="6"/>
        <v>NOT AN ADD-ON</v>
      </c>
      <c r="V142" s="4" t="str">
        <f t="shared" si="7"/>
        <v>TRANSPORATIONINDUSTRY SOLUTIONLIMITEDNOT AN ADD-ON</v>
      </c>
    </row>
    <row r="143" spans="1:22" ht="15" hidden="1" thickBot="1">
      <c r="A143" s="10" t="s">
        <v>21</v>
      </c>
      <c r="B143" s="10" t="s">
        <v>22</v>
      </c>
      <c r="C143" s="10" t="s">
        <v>870</v>
      </c>
      <c r="D143" s="10" t="s">
        <v>871</v>
      </c>
      <c r="E143" s="10" t="s">
        <v>872</v>
      </c>
      <c r="F143" s="10" t="s">
        <v>873</v>
      </c>
      <c r="G143" s="116">
        <v>3840</v>
      </c>
      <c r="H143" s="163" t="s">
        <v>944</v>
      </c>
      <c r="I143" s="158" t="s">
        <v>947</v>
      </c>
      <c r="J143" s="163" t="s">
        <v>944</v>
      </c>
      <c r="K143" s="10" t="s">
        <v>30</v>
      </c>
      <c r="L143" s="10">
        <v>2</v>
      </c>
      <c r="M143" s="10">
        <v>1</v>
      </c>
      <c r="N143" s="10">
        <v>2</v>
      </c>
      <c r="O143" s="12">
        <v>1</v>
      </c>
      <c r="P143" s="116">
        <v>3840</v>
      </c>
      <c r="Q143" s="10" t="s">
        <v>33</v>
      </c>
      <c r="R143" s="4" t="s">
        <v>1284</v>
      </c>
      <c r="S143" s="4" t="s">
        <v>1279</v>
      </c>
      <c r="T143" s="4" t="s">
        <v>672</v>
      </c>
      <c r="U143" s="4" t="str">
        <f t="shared" si="6"/>
        <v>NOT AN ADD-ON</v>
      </c>
      <c r="V143" s="4" t="str">
        <f t="shared" si="7"/>
        <v>UTILITIESINDUSTRY SOLUTIONLIMITEDNOT AN ADD-ON</v>
      </c>
    </row>
    <row r="144" spans="1:22" ht="16" hidden="1" thickTop="1" thickBot="1">
      <c r="A144" s="10" t="s">
        <v>21</v>
      </c>
      <c r="B144" s="10" t="s">
        <v>22</v>
      </c>
      <c r="C144" s="10" t="s">
        <v>870</v>
      </c>
      <c r="D144" s="10" t="s">
        <v>871</v>
      </c>
      <c r="E144" s="10" t="s">
        <v>872</v>
      </c>
      <c r="F144" s="10" t="s">
        <v>873</v>
      </c>
      <c r="G144" s="116">
        <v>2310</v>
      </c>
      <c r="H144" s="163" t="s">
        <v>948</v>
      </c>
      <c r="I144" s="158" t="s">
        <v>949</v>
      </c>
      <c r="J144" s="163" t="s">
        <v>944</v>
      </c>
      <c r="K144" s="10" t="s">
        <v>30</v>
      </c>
      <c r="L144" s="10">
        <v>2</v>
      </c>
      <c r="M144" s="10">
        <v>1</v>
      </c>
      <c r="N144" s="10">
        <v>2</v>
      </c>
      <c r="O144" s="12">
        <v>1</v>
      </c>
      <c r="P144" s="247">
        <v>3840</v>
      </c>
      <c r="Q144" s="10" t="s">
        <v>36</v>
      </c>
      <c r="R144" s="4" t="s">
        <v>1284</v>
      </c>
      <c r="S144" s="4" t="s">
        <v>1279</v>
      </c>
      <c r="T144" s="4" t="s">
        <v>672</v>
      </c>
      <c r="U144" s="4" t="str">
        <f t="shared" si="6"/>
        <v>NOT AN ADD-ON</v>
      </c>
      <c r="V144" s="4" t="str">
        <f t="shared" si="7"/>
        <v>UTILITIESINDUSTRY SOLUTIONLIMITEDNOT AN ADD-ON</v>
      </c>
    </row>
    <row r="145" spans="1:22" ht="28" hidden="1" thickTop="1" thickBot="1">
      <c r="A145" s="10" t="s">
        <v>21</v>
      </c>
      <c r="B145" s="10" t="s">
        <v>22</v>
      </c>
      <c r="C145" s="10" t="s">
        <v>870</v>
      </c>
      <c r="D145" s="10" t="s">
        <v>871</v>
      </c>
      <c r="E145" s="10" t="s">
        <v>872</v>
      </c>
      <c r="F145" s="10" t="s">
        <v>873</v>
      </c>
      <c r="G145" s="116">
        <v>1330</v>
      </c>
      <c r="H145" s="163" t="s">
        <v>942</v>
      </c>
      <c r="I145" s="166" t="s">
        <v>943</v>
      </c>
      <c r="J145" s="163" t="s">
        <v>944</v>
      </c>
      <c r="K145" s="10" t="s">
        <v>30</v>
      </c>
      <c r="L145" s="10">
        <v>2</v>
      </c>
      <c r="M145" s="10">
        <v>1</v>
      </c>
      <c r="N145" s="10">
        <v>2</v>
      </c>
      <c r="O145" s="12">
        <v>1</v>
      </c>
      <c r="P145" s="247">
        <v>3840</v>
      </c>
      <c r="Q145" s="10" t="s">
        <v>48</v>
      </c>
      <c r="R145" s="4" t="s">
        <v>1284</v>
      </c>
      <c r="S145" s="4" t="s">
        <v>1279</v>
      </c>
      <c r="T145" s="4" t="s">
        <v>672</v>
      </c>
      <c r="U145" s="4" t="str">
        <f t="shared" si="6"/>
        <v>NOT AN ADD-ON</v>
      </c>
      <c r="V145" s="4" t="str">
        <f t="shared" si="7"/>
        <v>UTILITIESINDUSTRY SOLUTIONLIMITEDNOT AN ADD-ON</v>
      </c>
    </row>
    <row r="146" spans="1:22" ht="16" hidden="1" thickTop="1" thickBot="1">
      <c r="A146" s="10" t="s">
        <v>21</v>
      </c>
      <c r="B146" s="10" t="s">
        <v>22</v>
      </c>
      <c r="C146" s="10" t="s">
        <v>870</v>
      </c>
      <c r="D146" s="10" t="s">
        <v>871</v>
      </c>
      <c r="E146" s="10" t="s">
        <v>872</v>
      </c>
      <c r="F146" s="10" t="s">
        <v>873</v>
      </c>
      <c r="G146" s="116">
        <v>3840</v>
      </c>
      <c r="H146" s="163" t="s">
        <v>952</v>
      </c>
      <c r="I146" s="158" t="s">
        <v>955</v>
      </c>
      <c r="J146" s="163" t="s">
        <v>952</v>
      </c>
      <c r="K146" s="10" t="s">
        <v>30</v>
      </c>
      <c r="L146" s="10">
        <v>2</v>
      </c>
      <c r="M146" s="10">
        <v>1</v>
      </c>
      <c r="N146" s="10">
        <v>2</v>
      </c>
      <c r="O146" s="12">
        <v>1</v>
      </c>
      <c r="P146" s="247">
        <v>3840</v>
      </c>
      <c r="Q146" s="10" t="s">
        <v>33</v>
      </c>
      <c r="R146" s="4" t="s">
        <v>1284</v>
      </c>
      <c r="S146" s="4" t="s">
        <v>1279</v>
      </c>
      <c r="T146" s="4" t="s">
        <v>672</v>
      </c>
      <c r="U146" s="4" t="str">
        <f t="shared" si="6"/>
        <v>NOT AN ADD-ON</v>
      </c>
      <c r="V146" s="4" t="str">
        <f t="shared" si="7"/>
        <v>UTILITIESINDUSTRY SOLUTIONLIMITEDNOT AN ADD-ON</v>
      </c>
    </row>
    <row r="147" spans="1:22" ht="15" hidden="1" thickBot="1">
      <c r="A147" s="10" t="s">
        <v>21</v>
      </c>
      <c r="B147" s="10" t="s">
        <v>22</v>
      </c>
      <c r="C147" s="10" t="s">
        <v>870</v>
      </c>
      <c r="D147" s="10" t="s">
        <v>871</v>
      </c>
      <c r="E147" s="10" t="s">
        <v>872</v>
      </c>
      <c r="F147" s="10" t="s">
        <v>873</v>
      </c>
      <c r="G147" s="116">
        <v>2310</v>
      </c>
      <c r="H147" s="163" t="s">
        <v>956</v>
      </c>
      <c r="I147" s="158" t="s">
        <v>957</v>
      </c>
      <c r="J147" s="163" t="s">
        <v>952</v>
      </c>
      <c r="K147" s="10" t="s">
        <v>30</v>
      </c>
      <c r="L147" s="10">
        <v>2</v>
      </c>
      <c r="M147" s="10">
        <v>1</v>
      </c>
      <c r="N147" s="10">
        <v>2</v>
      </c>
      <c r="O147" s="12">
        <v>1</v>
      </c>
      <c r="P147" s="116">
        <v>3840</v>
      </c>
      <c r="Q147" s="10" t="s">
        <v>36</v>
      </c>
      <c r="R147" s="4" t="s">
        <v>1284</v>
      </c>
      <c r="S147" s="4" t="s">
        <v>1279</v>
      </c>
      <c r="T147" s="4" t="s">
        <v>672</v>
      </c>
      <c r="U147" s="4" t="str">
        <f t="shared" si="6"/>
        <v>NOT AN ADD-ON</v>
      </c>
      <c r="V147" s="4" t="str">
        <f t="shared" si="7"/>
        <v>UTILITIESINDUSTRY SOLUTIONLIMITEDNOT AN ADD-ON</v>
      </c>
    </row>
    <row r="148" spans="1:22" ht="27" hidden="1" thickBot="1">
      <c r="A148" s="10" t="s">
        <v>21</v>
      </c>
      <c r="B148" s="10" t="s">
        <v>22</v>
      </c>
      <c r="C148" s="10" t="s">
        <v>870</v>
      </c>
      <c r="D148" s="10" t="s">
        <v>871</v>
      </c>
      <c r="E148" s="10" t="s">
        <v>872</v>
      </c>
      <c r="F148" s="10" t="s">
        <v>873</v>
      </c>
      <c r="G148" s="116">
        <v>1330</v>
      </c>
      <c r="H148" s="163" t="s">
        <v>950</v>
      </c>
      <c r="I148" s="166" t="s">
        <v>951</v>
      </c>
      <c r="J148" s="163" t="s">
        <v>952</v>
      </c>
      <c r="K148" s="10" t="s">
        <v>30</v>
      </c>
      <c r="L148" s="10">
        <v>2</v>
      </c>
      <c r="M148" s="10">
        <v>1</v>
      </c>
      <c r="N148" s="10">
        <v>2</v>
      </c>
      <c r="O148" s="12">
        <v>1</v>
      </c>
      <c r="P148" s="116">
        <v>3840</v>
      </c>
      <c r="Q148" s="10" t="s">
        <v>48</v>
      </c>
      <c r="R148" s="4" t="s">
        <v>1284</v>
      </c>
      <c r="S148" s="4" t="s">
        <v>1279</v>
      </c>
      <c r="T148" s="4" t="s">
        <v>672</v>
      </c>
      <c r="U148" s="4" t="str">
        <f t="shared" si="6"/>
        <v>NOT AN ADD-ON</v>
      </c>
      <c r="V148" s="4" t="str">
        <f t="shared" si="7"/>
        <v>UTILITIESINDUSTRY SOLUTIONLIMITEDNOT AN ADD-ON</v>
      </c>
    </row>
    <row r="149" spans="1:22" ht="29.25" hidden="1" customHeight="1" thickBot="1">
      <c r="A149" s="10" t="s">
        <v>21</v>
      </c>
      <c r="B149" s="10" t="s">
        <v>22</v>
      </c>
      <c r="C149" s="10" t="s">
        <v>500</v>
      </c>
      <c r="D149" s="10" t="s">
        <v>501</v>
      </c>
      <c r="E149" s="10" t="s">
        <v>502</v>
      </c>
      <c r="F149" s="10" t="s">
        <v>503</v>
      </c>
      <c r="G149" s="116">
        <v>3480</v>
      </c>
      <c r="H149" s="163" t="s">
        <v>579</v>
      </c>
      <c r="I149" s="158" t="s">
        <v>582</v>
      </c>
      <c r="J149" s="163" t="s">
        <v>579</v>
      </c>
      <c r="K149" s="10" t="s">
        <v>30</v>
      </c>
      <c r="L149" s="10">
        <v>2</v>
      </c>
      <c r="M149" s="10">
        <v>1</v>
      </c>
      <c r="N149" s="10">
        <v>2</v>
      </c>
      <c r="O149" s="12">
        <v>1</v>
      </c>
      <c r="P149" s="116">
        <v>3480</v>
      </c>
      <c r="Q149" s="10" t="s">
        <v>33</v>
      </c>
      <c r="R149" s="4" t="s">
        <v>1292</v>
      </c>
      <c r="S149" s="4" t="s">
        <v>1292</v>
      </c>
      <c r="T149" s="4" t="s">
        <v>672</v>
      </c>
      <c r="U149" s="4" t="str">
        <f t="shared" si="6"/>
        <v>NOT AN ADD-ON</v>
      </c>
      <c r="V149" s="4" t="str">
        <f t="shared" si="7"/>
        <v>LIFE SCIENCESLIFE SCIENCESLIMITEDNOT AN ADD-ON</v>
      </c>
    </row>
    <row r="150" spans="1:22" ht="15" hidden="1" thickBot="1">
      <c r="A150" s="10" t="s">
        <v>21</v>
      </c>
      <c r="B150" s="10" t="s">
        <v>22</v>
      </c>
      <c r="C150" s="10" t="s">
        <v>500</v>
      </c>
      <c r="D150" s="10" t="s">
        <v>501</v>
      </c>
      <c r="E150" s="10" t="s">
        <v>502</v>
      </c>
      <c r="F150" s="10" t="s">
        <v>503</v>
      </c>
      <c r="G150" s="116">
        <v>2090</v>
      </c>
      <c r="H150" s="163" t="s">
        <v>583</v>
      </c>
      <c r="I150" s="158" t="s">
        <v>584</v>
      </c>
      <c r="J150" s="163" t="s">
        <v>579</v>
      </c>
      <c r="K150" s="10" t="s">
        <v>30</v>
      </c>
      <c r="L150" s="10">
        <v>2</v>
      </c>
      <c r="M150" s="10">
        <v>1</v>
      </c>
      <c r="N150" s="10">
        <v>2</v>
      </c>
      <c r="O150" s="12">
        <v>1</v>
      </c>
      <c r="P150" s="116">
        <v>3480</v>
      </c>
      <c r="Q150" s="10" t="s">
        <v>36</v>
      </c>
      <c r="R150" s="4" t="s">
        <v>1292</v>
      </c>
      <c r="S150" s="4" t="s">
        <v>1292</v>
      </c>
      <c r="T150" s="4" t="s">
        <v>672</v>
      </c>
      <c r="U150" s="4" t="str">
        <f t="shared" si="6"/>
        <v>NOT AN ADD-ON</v>
      </c>
      <c r="V150" s="4" t="str">
        <f t="shared" si="7"/>
        <v>LIFE SCIENCESLIFE SCIENCESLIMITEDNOT AN ADD-ON</v>
      </c>
    </row>
    <row r="151" spans="1:22" ht="27" hidden="1" thickBot="1">
      <c r="A151" s="10" t="s">
        <v>21</v>
      </c>
      <c r="B151" s="10" t="s">
        <v>22</v>
      </c>
      <c r="C151" s="10" t="s">
        <v>500</v>
      </c>
      <c r="D151" s="10" t="s">
        <v>501</v>
      </c>
      <c r="E151" s="10" t="s">
        <v>502</v>
      </c>
      <c r="F151" s="10" t="s">
        <v>503</v>
      </c>
      <c r="G151" s="116">
        <v>953</v>
      </c>
      <c r="H151" s="163" t="s">
        <v>577</v>
      </c>
      <c r="I151" s="166" t="s">
        <v>578</v>
      </c>
      <c r="J151" s="163" t="s">
        <v>579</v>
      </c>
      <c r="K151" s="10" t="s">
        <v>30</v>
      </c>
      <c r="L151" s="10">
        <v>2</v>
      </c>
      <c r="M151" s="10">
        <v>1</v>
      </c>
      <c r="N151" s="10">
        <v>2</v>
      </c>
      <c r="O151" s="12">
        <v>1</v>
      </c>
      <c r="P151" s="116">
        <v>3480</v>
      </c>
      <c r="Q151" s="10" t="s">
        <v>48</v>
      </c>
      <c r="R151" s="4" t="s">
        <v>1292</v>
      </c>
      <c r="S151" s="4" t="s">
        <v>1292</v>
      </c>
      <c r="T151" s="4" t="s">
        <v>672</v>
      </c>
      <c r="U151" s="4" t="str">
        <f t="shared" si="6"/>
        <v>NOT AN ADD-ON</v>
      </c>
      <c r="V151" s="4" t="str">
        <f t="shared" si="7"/>
        <v>LIFE SCIENCESLIFE SCIENCESLIMITEDNOT AN ADD-ON</v>
      </c>
    </row>
    <row r="152" spans="1:22" ht="29.25" hidden="1" customHeight="1" thickBot="1">
      <c r="A152" s="10" t="s">
        <v>21</v>
      </c>
      <c r="B152" s="10" t="s">
        <v>22</v>
      </c>
      <c r="C152" s="10" t="s">
        <v>500</v>
      </c>
      <c r="D152" s="10" t="s">
        <v>501</v>
      </c>
      <c r="E152" s="10" t="s">
        <v>502</v>
      </c>
      <c r="F152" s="10" t="s">
        <v>503</v>
      </c>
      <c r="G152" s="116">
        <v>3480</v>
      </c>
      <c r="H152" s="163" t="s">
        <v>587</v>
      </c>
      <c r="I152" s="158" t="s">
        <v>590</v>
      </c>
      <c r="J152" s="163" t="s">
        <v>587</v>
      </c>
      <c r="K152" s="10" t="s">
        <v>30</v>
      </c>
      <c r="L152" s="10">
        <v>2</v>
      </c>
      <c r="M152" s="10">
        <v>1</v>
      </c>
      <c r="N152" s="10">
        <v>2</v>
      </c>
      <c r="O152" s="12">
        <v>1</v>
      </c>
      <c r="P152" s="116">
        <v>3480</v>
      </c>
      <c r="Q152" s="10" t="s">
        <v>33</v>
      </c>
      <c r="R152" s="4" t="s">
        <v>1292</v>
      </c>
      <c r="S152" s="4" t="s">
        <v>1292</v>
      </c>
      <c r="T152" s="4" t="s">
        <v>672</v>
      </c>
      <c r="U152" s="4" t="str">
        <f t="shared" si="6"/>
        <v>NOT AN ADD-ON</v>
      </c>
      <c r="V152" s="4" t="str">
        <f t="shared" si="7"/>
        <v>LIFE SCIENCESLIFE SCIENCESLIMITEDNOT AN ADD-ON</v>
      </c>
    </row>
    <row r="153" spans="1:22" ht="15" hidden="1" thickBot="1">
      <c r="A153" s="10" t="s">
        <v>21</v>
      </c>
      <c r="B153" s="10" t="s">
        <v>22</v>
      </c>
      <c r="C153" s="10" t="s">
        <v>500</v>
      </c>
      <c r="D153" s="10" t="s">
        <v>501</v>
      </c>
      <c r="E153" s="10" t="s">
        <v>502</v>
      </c>
      <c r="F153" s="10" t="s">
        <v>503</v>
      </c>
      <c r="G153" s="116">
        <v>2090</v>
      </c>
      <c r="H153" s="163" t="s">
        <v>591</v>
      </c>
      <c r="I153" s="158" t="s">
        <v>592</v>
      </c>
      <c r="J153" s="163" t="s">
        <v>587</v>
      </c>
      <c r="K153" s="10" t="s">
        <v>30</v>
      </c>
      <c r="L153" s="10">
        <v>2</v>
      </c>
      <c r="M153" s="10">
        <v>1</v>
      </c>
      <c r="N153" s="10">
        <v>2</v>
      </c>
      <c r="O153" s="12">
        <v>1</v>
      </c>
      <c r="P153" s="116">
        <v>3480</v>
      </c>
      <c r="Q153" s="10" t="s">
        <v>36</v>
      </c>
      <c r="R153" s="4" t="s">
        <v>1292</v>
      </c>
      <c r="S153" s="4" t="s">
        <v>1292</v>
      </c>
      <c r="T153" s="4" t="s">
        <v>672</v>
      </c>
      <c r="U153" s="4" t="str">
        <f t="shared" si="6"/>
        <v>NOT AN ADD-ON</v>
      </c>
      <c r="V153" s="4" t="str">
        <f t="shared" si="7"/>
        <v>LIFE SCIENCESLIFE SCIENCESLIMITEDNOT AN ADD-ON</v>
      </c>
    </row>
    <row r="154" spans="1:22" ht="27" hidden="1" thickBot="1">
      <c r="A154" s="10" t="s">
        <v>21</v>
      </c>
      <c r="B154" s="10" t="s">
        <v>22</v>
      </c>
      <c r="C154" s="10" t="s">
        <v>500</v>
      </c>
      <c r="D154" s="10" t="s">
        <v>501</v>
      </c>
      <c r="E154" s="10" t="s">
        <v>502</v>
      </c>
      <c r="F154" s="10" t="s">
        <v>503</v>
      </c>
      <c r="G154" s="116">
        <v>953</v>
      </c>
      <c r="H154" s="163" t="s">
        <v>585</v>
      </c>
      <c r="I154" s="166" t="s">
        <v>586</v>
      </c>
      <c r="J154" s="163" t="s">
        <v>587</v>
      </c>
      <c r="K154" s="10" t="s">
        <v>30</v>
      </c>
      <c r="L154" s="10">
        <v>2</v>
      </c>
      <c r="M154" s="10">
        <v>1</v>
      </c>
      <c r="N154" s="10">
        <v>2</v>
      </c>
      <c r="O154" s="12">
        <v>1</v>
      </c>
      <c r="P154" s="116">
        <v>3480</v>
      </c>
      <c r="Q154" s="10" t="s">
        <v>48</v>
      </c>
      <c r="R154" s="4" t="s">
        <v>1292</v>
      </c>
      <c r="S154" s="4" t="s">
        <v>1292</v>
      </c>
      <c r="T154" s="4" t="s">
        <v>672</v>
      </c>
      <c r="U154" s="4" t="str">
        <f t="shared" si="6"/>
        <v>NOT AN ADD-ON</v>
      </c>
      <c r="V154" s="4" t="str">
        <f t="shared" si="7"/>
        <v>LIFE SCIENCESLIFE SCIENCESLIMITEDNOT AN ADD-ON</v>
      </c>
    </row>
    <row r="155" spans="1:22" ht="29.25" hidden="1" customHeight="1" thickBot="1">
      <c r="A155" s="10" t="s">
        <v>21</v>
      </c>
      <c r="B155" s="10" t="s">
        <v>22</v>
      </c>
      <c r="C155" s="10" t="s">
        <v>140</v>
      </c>
      <c r="D155" s="10" t="s">
        <v>141</v>
      </c>
      <c r="E155" s="10" t="s">
        <v>142</v>
      </c>
      <c r="F155" s="10" t="s">
        <v>143</v>
      </c>
      <c r="G155" s="116">
        <v>4090</v>
      </c>
      <c r="H155" s="163" t="s">
        <v>144</v>
      </c>
      <c r="I155" s="166" t="s">
        <v>145</v>
      </c>
      <c r="J155" s="248" t="s">
        <v>146</v>
      </c>
      <c r="K155" s="10" t="s">
        <v>30</v>
      </c>
      <c r="L155" s="10">
        <v>3</v>
      </c>
      <c r="M155" s="10">
        <v>1</v>
      </c>
      <c r="N155" s="10">
        <v>3</v>
      </c>
      <c r="O155" s="12">
        <v>1</v>
      </c>
      <c r="P155" s="116">
        <v>6390</v>
      </c>
      <c r="Q155" s="10" t="s">
        <v>48</v>
      </c>
      <c r="R155" s="4" t="s">
        <v>1278</v>
      </c>
      <c r="S155" s="4" t="s">
        <v>1278</v>
      </c>
      <c r="T155" s="4" t="s">
        <v>19</v>
      </c>
      <c r="U155" s="4" t="str">
        <f t="shared" si="6"/>
        <v>NOT AN ADD-ON</v>
      </c>
      <c r="V155" s="4" t="str">
        <f t="shared" si="7"/>
        <v>ASSET MANAGEMENT (CORE)ASSET MANAGEMENT (CORE)AUTHORIZEDNOT AN ADD-ON</v>
      </c>
    </row>
    <row r="156" spans="1:22" ht="29.25" hidden="1" customHeight="1" thickBot="1">
      <c r="A156" s="10" t="s">
        <v>21</v>
      </c>
      <c r="B156" s="10" t="s">
        <v>22</v>
      </c>
      <c r="C156" s="10" t="s">
        <v>140</v>
      </c>
      <c r="D156" s="10" t="s">
        <v>141</v>
      </c>
      <c r="E156" s="10" t="s">
        <v>142</v>
      </c>
      <c r="F156" s="10" t="s">
        <v>143</v>
      </c>
      <c r="G156" s="116">
        <v>4090</v>
      </c>
      <c r="H156" s="163" t="s">
        <v>222</v>
      </c>
      <c r="I156" s="166" t="s">
        <v>223</v>
      </c>
      <c r="J156" s="163" t="s">
        <v>224</v>
      </c>
      <c r="K156" s="10" t="s">
        <v>30</v>
      </c>
      <c r="L156" s="10">
        <v>2</v>
      </c>
      <c r="M156" s="10">
        <v>1</v>
      </c>
      <c r="N156" s="10">
        <v>2</v>
      </c>
      <c r="O156" s="12">
        <v>1</v>
      </c>
      <c r="P156" s="116">
        <v>6390</v>
      </c>
      <c r="Q156" s="10" t="s">
        <v>48</v>
      </c>
      <c r="R156" s="4" t="s">
        <v>1278</v>
      </c>
      <c r="S156" s="4" t="s">
        <v>1278</v>
      </c>
      <c r="T156" s="4" t="s">
        <v>19</v>
      </c>
      <c r="U156" s="4" t="str">
        <f t="shared" si="6"/>
        <v>NOT AN ADD-ON</v>
      </c>
      <c r="V156" s="4" t="str">
        <f t="shared" si="7"/>
        <v>ASSET MANAGEMENT (CORE)ASSET MANAGEMENT (CORE)AUTHORIZEDNOT AN ADD-ON</v>
      </c>
    </row>
    <row r="157" spans="1:22" ht="27" hidden="1" thickBot="1">
      <c r="A157" s="10" t="s">
        <v>21</v>
      </c>
      <c r="B157" s="10" t="s">
        <v>22</v>
      </c>
      <c r="C157" s="10" t="s">
        <v>140</v>
      </c>
      <c r="D157" s="10" t="s">
        <v>141</v>
      </c>
      <c r="E157" s="10" t="s">
        <v>142</v>
      </c>
      <c r="F157" s="10" t="s">
        <v>143</v>
      </c>
      <c r="G157" s="116">
        <v>2400</v>
      </c>
      <c r="H157" s="163" t="s">
        <v>261</v>
      </c>
      <c r="I157" s="166" t="s">
        <v>262</v>
      </c>
      <c r="J157" s="163" t="s">
        <v>263</v>
      </c>
      <c r="K157" s="10" t="s">
        <v>30</v>
      </c>
      <c r="L157" s="10">
        <v>2</v>
      </c>
      <c r="M157" s="10">
        <v>1</v>
      </c>
      <c r="N157" s="10">
        <v>2</v>
      </c>
      <c r="O157" s="12">
        <v>1</v>
      </c>
      <c r="P157" s="116">
        <v>3200</v>
      </c>
      <c r="Q157" s="10" t="s">
        <v>48</v>
      </c>
      <c r="R157" s="4" t="s">
        <v>1278</v>
      </c>
      <c r="S157" s="4" t="s">
        <v>1278</v>
      </c>
      <c r="T157" s="4" t="s">
        <v>672</v>
      </c>
      <c r="U157" s="4" t="str">
        <f t="shared" si="6"/>
        <v>NOT AN ADD-ON</v>
      </c>
      <c r="V157" s="4" t="str">
        <f t="shared" si="7"/>
        <v>ASSET MANAGEMENT (CORE)ASSET MANAGEMENT (CORE)LIMITEDNOT AN ADD-ON</v>
      </c>
    </row>
    <row r="158" spans="1:22" ht="29.25" hidden="1" customHeight="1" thickBot="1">
      <c r="A158" s="10" t="s">
        <v>21</v>
      </c>
      <c r="B158" s="10" t="s">
        <v>22</v>
      </c>
      <c r="C158" s="10" t="s">
        <v>140</v>
      </c>
      <c r="D158" s="10" t="s">
        <v>141</v>
      </c>
      <c r="E158" s="10" t="s">
        <v>142</v>
      </c>
      <c r="F158" s="10" t="s">
        <v>143</v>
      </c>
      <c r="G158" s="116">
        <v>2400</v>
      </c>
      <c r="H158" s="163" t="s">
        <v>269</v>
      </c>
      <c r="I158" s="166" t="s">
        <v>270</v>
      </c>
      <c r="J158" s="163" t="s">
        <v>271</v>
      </c>
      <c r="K158" s="10" t="s">
        <v>30</v>
      </c>
      <c r="L158" s="10">
        <v>5</v>
      </c>
      <c r="M158" s="10">
        <v>1</v>
      </c>
      <c r="N158" s="10">
        <v>5</v>
      </c>
      <c r="O158" s="12">
        <v>1</v>
      </c>
      <c r="P158" s="116">
        <v>3200</v>
      </c>
      <c r="Q158" s="10" t="s">
        <v>48</v>
      </c>
      <c r="R158" s="4" t="s">
        <v>1278</v>
      </c>
      <c r="S158" s="4" t="s">
        <v>1278</v>
      </c>
      <c r="T158" s="4" t="s">
        <v>672</v>
      </c>
      <c r="U158" s="4" t="str">
        <f t="shared" si="6"/>
        <v>NOT AN ADD-ON</v>
      </c>
      <c r="V158" s="4" t="str">
        <f t="shared" si="7"/>
        <v>ASSET MANAGEMENT (CORE)ASSET MANAGEMENT (CORE)LIMITEDNOT AN ADD-ON</v>
      </c>
    </row>
    <row r="159" spans="1:22" ht="27" hidden="1" thickBot="1">
      <c r="A159" s="10" t="s">
        <v>21</v>
      </c>
      <c r="B159" s="10" t="s">
        <v>22</v>
      </c>
      <c r="C159" s="10" t="s">
        <v>593</v>
      </c>
      <c r="D159" s="10" t="s">
        <v>594</v>
      </c>
      <c r="E159" s="10" t="s">
        <v>595</v>
      </c>
      <c r="F159" s="10" t="s">
        <v>596</v>
      </c>
      <c r="G159" s="116">
        <v>4900</v>
      </c>
      <c r="H159" s="163" t="s">
        <v>624</v>
      </c>
      <c r="I159" s="166" t="s">
        <v>625</v>
      </c>
      <c r="J159" s="163" t="s">
        <v>621</v>
      </c>
      <c r="K159" s="10" t="s">
        <v>30</v>
      </c>
      <c r="L159" s="10">
        <v>5</v>
      </c>
      <c r="M159" s="10">
        <v>1</v>
      </c>
      <c r="N159" s="10">
        <v>5</v>
      </c>
      <c r="O159" s="12">
        <v>1</v>
      </c>
      <c r="P159" s="116">
        <v>7660</v>
      </c>
      <c r="Q159" s="10" t="s">
        <v>48</v>
      </c>
      <c r="R159" s="4" t="s">
        <v>1281</v>
      </c>
      <c r="S159" s="4" t="s">
        <v>1279</v>
      </c>
      <c r="T159" s="4" t="s">
        <v>19</v>
      </c>
      <c r="U159" s="4" t="str">
        <f t="shared" si="6"/>
        <v>NOT AN ADD-ON</v>
      </c>
      <c r="V159" s="4" t="str">
        <f t="shared" si="7"/>
        <v>NUCLEAR POWERINDUSTRY SOLUTIONAUTHORIZEDNOT AN ADD-ON</v>
      </c>
    </row>
    <row r="160" spans="1:22" ht="29.25" hidden="1" customHeight="1" thickBot="1">
      <c r="A160" s="10" t="s">
        <v>21</v>
      </c>
      <c r="B160" s="10" t="s">
        <v>22</v>
      </c>
      <c r="C160" s="10" t="s">
        <v>593</v>
      </c>
      <c r="D160" s="10" t="s">
        <v>594</v>
      </c>
      <c r="E160" s="10" t="s">
        <v>595</v>
      </c>
      <c r="F160" s="10" t="s">
        <v>596</v>
      </c>
      <c r="G160" s="116">
        <v>4900</v>
      </c>
      <c r="H160" s="163" t="s">
        <v>662</v>
      </c>
      <c r="I160" s="166" t="s">
        <v>663</v>
      </c>
      <c r="J160" s="163" t="s">
        <v>659</v>
      </c>
      <c r="K160" s="10" t="s">
        <v>30</v>
      </c>
      <c r="L160" s="10">
        <v>5</v>
      </c>
      <c r="M160" s="10">
        <v>1</v>
      </c>
      <c r="N160" s="10">
        <v>5</v>
      </c>
      <c r="O160" s="12">
        <v>1</v>
      </c>
      <c r="P160" s="116">
        <v>7660</v>
      </c>
      <c r="Q160" s="10" t="s">
        <v>48</v>
      </c>
      <c r="R160" s="4" t="s">
        <v>1281</v>
      </c>
      <c r="S160" s="4" t="s">
        <v>1279</v>
      </c>
      <c r="T160" s="4" t="s">
        <v>19</v>
      </c>
      <c r="U160" s="4" t="str">
        <f t="shared" si="6"/>
        <v>NOT AN ADD-ON</v>
      </c>
      <c r="V160" s="4" t="str">
        <f t="shared" si="7"/>
        <v>NUCLEAR POWERINDUSTRY SOLUTIONAUTHORIZEDNOT AN ADD-ON</v>
      </c>
    </row>
    <row r="161" spans="1:22" ht="27" hidden="1" thickBot="1">
      <c r="A161" s="10" t="s">
        <v>21</v>
      </c>
      <c r="B161" s="10" t="s">
        <v>22</v>
      </c>
      <c r="C161" s="10" t="s">
        <v>686</v>
      </c>
      <c r="D161" s="10" t="s">
        <v>687</v>
      </c>
      <c r="E161" s="10" t="s">
        <v>688</v>
      </c>
      <c r="F161" s="10" t="s">
        <v>689</v>
      </c>
      <c r="G161" s="116">
        <v>4900</v>
      </c>
      <c r="H161" s="163" t="s">
        <v>717</v>
      </c>
      <c r="I161" s="166" t="s">
        <v>718</v>
      </c>
      <c r="J161" s="163" t="s">
        <v>714</v>
      </c>
      <c r="K161" s="10" t="s">
        <v>30</v>
      </c>
      <c r="L161" s="10">
        <v>5</v>
      </c>
      <c r="M161" s="10">
        <v>1</v>
      </c>
      <c r="N161" s="10">
        <v>5</v>
      </c>
      <c r="O161" s="12">
        <v>1</v>
      </c>
      <c r="P161" s="116">
        <v>7660</v>
      </c>
      <c r="Q161" s="10" t="s">
        <v>48</v>
      </c>
      <c r="R161" s="4" t="s">
        <v>1282</v>
      </c>
      <c r="S161" s="4" t="s">
        <v>1279</v>
      </c>
      <c r="T161" s="4" t="s">
        <v>19</v>
      </c>
      <c r="U161" s="4" t="str">
        <f t="shared" si="6"/>
        <v>NOT AN ADD-ON</v>
      </c>
      <c r="V161" s="4" t="str">
        <f t="shared" si="7"/>
        <v>OIL AND GASINDUSTRY SOLUTIONAUTHORIZEDNOT AN ADD-ON</v>
      </c>
    </row>
    <row r="162" spans="1:22" ht="29.25" hidden="1" customHeight="1" thickBot="1">
      <c r="A162" s="10" t="s">
        <v>21</v>
      </c>
      <c r="B162" s="10" t="s">
        <v>22</v>
      </c>
      <c r="C162" s="10" t="s">
        <v>686</v>
      </c>
      <c r="D162" s="10" t="s">
        <v>687</v>
      </c>
      <c r="E162" s="10" t="s">
        <v>688</v>
      </c>
      <c r="F162" s="10" t="s">
        <v>689</v>
      </c>
      <c r="G162" s="116">
        <v>4900</v>
      </c>
      <c r="H162" s="163" t="s">
        <v>754</v>
      </c>
      <c r="I162" s="166" t="s">
        <v>755</v>
      </c>
      <c r="J162" s="163" t="s">
        <v>746</v>
      </c>
      <c r="K162" s="10" t="s">
        <v>30</v>
      </c>
      <c r="L162" s="10">
        <v>5</v>
      </c>
      <c r="M162" s="10">
        <v>1</v>
      </c>
      <c r="N162" s="10">
        <v>5</v>
      </c>
      <c r="O162" s="12">
        <v>1</v>
      </c>
      <c r="P162" s="116">
        <v>7660</v>
      </c>
      <c r="Q162" s="10" t="s">
        <v>48</v>
      </c>
      <c r="R162" s="4" t="s">
        <v>1282</v>
      </c>
      <c r="S162" s="4" t="s">
        <v>1279</v>
      </c>
      <c r="T162" s="4" t="s">
        <v>19</v>
      </c>
      <c r="U162" s="4" t="str">
        <f t="shared" si="6"/>
        <v>NOT AN ADD-ON</v>
      </c>
      <c r="V162" s="4" t="str">
        <f t="shared" si="7"/>
        <v>OIL AND GASINDUSTRY SOLUTIONAUTHORIZEDNOT AN ADD-ON</v>
      </c>
    </row>
    <row r="163" spans="1:22" ht="29.25" hidden="1" customHeight="1" thickBot="1">
      <c r="A163" s="10" t="s">
        <v>21</v>
      </c>
      <c r="B163" s="10" t="s">
        <v>22</v>
      </c>
      <c r="C163" s="10" t="s">
        <v>778</v>
      </c>
      <c r="D163" s="10" t="s">
        <v>779</v>
      </c>
      <c r="E163" s="10" t="s">
        <v>780</v>
      </c>
      <c r="F163" s="10" t="s">
        <v>781</v>
      </c>
      <c r="G163" s="116">
        <v>4900</v>
      </c>
      <c r="H163" s="163" t="s">
        <v>809</v>
      </c>
      <c r="I163" s="166" t="s">
        <v>810</v>
      </c>
      <c r="J163" s="163" t="s">
        <v>806</v>
      </c>
      <c r="K163" s="10" t="s">
        <v>30</v>
      </c>
      <c r="L163" s="10">
        <v>5</v>
      </c>
      <c r="M163" s="10">
        <v>1</v>
      </c>
      <c r="N163" s="10">
        <v>5</v>
      </c>
      <c r="O163" s="12">
        <v>1</v>
      </c>
      <c r="P163" s="116">
        <v>7660</v>
      </c>
      <c r="Q163" s="10" t="s">
        <v>48</v>
      </c>
      <c r="R163" s="4" t="s">
        <v>1283</v>
      </c>
      <c r="S163" s="4" t="s">
        <v>1279</v>
      </c>
      <c r="T163" s="4" t="s">
        <v>19</v>
      </c>
      <c r="U163" s="4" t="str">
        <f t="shared" si="6"/>
        <v>NOT AN ADD-ON</v>
      </c>
      <c r="V163" s="4" t="str">
        <f t="shared" si="7"/>
        <v>TRANSPORATIONINDUSTRY SOLUTIONAUTHORIZEDNOT AN ADD-ON</v>
      </c>
    </row>
    <row r="164" spans="1:22" ht="29.25" hidden="1" customHeight="1" thickBot="1">
      <c r="A164" s="10" t="s">
        <v>21</v>
      </c>
      <c r="B164" s="10" t="s">
        <v>22</v>
      </c>
      <c r="C164" s="10" t="s">
        <v>778</v>
      </c>
      <c r="D164" s="10" t="s">
        <v>779</v>
      </c>
      <c r="E164" s="10" t="s">
        <v>780</v>
      </c>
      <c r="F164" s="10" t="s">
        <v>781</v>
      </c>
      <c r="G164" s="116">
        <v>4900</v>
      </c>
      <c r="H164" s="163" t="s">
        <v>847</v>
      </c>
      <c r="I164" s="166" t="s">
        <v>848</v>
      </c>
      <c r="J164" s="163" t="s">
        <v>844</v>
      </c>
      <c r="K164" s="10" t="s">
        <v>30</v>
      </c>
      <c r="L164" s="249">
        <v>5</v>
      </c>
      <c r="M164" s="250">
        <v>1</v>
      </c>
      <c r="N164" s="250">
        <v>5</v>
      </c>
      <c r="O164" s="251">
        <v>1</v>
      </c>
      <c r="P164" s="116">
        <v>7660</v>
      </c>
      <c r="Q164" s="10" t="s">
        <v>48</v>
      </c>
      <c r="R164" s="4" t="s">
        <v>1283</v>
      </c>
      <c r="S164" s="4" t="s">
        <v>1279</v>
      </c>
      <c r="T164" s="4" t="s">
        <v>19</v>
      </c>
      <c r="U164" s="4" t="str">
        <f t="shared" si="6"/>
        <v>NOT AN ADD-ON</v>
      </c>
      <c r="V164" s="4" t="str">
        <f t="shared" si="7"/>
        <v>TRANSPORATIONINDUSTRY SOLUTIONAUTHORIZEDNOT AN ADD-ON</v>
      </c>
    </row>
    <row r="165" spans="1:22" ht="27" hidden="1" thickBot="1">
      <c r="A165" s="10" t="s">
        <v>21</v>
      </c>
      <c r="B165" s="10" t="s">
        <v>22</v>
      </c>
      <c r="C165" s="10" t="s">
        <v>870</v>
      </c>
      <c r="D165" s="10" t="s">
        <v>871</v>
      </c>
      <c r="E165" s="10" t="s">
        <v>872</v>
      </c>
      <c r="F165" s="10" t="s">
        <v>873</v>
      </c>
      <c r="G165" s="116">
        <v>4900</v>
      </c>
      <c r="H165" s="163" t="s">
        <v>901</v>
      </c>
      <c r="I165" s="166" t="s">
        <v>902</v>
      </c>
      <c r="J165" s="163" t="s">
        <v>898</v>
      </c>
      <c r="K165" s="10" t="s">
        <v>30</v>
      </c>
      <c r="L165" s="249">
        <v>5</v>
      </c>
      <c r="M165" s="250">
        <v>1</v>
      </c>
      <c r="N165" s="250">
        <v>5</v>
      </c>
      <c r="O165" s="251">
        <v>1</v>
      </c>
      <c r="P165" s="116">
        <v>7660</v>
      </c>
      <c r="Q165" s="10" t="s">
        <v>48</v>
      </c>
      <c r="R165" s="4" t="s">
        <v>1284</v>
      </c>
      <c r="S165" s="4" t="s">
        <v>1279</v>
      </c>
      <c r="T165" s="4" t="s">
        <v>19</v>
      </c>
      <c r="U165" s="4" t="str">
        <f t="shared" si="6"/>
        <v>NOT AN ADD-ON</v>
      </c>
      <c r="V165" s="4" t="str">
        <f t="shared" si="7"/>
        <v>UTILITIESINDUSTRY SOLUTIONAUTHORIZEDNOT AN ADD-ON</v>
      </c>
    </row>
    <row r="166" spans="1:22" ht="29.25" hidden="1" customHeight="1" thickBot="1">
      <c r="A166" s="10" t="s">
        <v>21</v>
      </c>
      <c r="B166" s="10" t="s">
        <v>22</v>
      </c>
      <c r="C166" s="10" t="s">
        <v>870</v>
      </c>
      <c r="D166" s="10" t="s">
        <v>871</v>
      </c>
      <c r="E166" s="10" t="s">
        <v>872</v>
      </c>
      <c r="F166" s="10" t="s">
        <v>873</v>
      </c>
      <c r="G166" s="116">
        <v>4900</v>
      </c>
      <c r="H166" s="163" t="s">
        <v>935</v>
      </c>
      <c r="I166" s="166" t="s">
        <v>936</v>
      </c>
      <c r="J166" s="163" t="s">
        <v>932</v>
      </c>
      <c r="K166" s="10" t="s">
        <v>30</v>
      </c>
      <c r="L166" s="249">
        <v>5</v>
      </c>
      <c r="M166" s="250">
        <v>1</v>
      </c>
      <c r="N166" s="250">
        <v>5</v>
      </c>
      <c r="O166" s="251">
        <v>1</v>
      </c>
      <c r="P166" s="116">
        <v>7660</v>
      </c>
      <c r="Q166" s="10" t="s">
        <v>48</v>
      </c>
      <c r="R166" s="4" t="s">
        <v>1284</v>
      </c>
      <c r="S166" s="4" t="s">
        <v>1279</v>
      </c>
      <c r="T166" s="4" t="s">
        <v>19</v>
      </c>
      <c r="U166" s="4" t="str">
        <f t="shared" si="6"/>
        <v>NOT AN ADD-ON</v>
      </c>
      <c r="V166" s="4" t="str">
        <f t="shared" si="7"/>
        <v>UTILITIESINDUSTRY SOLUTIONAUTHORIZEDNOT AN ADD-ON</v>
      </c>
    </row>
    <row r="167" spans="1:22" ht="27" hidden="1" thickBot="1">
      <c r="A167" s="10" t="s">
        <v>21</v>
      </c>
      <c r="B167" s="10" t="s">
        <v>22</v>
      </c>
      <c r="C167" s="10" t="s">
        <v>500</v>
      </c>
      <c r="D167" s="10" t="s">
        <v>501</v>
      </c>
      <c r="E167" s="10" t="s">
        <v>502</v>
      </c>
      <c r="F167" s="10" t="s">
        <v>503</v>
      </c>
      <c r="G167" s="116">
        <v>4470</v>
      </c>
      <c r="H167" s="163" t="s">
        <v>532</v>
      </c>
      <c r="I167" s="166" t="s">
        <v>533</v>
      </c>
      <c r="J167" s="163" t="s">
        <v>529</v>
      </c>
      <c r="K167" s="10" t="s">
        <v>30</v>
      </c>
      <c r="L167" s="10">
        <v>3</v>
      </c>
      <c r="M167" s="10">
        <v>1</v>
      </c>
      <c r="N167" s="10">
        <v>3</v>
      </c>
      <c r="O167" s="12">
        <v>1</v>
      </c>
      <c r="P167" s="116">
        <v>6980</v>
      </c>
      <c r="Q167" s="10" t="s">
        <v>48</v>
      </c>
      <c r="R167" s="4" t="s">
        <v>1292</v>
      </c>
      <c r="S167" s="4" t="s">
        <v>1292</v>
      </c>
      <c r="T167" s="4" t="s">
        <v>19</v>
      </c>
      <c r="U167" s="4" t="str">
        <f t="shared" si="6"/>
        <v>NOT AN ADD-ON</v>
      </c>
      <c r="V167" s="4" t="str">
        <f t="shared" si="7"/>
        <v>LIFE SCIENCESLIFE SCIENCESAUTHORIZEDNOT AN ADD-ON</v>
      </c>
    </row>
    <row r="168" spans="1:22" ht="27" hidden="1" thickBot="1">
      <c r="A168" s="10" t="s">
        <v>21</v>
      </c>
      <c r="B168" s="10" t="s">
        <v>22</v>
      </c>
      <c r="C168" s="10" t="s">
        <v>500</v>
      </c>
      <c r="D168" s="10" t="s">
        <v>501</v>
      </c>
      <c r="E168" s="10" t="s">
        <v>502</v>
      </c>
      <c r="F168" s="10" t="s">
        <v>503</v>
      </c>
      <c r="G168" s="116">
        <v>4470</v>
      </c>
      <c r="H168" s="163" t="s">
        <v>569</v>
      </c>
      <c r="I168" s="166" t="s">
        <v>570</v>
      </c>
      <c r="J168" s="163" t="s">
        <v>561</v>
      </c>
      <c r="K168" s="10" t="s">
        <v>30</v>
      </c>
      <c r="L168" s="10">
        <v>3</v>
      </c>
      <c r="M168" s="10">
        <v>1</v>
      </c>
      <c r="N168" s="10">
        <v>3</v>
      </c>
      <c r="O168" s="12">
        <v>1</v>
      </c>
      <c r="P168" s="116">
        <v>712</v>
      </c>
      <c r="Q168" s="10" t="s">
        <v>48</v>
      </c>
      <c r="R168" s="4" t="s">
        <v>1292</v>
      </c>
      <c r="S168" s="4" t="s">
        <v>1292</v>
      </c>
      <c r="T168" s="4" t="s">
        <v>19</v>
      </c>
      <c r="U168" s="4" t="str">
        <f t="shared" si="6"/>
        <v>NOT AN ADD-ON</v>
      </c>
      <c r="V168" s="4" t="str">
        <f t="shared" si="7"/>
        <v>LIFE SCIENCESLIFE SCIENCESAUTHORIZEDNOT AN ADD-ON</v>
      </c>
    </row>
    <row r="169" spans="1:22" ht="29.25" hidden="1" customHeight="1" thickBot="1">
      <c r="A169" s="10" t="s">
        <v>21</v>
      </c>
      <c r="B169" s="10" t="s">
        <v>22</v>
      </c>
      <c r="C169" s="10" t="s">
        <v>23</v>
      </c>
      <c r="D169" s="10" t="s">
        <v>24</v>
      </c>
      <c r="E169" s="10" t="s">
        <v>25</v>
      </c>
      <c r="F169" s="10" t="s">
        <v>26</v>
      </c>
      <c r="G169" s="116">
        <v>2310</v>
      </c>
      <c r="H169" s="163" t="s">
        <v>90</v>
      </c>
      <c r="I169" s="158" t="s">
        <v>91</v>
      </c>
      <c r="J169" s="163" t="s">
        <v>90</v>
      </c>
      <c r="K169" s="10" t="s">
        <v>30</v>
      </c>
      <c r="L169" s="10">
        <v>2</v>
      </c>
      <c r="M169" s="10">
        <v>1</v>
      </c>
      <c r="N169" s="10">
        <v>2</v>
      </c>
      <c r="O169" s="12">
        <v>1</v>
      </c>
      <c r="P169" s="116">
        <v>2310</v>
      </c>
      <c r="Q169" s="10" t="s">
        <v>33</v>
      </c>
      <c r="R169" s="4" t="s">
        <v>42</v>
      </c>
      <c r="S169" s="4" t="s">
        <v>42</v>
      </c>
      <c r="T169" s="4" t="s">
        <v>19</v>
      </c>
      <c r="U169" s="4" t="str">
        <f t="shared" si="6"/>
        <v>NOT AN ADD-ON</v>
      </c>
      <c r="V169" s="4" t="str">
        <f t="shared" si="7"/>
        <v>ANYWHEREANYWHEREAUTHORIZEDNOT AN ADD-ON</v>
      </c>
    </row>
    <row r="170" spans="1:22" ht="15" hidden="1" thickBot="1">
      <c r="A170" s="10" t="s">
        <v>21</v>
      </c>
      <c r="B170" s="10" t="s">
        <v>22</v>
      </c>
      <c r="C170" s="10" t="s">
        <v>23</v>
      </c>
      <c r="D170" s="10" t="s">
        <v>24</v>
      </c>
      <c r="E170" s="10" t="s">
        <v>25</v>
      </c>
      <c r="F170" s="10" t="s">
        <v>26</v>
      </c>
      <c r="G170" s="116">
        <v>1390</v>
      </c>
      <c r="H170" s="163" t="s">
        <v>92</v>
      </c>
      <c r="I170" s="158" t="s">
        <v>93</v>
      </c>
      <c r="J170" s="163" t="s">
        <v>90</v>
      </c>
      <c r="K170" s="10" t="s">
        <v>30</v>
      </c>
      <c r="L170" s="10">
        <v>2</v>
      </c>
      <c r="M170" s="10">
        <v>1</v>
      </c>
      <c r="N170" s="10">
        <v>2</v>
      </c>
      <c r="O170" s="12">
        <v>1</v>
      </c>
      <c r="P170" s="116">
        <v>2310</v>
      </c>
      <c r="Q170" s="10" t="s">
        <v>36</v>
      </c>
      <c r="R170" s="4" t="s">
        <v>42</v>
      </c>
      <c r="S170" s="4" t="s">
        <v>42</v>
      </c>
      <c r="T170" s="4" t="s">
        <v>19</v>
      </c>
      <c r="U170" s="4" t="str">
        <f t="shared" si="6"/>
        <v>NOT AN ADD-ON</v>
      </c>
      <c r="V170" s="4" t="str">
        <f t="shared" si="7"/>
        <v>ANYWHEREANYWHEREAUTHORIZEDNOT AN ADD-ON</v>
      </c>
    </row>
    <row r="171" spans="1:22" ht="27" hidden="1" thickBot="1">
      <c r="A171" s="10" t="s">
        <v>21</v>
      </c>
      <c r="B171" s="10" t="s">
        <v>22</v>
      </c>
      <c r="C171" s="10" t="s">
        <v>23</v>
      </c>
      <c r="D171" s="10" t="s">
        <v>24</v>
      </c>
      <c r="E171" s="10" t="s">
        <v>25</v>
      </c>
      <c r="F171" s="10" t="s">
        <v>26</v>
      </c>
      <c r="G171" s="116">
        <v>1570</v>
      </c>
      <c r="H171" s="163" t="s">
        <v>86</v>
      </c>
      <c r="I171" s="166" t="s">
        <v>87</v>
      </c>
      <c r="J171" s="163" t="s">
        <v>64</v>
      </c>
      <c r="K171" s="10" t="s">
        <v>30</v>
      </c>
      <c r="L171" s="10">
        <v>2</v>
      </c>
      <c r="M171" s="10">
        <v>1</v>
      </c>
      <c r="N171" s="10">
        <v>2</v>
      </c>
      <c r="O171" s="12">
        <v>1</v>
      </c>
      <c r="P171" s="116">
        <v>7030</v>
      </c>
      <c r="Q171" s="10" t="s">
        <v>48</v>
      </c>
      <c r="R171" s="4" t="s">
        <v>42</v>
      </c>
      <c r="S171" s="4" t="s">
        <v>42</v>
      </c>
      <c r="T171" s="4" t="s">
        <v>19</v>
      </c>
      <c r="U171" s="4" t="str">
        <f t="shared" si="6"/>
        <v>NOT AN ADD-ON</v>
      </c>
      <c r="V171" s="4" t="str">
        <f t="shared" si="7"/>
        <v>ANYWHEREANYWHEREAUTHORIZEDNOT AN ADD-ON</v>
      </c>
    </row>
    <row r="172" spans="1:22" ht="29.25" hidden="1" customHeight="1" thickBot="1">
      <c r="A172" s="10" t="s">
        <v>21</v>
      </c>
      <c r="B172" s="10" t="s">
        <v>22</v>
      </c>
      <c r="C172" s="10" t="s">
        <v>23</v>
      </c>
      <c r="D172" s="10" t="s">
        <v>24</v>
      </c>
      <c r="E172" s="10" t="s">
        <v>25</v>
      </c>
      <c r="F172" s="10" t="s">
        <v>26</v>
      </c>
      <c r="G172" s="116">
        <v>2310</v>
      </c>
      <c r="H172" s="163" t="s">
        <v>82</v>
      </c>
      <c r="I172" s="158" t="s">
        <v>83</v>
      </c>
      <c r="J172" s="163" t="s">
        <v>82</v>
      </c>
      <c r="K172" s="10" t="s">
        <v>30</v>
      </c>
      <c r="L172" s="10">
        <v>2</v>
      </c>
      <c r="M172" s="10">
        <v>1</v>
      </c>
      <c r="N172" s="10">
        <v>2</v>
      </c>
      <c r="O172" s="12">
        <v>1</v>
      </c>
      <c r="P172" s="116">
        <v>2310</v>
      </c>
      <c r="Q172" s="10" t="s">
        <v>33</v>
      </c>
      <c r="R172" s="4" t="s">
        <v>42</v>
      </c>
      <c r="S172" s="4" t="s">
        <v>42</v>
      </c>
      <c r="T172" s="4" t="s">
        <v>19</v>
      </c>
      <c r="U172" s="4" t="str">
        <f t="shared" si="6"/>
        <v>NOT AN ADD-ON</v>
      </c>
      <c r="V172" s="4" t="str">
        <f t="shared" si="7"/>
        <v>ANYWHEREANYWHEREAUTHORIZEDNOT AN ADD-ON</v>
      </c>
    </row>
    <row r="173" spans="1:22" ht="29.25" hidden="1" customHeight="1" thickBot="1">
      <c r="A173" s="10" t="s">
        <v>21</v>
      </c>
      <c r="B173" s="10" t="s">
        <v>22</v>
      </c>
      <c r="C173" s="10" t="s">
        <v>23</v>
      </c>
      <c r="D173" s="10" t="s">
        <v>24</v>
      </c>
      <c r="E173" s="10" t="s">
        <v>25</v>
      </c>
      <c r="F173" s="10" t="s">
        <v>26</v>
      </c>
      <c r="G173" s="116">
        <v>1390</v>
      </c>
      <c r="H173" s="163" t="s">
        <v>84</v>
      </c>
      <c r="I173" s="158" t="s">
        <v>85</v>
      </c>
      <c r="J173" s="163" t="s">
        <v>82</v>
      </c>
      <c r="K173" s="10" t="s">
        <v>30</v>
      </c>
      <c r="L173" s="10">
        <v>2</v>
      </c>
      <c r="M173" s="10">
        <v>1</v>
      </c>
      <c r="N173" s="10">
        <v>2</v>
      </c>
      <c r="O173" s="12">
        <v>1</v>
      </c>
      <c r="P173" s="116">
        <v>2310</v>
      </c>
      <c r="Q173" s="10" t="s">
        <v>36</v>
      </c>
      <c r="R173" s="4" t="s">
        <v>42</v>
      </c>
      <c r="S173" s="4" t="s">
        <v>42</v>
      </c>
      <c r="T173" s="4" t="s">
        <v>19</v>
      </c>
      <c r="U173" s="4" t="str">
        <f t="shared" ref="U173:U236" si="8">IF(ISNUMBER(SEARCH("ADD-ON",$I173)),"ADD-ON","NOT AN ADD-ON")</f>
        <v>NOT AN ADD-ON</v>
      </c>
      <c r="V173" s="4" t="str">
        <f t="shared" si="7"/>
        <v>ANYWHEREANYWHEREAUTHORIZEDNOT AN ADD-ON</v>
      </c>
    </row>
    <row r="174" spans="1:22" ht="27" hidden="1" thickBot="1">
      <c r="A174" s="10" t="s">
        <v>21</v>
      </c>
      <c r="B174" s="10" t="s">
        <v>22</v>
      </c>
      <c r="C174" s="10" t="s">
        <v>23</v>
      </c>
      <c r="D174" s="10" t="s">
        <v>24</v>
      </c>
      <c r="E174" s="10" t="s">
        <v>25</v>
      </c>
      <c r="F174" s="10" t="s">
        <v>26</v>
      </c>
      <c r="G174" s="116">
        <v>1570</v>
      </c>
      <c r="H174" s="163" t="s">
        <v>78</v>
      </c>
      <c r="I174" s="166" t="s">
        <v>79</v>
      </c>
      <c r="J174" s="163" t="s">
        <v>72</v>
      </c>
      <c r="K174" s="10" t="s">
        <v>30</v>
      </c>
      <c r="L174" s="10">
        <v>2</v>
      </c>
      <c r="M174" s="10">
        <v>1</v>
      </c>
      <c r="N174" s="10">
        <v>2</v>
      </c>
      <c r="O174" s="12">
        <v>1</v>
      </c>
      <c r="P174" s="116">
        <v>7030</v>
      </c>
      <c r="Q174" s="10" t="s">
        <v>48</v>
      </c>
      <c r="R174" s="4" t="s">
        <v>42</v>
      </c>
      <c r="S174" s="4" t="s">
        <v>42</v>
      </c>
      <c r="T174" s="4" t="s">
        <v>19</v>
      </c>
      <c r="U174" s="4" t="str">
        <f t="shared" si="8"/>
        <v>NOT AN ADD-ON</v>
      </c>
      <c r="V174" s="4" t="str">
        <f t="shared" si="7"/>
        <v>ANYWHEREANYWHEREAUTHORIZEDNOT AN ADD-ON</v>
      </c>
    </row>
    <row r="175" spans="1:22" ht="15" hidden="1" thickBot="1">
      <c r="A175" s="10" t="s">
        <v>21</v>
      </c>
      <c r="B175" s="10" t="s">
        <v>22</v>
      </c>
      <c r="C175" s="10" t="s">
        <v>23</v>
      </c>
      <c r="D175" s="10" t="s">
        <v>24</v>
      </c>
      <c r="E175" s="10" t="s">
        <v>25</v>
      </c>
      <c r="F175" s="10" t="s">
        <v>26</v>
      </c>
      <c r="G175" s="116">
        <v>1400</v>
      </c>
      <c r="H175" s="163" t="s">
        <v>29</v>
      </c>
      <c r="I175" s="158" t="s">
        <v>32</v>
      </c>
      <c r="J175" s="163" t="s">
        <v>29</v>
      </c>
      <c r="K175" s="10" t="s">
        <v>30</v>
      </c>
      <c r="L175" s="10">
        <v>0</v>
      </c>
      <c r="M175" s="10">
        <f t="shared" ref="M175:M194" si="9">ROUND(IF(K175="Authorized User",L175/3,L175),2)</f>
        <v>0</v>
      </c>
      <c r="N175" s="10">
        <v>5</v>
      </c>
      <c r="O175" s="12">
        <f t="shared" ref="O175:O178" si="10">N175/3</f>
        <v>1.6666666666666667</v>
      </c>
      <c r="P175" s="116">
        <v>1400</v>
      </c>
      <c r="Q175" s="10" t="s">
        <v>33</v>
      </c>
      <c r="R175" s="4" t="s">
        <v>42</v>
      </c>
      <c r="S175" s="4" t="s">
        <v>42</v>
      </c>
      <c r="T175" s="4" t="s">
        <v>19</v>
      </c>
      <c r="U175" s="4" t="str">
        <f t="shared" si="8"/>
        <v>ADD-ON</v>
      </c>
      <c r="V175" s="4" t="str">
        <f t="shared" si="7"/>
        <v>ANYWHEREANYWHEREAUTHORIZEDADD-ON</v>
      </c>
    </row>
    <row r="176" spans="1:22" ht="15" hidden="1" thickBot="1">
      <c r="A176" s="10" t="s">
        <v>21</v>
      </c>
      <c r="B176" s="10" t="s">
        <v>22</v>
      </c>
      <c r="C176" s="10" t="s">
        <v>23</v>
      </c>
      <c r="D176" s="10" t="s">
        <v>24</v>
      </c>
      <c r="E176" s="10" t="s">
        <v>25</v>
      </c>
      <c r="F176" s="10" t="s">
        <v>26</v>
      </c>
      <c r="G176" s="116">
        <v>839</v>
      </c>
      <c r="H176" s="163" t="s">
        <v>34</v>
      </c>
      <c r="I176" s="158" t="s">
        <v>35</v>
      </c>
      <c r="J176" s="163" t="s">
        <v>29</v>
      </c>
      <c r="K176" s="10" t="s">
        <v>30</v>
      </c>
      <c r="L176" s="10">
        <v>0</v>
      </c>
      <c r="M176" s="10">
        <f t="shared" si="9"/>
        <v>0</v>
      </c>
      <c r="N176" s="10">
        <v>5</v>
      </c>
      <c r="O176" s="12">
        <f t="shared" si="10"/>
        <v>1.6666666666666667</v>
      </c>
      <c r="P176" s="116">
        <v>1400</v>
      </c>
      <c r="Q176" s="10" t="s">
        <v>36</v>
      </c>
      <c r="R176" s="4" t="s">
        <v>42</v>
      </c>
      <c r="S176" s="4" t="s">
        <v>42</v>
      </c>
      <c r="T176" s="4" t="s">
        <v>19</v>
      </c>
      <c r="U176" s="4" t="str">
        <f t="shared" si="8"/>
        <v>ADD-ON</v>
      </c>
      <c r="V176" s="4" t="str">
        <f t="shared" si="7"/>
        <v>ANYWHEREANYWHEREAUTHORIZEDADD-ON</v>
      </c>
    </row>
    <row r="177" spans="1:22" ht="29.25" hidden="1" customHeight="1" thickBot="1">
      <c r="A177" s="10" t="s">
        <v>21</v>
      </c>
      <c r="B177" s="10" t="s">
        <v>22</v>
      </c>
      <c r="C177" s="10" t="s">
        <v>23</v>
      </c>
      <c r="D177" s="10" t="s">
        <v>24</v>
      </c>
      <c r="E177" s="10" t="s">
        <v>25</v>
      </c>
      <c r="F177" s="10" t="s">
        <v>26</v>
      </c>
      <c r="G177" s="116">
        <v>1400</v>
      </c>
      <c r="H177" s="163" t="s">
        <v>58</v>
      </c>
      <c r="I177" s="158" t="s">
        <v>59</v>
      </c>
      <c r="J177" s="163" t="s">
        <v>58</v>
      </c>
      <c r="K177" s="10" t="s">
        <v>30</v>
      </c>
      <c r="L177" s="10">
        <v>0</v>
      </c>
      <c r="M177" s="10">
        <f t="shared" si="9"/>
        <v>0</v>
      </c>
      <c r="N177" s="10">
        <v>5</v>
      </c>
      <c r="O177" s="12">
        <f t="shared" si="10"/>
        <v>1.6666666666666667</v>
      </c>
      <c r="P177" s="116">
        <v>1400</v>
      </c>
      <c r="Q177" s="10" t="s">
        <v>33</v>
      </c>
      <c r="R177" s="4" t="s">
        <v>42</v>
      </c>
      <c r="S177" s="4" t="s">
        <v>42</v>
      </c>
      <c r="T177" s="4" t="s">
        <v>19</v>
      </c>
      <c r="U177" s="4" t="str">
        <f t="shared" si="8"/>
        <v>ADD-ON</v>
      </c>
      <c r="V177" s="4" t="str">
        <f t="shared" si="7"/>
        <v>ANYWHEREANYWHEREAUTHORIZEDADD-ON</v>
      </c>
    </row>
    <row r="178" spans="1:22" ht="29.25" hidden="1" customHeight="1" thickBot="1">
      <c r="A178" s="10" t="s">
        <v>21</v>
      </c>
      <c r="B178" s="10" t="s">
        <v>22</v>
      </c>
      <c r="C178" s="10" t="s">
        <v>23</v>
      </c>
      <c r="D178" s="10" t="s">
        <v>24</v>
      </c>
      <c r="E178" s="10" t="s">
        <v>25</v>
      </c>
      <c r="F178" s="10" t="s">
        <v>26</v>
      </c>
      <c r="G178" s="116">
        <v>839</v>
      </c>
      <c r="H178" s="163" t="s">
        <v>60</v>
      </c>
      <c r="I178" s="158" t="s">
        <v>61</v>
      </c>
      <c r="J178" s="163" t="s">
        <v>58</v>
      </c>
      <c r="K178" s="10" t="s">
        <v>30</v>
      </c>
      <c r="L178" s="10">
        <v>0</v>
      </c>
      <c r="M178" s="10">
        <f t="shared" si="9"/>
        <v>0</v>
      </c>
      <c r="N178" s="10">
        <v>5</v>
      </c>
      <c r="O178" s="12">
        <f t="shared" si="10"/>
        <v>1.6666666666666667</v>
      </c>
      <c r="P178" s="116">
        <v>1400</v>
      </c>
      <c r="Q178" s="10" t="s">
        <v>36</v>
      </c>
      <c r="R178" s="4" t="s">
        <v>42</v>
      </c>
      <c r="S178" s="4" t="s">
        <v>42</v>
      </c>
      <c r="T178" s="4" t="s">
        <v>19</v>
      </c>
      <c r="U178" s="4" t="str">
        <f t="shared" si="8"/>
        <v>ADD-ON</v>
      </c>
      <c r="V178" s="4" t="str">
        <f t="shared" si="7"/>
        <v>ANYWHEREANYWHEREAUTHORIZEDADD-ON</v>
      </c>
    </row>
    <row r="179" spans="1:22" ht="27" hidden="1" thickBot="1">
      <c r="A179" s="10" t="s">
        <v>21</v>
      </c>
      <c r="B179" s="10" t="s">
        <v>22</v>
      </c>
      <c r="C179" s="10" t="s">
        <v>301</v>
      </c>
      <c r="D179" s="10" t="s">
        <v>141</v>
      </c>
      <c r="E179" s="10" t="s">
        <v>142</v>
      </c>
      <c r="F179" s="10" t="s">
        <v>143</v>
      </c>
      <c r="G179" s="116">
        <v>645</v>
      </c>
      <c r="H179" s="163" t="s">
        <v>305</v>
      </c>
      <c r="I179" s="166" t="s">
        <v>306</v>
      </c>
      <c r="J179" s="163" t="s">
        <v>304</v>
      </c>
      <c r="K179" s="10" t="s">
        <v>30</v>
      </c>
      <c r="L179" s="10">
        <v>0</v>
      </c>
      <c r="M179" s="10">
        <f t="shared" si="9"/>
        <v>0</v>
      </c>
      <c r="N179" s="10">
        <v>10</v>
      </c>
      <c r="O179" s="12">
        <v>3.3333333333333335</v>
      </c>
      <c r="P179" s="116">
        <v>2020</v>
      </c>
      <c r="Q179" s="10" t="s">
        <v>48</v>
      </c>
      <c r="R179" s="4" t="s">
        <v>1285</v>
      </c>
      <c r="S179" s="4" t="s">
        <v>507</v>
      </c>
      <c r="T179" s="4" t="s">
        <v>19</v>
      </c>
      <c r="U179" s="4" t="str">
        <f t="shared" si="8"/>
        <v>NOT AN ADD-ON</v>
      </c>
      <c r="V179" s="4" t="str">
        <f t="shared" si="7"/>
        <v>SCHEDULERADD-ONAUTHORIZEDNOT AN ADD-ON</v>
      </c>
    </row>
    <row r="180" spans="1:22" ht="27" hidden="1" thickBot="1">
      <c r="A180" s="10" t="s">
        <v>21</v>
      </c>
      <c r="B180" s="10" t="s">
        <v>22</v>
      </c>
      <c r="C180" s="10" t="s">
        <v>301</v>
      </c>
      <c r="D180" s="10" t="s">
        <v>141</v>
      </c>
      <c r="E180" s="10" t="s">
        <v>142</v>
      </c>
      <c r="F180" s="10" t="s">
        <v>143</v>
      </c>
      <c r="G180" s="116">
        <v>1380</v>
      </c>
      <c r="H180" s="163" t="s">
        <v>302</v>
      </c>
      <c r="I180" s="166" t="s">
        <v>303</v>
      </c>
      <c r="J180" s="163" t="s">
        <v>304</v>
      </c>
      <c r="K180" s="10" t="s">
        <v>30</v>
      </c>
      <c r="L180" s="10">
        <v>0</v>
      </c>
      <c r="M180" s="10">
        <f t="shared" si="9"/>
        <v>0</v>
      </c>
      <c r="N180" s="10">
        <v>10</v>
      </c>
      <c r="O180" s="12">
        <v>3.3333333333333335</v>
      </c>
      <c r="P180" s="116">
        <v>2020</v>
      </c>
      <c r="Q180" s="10" t="s">
        <v>48</v>
      </c>
      <c r="R180" s="4" t="s">
        <v>1285</v>
      </c>
      <c r="S180" s="4" t="s">
        <v>507</v>
      </c>
      <c r="T180" s="4" t="s">
        <v>19</v>
      </c>
      <c r="U180" s="4" t="str">
        <f t="shared" si="8"/>
        <v>NOT AN ADD-ON</v>
      </c>
      <c r="V180" s="4" t="str">
        <f t="shared" si="7"/>
        <v>SCHEDULERADD-ONAUTHORIZEDNOT AN ADD-ON</v>
      </c>
    </row>
    <row r="181" spans="1:22" ht="27" hidden="1" thickBot="1">
      <c r="A181" s="10" t="s">
        <v>21</v>
      </c>
      <c r="B181" s="10" t="s">
        <v>22</v>
      </c>
      <c r="C181" s="10" t="s">
        <v>301</v>
      </c>
      <c r="D181" s="10" t="s">
        <v>141</v>
      </c>
      <c r="E181" s="10" t="s">
        <v>142</v>
      </c>
      <c r="F181" s="10" t="s">
        <v>143</v>
      </c>
      <c r="G181" s="116">
        <v>645</v>
      </c>
      <c r="H181" s="163" t="s">
        <v>331</v>
      </c>
      <c r="I181" s="166" t="s">
        <v>332</v>
      </c>
      <c r="J181" s="163" t="s">
        <v>330</v>
      </c>
      <c r="K181" s="10" t="s">
        <v>30</v>
      </c>
      <c r="L181" s="10">
        <v>0</v>
      </c>
      <c r="M181" s="10">
        <f t="shared" si="9"/>
        <v>0</v>
      </c>
      <c r="N181" s="10">
        <v>10</v>
      </c>
      <c r="O181" s="12">
        <v>3.3333333333333335</v>
      </c>
      <c r="P181" s="116">
        <v>2020</v>
      </c>
      <c r="Q181" s="10" t="s">
        <v>48</v>
      </c>
      <c r="R181" s="4" t="s">
        <v>1285</v>
      </c>
      <c r="S181" s="4" t="s">
        <v>507</v>
      </c>
      <c r="T181" s="4" t="s">
        <v>19</v>
      </c>
      <c r="U181" s="4" t="str">
        <f t="shared" si="8"/>
        <v>NOT AN ADD-ON</v>
      </c>
      <c r="V181" s="4" t="str">
        <f t="shared" si="7"/>
        <v>SCHEDULERADD-ONAUTHORIZEDNOT AN ADD-ON</v>
      </c>
    </row>
    <row r="182" spans="1:22" ht="29.25" hidden="1" customHeight="1" thickBot="1">
      <c r="A182" s="10" t="s">
        <v>21</v>
      </c>
      <c r="B182" s="10" t="s">
        <v>22</v>
      </c>
      <c r="C182" s="10" t="s">
        <v>301</v>
      </c>
      <c r="D182" s="10" t="s">
        <v>141</v>
      </c>
      <c r="E182" s="10" t="s">
        <v>142</v>
      </c>
      <c r="F182" s="10" t="s">
        <v>143</v>
      </c>
      <c r="G182" s="116">
        <v>1380</v>
      </c>
      <c r="H182" s="163" t="s">
        <v>328</v>
      </c>
      <c r="I182" s="166" t="s">
        <v>329</v>
      </c>
      <c r="J182" s="163" t="s">
        <v>330</v>
      </c>
      <c r="K182" s="10" t="s">
        <v>30</v>
      </c>
      <c r="L182" s="10">
        <v>0</v>
      </c>
      <c r="M182" s="10">
        <f t="shared" si="9"/>
        <v>0</v>
      </c>
      <c r="N182" s="10">
        <v>10</v>
      </c>
      <c r="O182" s="12">
        <v>3.3333333333333335</v>
      </c>
      <c r="P182" s="116">
        <v>2020</v>
      </c>
      <c r="Q182" s="10" t="s">
        <v>48</v>
      </c>
      <c r="R182" s="4" t="s">
        <v>1285</v>
      </c>
      <c r="S182" s="4" t="s">
        <v>507</v>
      </c>
      <c r="T182" s="4" t="s">
        <v>19</v>
      </c>
      <c r="U182" s="4" t="str">
        <f t="shared" si="8"/>
        <v>NOT AN ADD-ON</v>
      </c>
      <c r="V182" s="4" t="str">
        <f t="shared" si="7"/>
        <v>SCHEDULERADD-ONAUTHORIZEDNOT AN ADD-ON</v>
      </c>
    </row>
    <row r="183" spans="1:22" ht="15" hidden="1" thickBot="1">
      <c r="A183" s="10" t="s">
        <v>21</v>
      </c>
      <c r="B183" s="10" t="s">
        <v>22</v>
      </c>
      <c r="C183" s="10" t="s">
        <v>448</v>
      </c>
      <c r="D183" s="10" t="s">
        <v>449</v>
      </c>
      <c r="E183" s="10" t="s">
        <v>450</v>
      </c>
      <c r="F183" s="10" t="s">
        <v>451</v>
      </c>
      <c r="G183" s="116">
        <v>11400</v>
      </c>
      <c r="H183" s="163" t="s">
        <v>454</v>
      </c>
      <c r="I183" s="158" t="s">
        <v>455</v>
      </c>
      <c r="J183" s="163" t="s">
        <v>454</v>
      </c>
      <c r="K183" s="10" t="s">
        <v>30</v>
      </c>
      <c r="L183" s="249">
        <v>5</v>
      </c>
      <c r="M183" s="250">
        <v>1</v>
      </c>
      <c r="N183" s="250">
        <v>5</v>
      </c>
      <c r="O183" s="251">
        <v>1</v>
      </c>
      <c r="P183" s="116">
        <v>11400</v>
      </c>
      <c r="Q183" s="10" t="s">
        <v>33</v>
      </c>
      <c r="R183" s="4" t="s">
        <v>1280</v>
      </c>
      <c r="S183" s="4" t="s">
        <v>1279</v>
      </c>
      <c r="T183" s="4" t="s">
        <v>19</v>
      </c>
      <c r="U183" s="4" t="str">
        <f t="shared" si="8"/>
        <v>NOT AN ADD-ON</v>
      </c>
      <c r="V183" s="4" t="str">
        <f t="shared" si="7"/>
        <v>AVIATIONINDUSTRY SOLUTIONAUTHORIZEDNOT AN ADD-ON</v>
      </c>
    </row>
    <row r="184" spans="1:22" ht="29.25" hidden="1" customHeight="1" thickBot="1">
      <c r="A184" s="10" t="s">
        <v>21</v>
      </c>
      <c r="B184" s="10" t="s">
        <v>22</v>
      </c>
      <c r="C184" s="10" t="s">
        <v>448</v>
      </c>
      <c r="D184" s="10" t="s">
        <v>449</v>
      </c>
      <c r="E184" s="10" t="s">
        <v>450</v>
      </c>
      <c r="F184" s="10" t="s">
        <v>451</v>
      </c>
      <c r="G184" s="116">
        <v>6880</v>
      </c>
      <c r="H184" s="163" t="s">
        <v>456</v>
      </c>
      <c r="I184" s="158" t="s">
        <v>457</v>
      </c>
      <c r="J184" s="163" t="s">
        <v>454</v>
      </c>
      <c r="K184" s="10" t="s">
        <v>30</v>
      </c>
      <c r="L184" s="249">
        <v>5</v>
      </c>
      <c r="M184" s="250">
        <v>1</v>
      </c>
      <c r="N184" s="250">
        <v>5</v>
      </c>
      <c r="O184" s="251">
        <v>1</v>
      </c>
      <c r="P184" s="116">
        <v>11400</v>
      </c>
      <c r="Q184" s="10" t="s">
        <v>36</v>
      </c>
      <c r="R184" s="4" t="s">
        <v>1280</v>
      </c>
      <c r="S184" s="4" t="s">
        <v>1279</v>
      </c>
      <c r="T184" s="4" t="s">
        <v>19</v>
      </c>
      <c r="U184" s="4" t="str">
        <f t="shared" si="8"/>
        <v>NOT AN ADD-ON</v>
      </c>
      <c r="V184" s="4" t="str">
        <f t="shared" si="7"/>
        <v>AVIATIONINDUSTRY SOLUTIONAUTHORIZEDNOT AN ADD-ON</v>
      </c>
    </row>
    <row r="185" spans="1:22" ht="15" hidden="1" thickBot="1">
      <c r="A185" s="10" t="s">
        <v>21</v>
      </c>
      <c r="B185" s="10" t="s">
        <v>22</v>
      </c>
      <c r="C185" s="10" t="s">
        <v>448</v>
      </c>
      <c r="D185" s="10" t="s">
        <v>449</v>
      </c>
      <c r="E185" s="10" t="s">
        <v>450</v>
      </c>
      <c r="F185" s="10" t="s">
        <v>451</v>
      </c>
      <c r="G185" s="116">
        <v>31600</v>
      </c>
      <c r="H185" s="163" t="s">
        <v>460</v>
      </c>
      <c r="I185" s="158" t="s">
        <v>461</v>
      </c>
      <c r="J185" s="163" t="s">
        <v>460</v>
      </c>
      <c r="K185" s="10" t="s">
        <v>40</v>
      </c>
      <c r="L185" s="10">
        <v>15</v>
      </c>
      <c r="M185" s="10">
        <f t="shared" si="9"/>
        <v>15</v>
      </c>
      <c r="N185" s="10">
        <v>15</v>
      </c>
      <c r="O185" s="12">
        <v>1</v>
      </c>
      <c r="P185" s="116">
        <v>31600</v>
      </c>
      <c r="Q185" s="10" t="s">
        <v>33</v>
      </c>
      <c r="R185" s="4" t="s">
        <v>1280</v>
      </c>
      <c r="S185" s="4" t="s">
        <v>1279</v>
      </c>
      <c r="T185" s="4" t="s">
        <v>19</v>
      </c>
      <c r="U185" s="4" t="str">
        <f t="shared" si="8"/>
        <v>NOT AN ADD-ON</v>
      </c>
      <c r="V185" s="4" t="str">
        <f t="shared" si="7"/>
        <v>AVIATIONINDUSTRY SOLUTIONAUTHORIZEDNOT AN ADD-ON</v>
      </c>
    </row>
    <row r="186" spans="1:22" ht="15" hidden="1" thickBot="1">
      <c r="A186" s="10" t="s">
        <v>21</v>
      </c>
      <c r="B186" s="10" t="s">
        <v>22</v>
      </c>
      <c r="C186" s="10" t="s">
        <v>448</v>
      </c>
      <c r="D186" s="10" t="s">
        <v>449</v>
      </c>
      <c r="E186" s="10" t="s">
        <v>450</v>
      </c>
      <c r="F186" s="10" t="s">
        <v>451</v>
      </c>
      <c r="G186" s="116">
        <v>18800</v>
      </c>
      <c r="H186" s="163" t="s">
        <v>462</v>
      </c>
      <c r="I186" s="158" t="s">
        <v>463</v>
      </c>
      <c r="J186" s="163" t="s">
        <v>460</v>
      </c>
      <c r="K186" s="10" t="s">
        <v>40</v>
      </c>
      <c r="L186" s="10">
        <v>15</v>
      </c>
      <c r="M186" s="10">
        <f t="shared" si="9"/>
        <v>15</v>
      </c>
      <c r="N186" s="10">
        <v>15</v>
      </c>
      <c r="O186" s="12">
        <v>1</v>
      </c>
      <c r="P186" s="116">
        <v>31600</v>
      </c>
      <c r="Q186" s="10" t="s">
        <v>36</v>
      </c>
      <c r="R186" s="4" t="s">
        <v>1280</v>
      </c>
      <c r="S186" s="4" t="s">
        <v>1279</v>
      </c>
      <c r="T186" s="4" t="s">
        <v>19</v>
      </c>
      <c r="U186" s="4" t="str">
        <f t="shared" si="8"/>
        <v>NOT AN ADD-ON</v>
      </c>
      <c r="V186" s="4" t="str">
        <f t="shared" si="7"/>
        <v>AVIATIONINDUSTRY SOLUTIONAUTHORIZEDNOT AN ADD-ON</v>
      </c>
    </row>
    <row r="187" spans="1:22" ht="29.25" hidden="1" customHeight="1" thickBot="1">
      <c r="A187" s="10" t="s">
        <v>21</v>
      </c>
      <c r="B187" s="10" t="s">
        <v>22</v>
      </c>
      <c r="C187" s="10" t="s">
        <v>448</v>
      </c>
      <c r="D187" s="10" t="s">
        <v>449</v>
      </c>
      <c r="E187" s="10" t="s">
        <v>450</v>
      </c>
      <c r="F187" s="10" t="s">
        <v>451</v>
      </c>
      <c r="G187" s="116">
        <v>3840</v>
      </c>
      <c r="H187" s="163" t="s">
        <v>478</v>
      </c>
      <c r="I187" s="158" t="s">
        <v>479</v>
      </c>
      <c r="J187" s="163" t="s">
        <v>478</v>
      </c>
      <c r="K187" s="10" t="s">
        <v>30</v>
      </c>
      <c r="L187" s="10">
        <v>2</v>
      </c>
      <c r="M187" s="10">
        <v>1</v>
      </c>
      <c r="N187" s="10">
        <v>2</v>
      </c>
      <c r="O187" s="12">
        <v>1</v>
      </c>
      <c r="P187" s="116">
        <v>3840</v>
      </c>
      <c r="Q187" s="10" t="s">
        <v>33</v>
      </c>
      <c r="R187" s="4" t="s">
        <v>1280</v>
      </c>
      <c r="S187" s="4" t="s">
        <v>1279</v>
      </c>
      <c r="T187" s="4" t="s">
        <v>672</v>
      </c>
      <c r="U187" s="4" t="str">
        <f t="shared" si="8"/>
        <v>NOT AN ADD-ON</v>
      </c>
      <c r="V187" s="4" t="str">
        <f t="shared" si="7"/>
        <v>AVIATIONINDUSTRY SOLUTIONLIMITEDNOT AN ADD-ON</v>
      </c>
    </row>
    <row r="188" spans="1:22" ht="29.25" hidden="1" customHeight="1" thickBot="1">
      <c r="A188" s="10" t="s">
        <v>21</v>
      </c>
      <c r="B188" s="10" t="s">
        <v>22</v>
      </c>
      <c r="C188" s="10" t="s">
        <v>448</v>
      </c>
      <c r="D188" s="10" t="s">
        <v>449</v>
      </c>
      <c r="E188" s="10" t="s">
        <v>450</v>
      </c>
      <c r="F188" s="10" t="s">
        <v>451</v>
      </c>
      <c r="G188" s="116">
        <v>2310</v>
      </c>
      <c r="H188" s="163" t="s">
        <v>480</v>
      </c>
      <c r="I188" s="158" t="s">
        <v>481</v>
      </c>
      <c r="J188" s="163" t="s">
        <v>478</v>
      </c>
      <c r="K188" s="10" t="s">
        <v>30</v>
      </c>
      <c r="L188" s="10">
        <v>2</v>
      </c>
      <c r="M188" s="10">
        <v>1</v>
      </c>
      <c r="N188" s="10">
        <v>2</v>
      </c>
      <c r="O188" s="12">
        <v>1</v>
      </c>
      <c r="P188" s="116">
        <v>3840</v>
      </c>
      <c r="Q188" s="10" t="s">
        <v>36</v>
      </c>
      <c r="R188" s="4" t="s">
        <v>1280</v>
      </c>
      <c r="S188" s="4" t="s">
        <v>1279</v>
      </c>
      <c r="T188" s="4" t="s">
        <v>672</v>
      </c>
      <c r="U188" s="4" t="str">
        <f t="shared" si="8"/>
        <v>NOT AN ADD-ON</v>
      </c>
      <c r="V188" s="4" t="str">
        <f t="shared" si="7"/>
        <v>AVIATIONINDUSTRY SOLUTIONLIMITEDNOT AN ADD-ON</v>
      </c>
    </row>
    <row r="189" spans="1:22" ht="29.25" hidden="1" customHeight="1" thickBot="1">
      <c r="A189" s="10" t="s">
        <v>21</v>
      </c>
      <c r="B189" s="10" t="s">
        <v>22</v>
      </c>
      <c r="C189" s="10" t="s">
        <v>448</v>
      </c>
      <c r="D189" s="10" t="s">
        <v>449</v>
      </c>
      <c r="E189" s="10" t="s">
        <v>450</v>
      </c>
      <c r="F189" s="10" t="s">
        <v>451</v>
      </c>
      <c r="G189" s="116">
        <v>10500</v>
      </c>
      <c r="H189" s="163" t="s">
        <v>484</v>
      </c>
      <c r="I189" s="158" t="s">
        <v>485</v>
      </c>
      <c r="J189" s="163" t="s">
        <v>484</v>
      </c>
      <c r="K189" s="10" t="s">
        <v>40</v>
      </c>
      <c r="L189" s="10">
        <v>5</v>
      </c>
      <c r="M189" s="10">
        <f t="shared" si="9"/>
        <v>5</v>
      </c>
      <c r="N189" s="10">
        <v>5</v>
      </c>
      <c r="O189" s="12">
        <v>1</v>
      </c>
      <c r="P189" s="116">
        <v>10500</v>
      </c>
      <c r="Q189" s="10" t="s">
        <v>33</v>
      </c>
      <c r="R189" s="4" t="s">
        <v>1280</v>
      </c>
      <c r="S189" s="4" t="s">
        <v>1279</v>
      </c>
      <c r="T189" s="4" t="s">
        <v>672</v>
      </c>
      <c r="U189" s="4" t="str">
        <f t="shared" si="8"/>
        <v>NOT AN ADD-ON</v>
      </c>
      <c r="V189" s="4" t="str">
        <f t="shared" si="7"/>
        <v>AVIATIONINDUSTRY SOLUTIONLIMITEDNOT AN ADD-ON</v>
      </c>
    </row>
    <row r="190" spans="1:22" ht="15" hidden="1" thickBot="1">
      <c r="A190" s="10" t="s">
        <v>21</v>
      </c>
      <c r="B190" s="10" t="s">
        <v>22</v>
      </c>
      <c r="C190" s="10" t="s">
        <v>448</v>
      </c>
      <c r="D190" s="10" t="s">
        <v>449</v>
      </c>
      <c r="E190" s="10" t="s">
        <v>450</v>
      </c>
      <c r="F190" s="10" t="s">
        <v>451</v>
      </c>
      <c r="G190" s="116">
        <v>6320</v>
      </c>
      <c r="H190" s="163" t="s">
        <v>486</v>
      </c>
      <c r="I190" s="158" t="s">
        <v>487</v>
      </c>
      <c r="J190" s="163" t="s">
        <v>484</v>
      </c>
      <c r="K190" s="10" t="s">
        <v>40</v>
      </c>
      <c r="L190" s="10">
        <v>5</v>
      </c>
      <c r="M190" s="10">
        <f t="shared" si="9"/>
        <v>5</v>
      </c>
      <c r="N190" s="10">
        <v>5</v>
      </c>
      <c r="O190" s="12">
        <v>1</v>
      </c>
      <c r="P190" s="116">
        <v>10500</v>
      </c>
      <c r="Q190" s="10" t="s">
        <v>36</v>
      </c>
      <c r="R190" s="4" t="s">
        <v>1280</v>
      </c>
      <c r="S190" s="4" t="s">
        <v>1279</v>
      </c>
      <c r="T190" s="4" t="s">
        <v>672</v>
      </c>
      <c r="U190" s="4" t="str">
        <f t="shared" si="8"/>
        <v>NOT AN ADD-ON</v>
      </c>
      <c r="V190" s="4" t="str">
        <f t="shared" si="7"/>
        <v>AVIATIONINDUSTRY SOLUTIONLIMITEDNOT AN ADD-ON</v>
      </c>
    </row>
    <row r="191" spans="1:22" ht="15" hidden="1" thickBot="1">
      <c r="A191" s="10" t="s">
        <v>21</v>
      </c>
      <c r="B191" s="10" t="s">
        <v>22</v>
      </c>
      <c r="C191" s="10" t="s">
        <v>448</v>
      </c>
      <c r="D191" s="10" t="s">
        <v>449</v>
      </c>
      <c r="E191" s="10" t="s">
        <v>450</v>
      </c>
      <c r="F191" s="10" t="s">
        <v>451</v>
      </c>
      <c r="G191" s="116">
        <v>31600</v>
      </c>
      <c r="H191" s="163" t="s">
        <v>472</v>
      </c>
      <c r="I191" s="158" t="s">
        <v>473</v>
      </c>
      <c r="J191" s="163" t="s">
        <v>472</v>
      </c>
      <c r="K191" s="10" t="s">
        <v>40</v>
      </c>
      <c r="L191" s="10">
        <v>15</v>
      </c>
      <c r="M191" s="10">
        <f t="shared" si="9"/>
        <v>15</v>
      </c>
      <c r="N191" s="10">
        <v>15</v>
      </c>
      <c r="O191" s="12">
        <v>1</v>
      </c>
      <c r="P191" s="116">
        <v>31600</v>
      </c>
      <c r="Q191" s="10" t="s">
        <v>33</v>
      </c>
      <c r="R191" s="4" t="s">
        <v>1280</v>
      </c>
      <c r="S191" s="4" t="s">
        <v>1279</v>
      </c>
      <c r="T191" s="4" t="s">
        <v>19</v>
      </c>
      <c r="U191" s="4" t="str">
        <f t="shared" si="8"/>
        <v>NOT AN ADD-ON</v>
      </c>
      <c r="V191" s="4" t="str">
        <f t="shared" si="7"/>
        <v>AVIATIONINDUSTRY SOLUTIONAUTHORIZEDNOT AN ADD-ON</v>
      </c>
    </row>
    <row r="192" spans="1:22" ht="29.25" hidden="1" customHeight="1" thickBot="1">
      <c r="A192" s="10" t="s">
        <v>21</v>
      </c>
      <c r="B192" s="10" t="s">
        <v>22</v>
      </c>
      <c r="C192" s="10" t="s">
        <v>448</v>
      </c>
      <c r="D192" s="10" t="s">
        <v>449</v>
      </c>
      <c r="E192" s="10" t="s">
        <v>450</v>
      </c>
      <c r="F192" s="10" t="s">
        <v>451</v>
      </c>
      <c r="G192" s="116">
        <v>18800</v>
      </c>
      <c r="H192" s="163" t="s">
        <v>474</v>
      </c>
      <c r="I192" s="158" t="s">
        <v>475</v>
      </c>
      <c r="J192" s="163" t="s">
        <v>472</v>
      </c>
      <c r="K192" s="10" t="s">
        <v>40</v>
      </c>
      <c r="L192" s="10">
        <v>15</v>
      </c>
      <c r="M192" s="10">
        <f t="shared" si="9"/>
        <v>15</v>
      </c>
      <c r="N192" s="10">
        <v>15</v>
      </c>
      <c r="O192" s="12">
        <v>1</v>
      </c>
      <c r="P192" s="116">
        <v>31600</v>
      </c>
      <c r="Q192" s="10" t="s">
        <v>36</v>
      </c>
      <c r="R192" s="4" t="s">
        <v>1280</v>
      </c>
      <c r="S192" s="4" t="s">
        <v>1279</v>
      </c>
      <c r="T192" s="4" t="s">
        <v>19</v>
      </c>
      <c r="U192" s="4" t="str">
        <f t="shared" si="8"/>
        <v>NOT AN ADD-ON</v>
      </c>
      <c r="V192" s="4" t="str">
        <f t="shared" si="7"/>
        <v>AVIATIONINDUSTRY SOLUTIONAUTHORIZEDNOT AN ADD-ON</v>
      </c>
    </row>
    <row r="193" spans="1:22" ht="15" hidden="1" thickBot="1">
      <c r="A193" s="10" t="s">
        <v>21</v>
      </c>
      <c r="B193" s="10" t="s">
        <v>22</v>
      </c>
      <c r="C193" s="10" t="s">
        <v>140</v>
      </c>
      <c r="D193" s="10" t="s">
        <v>141</v>
      </c>
      <c r="E193" s="10" t="s">
        <v>142</v>
      </c>
      <c r="F193" s="10" t="s">
        <v>143</v>
      </c>
      <c r="G193" s="116">
        <v>3620</v>
      </c>
      <c r="H193" s="163" t="s">
        <v>184</v>
      </c>
      <c r="I193" s="158" t="s">
        <v>185</v>
      </c>
      <c r="J193" s="163" t="s">
        <v>184</v>
      </c>
      <c r="K193" s="10" t="s">
        <v>40</v>
      </c>
      <c r="L193" s="10">
        <v>5</v>
      </c>
      <c r="M193" s="10">
        <f t="shared" si="9"/>
        <v>5</v>
      </c>
      <c r="N193" s="10">
        <v>5</v>
      </c>
      <c r="O193" s="12">
        <v>1</v>
      </c>
      <c r="P193" s="116">
        <v>3620</v>
      </c>
      <c r="Q193" s="10" t="s">
        <v>33</v>
      </c>
      <c r="R193" s="4" t="s">
        <v>1278</v>
      </c>
      <c r="S193" s="4" t="s">
        <v>1278</v>
      </c>
      <c r="T193" s="4" t="s">
        <v>1381</v>
      </c>
      <c r="U193" s="4" t="str">
        <f t="shared" si="8"/>
        <v>NOT AN ADD-ON</v>
      </c>
      <c r="V193" s="4" t="str">
        <f t="shared" si="7"/>
        <v>ASSET MANAGEMENT (CORE)ASSET MANAGEMENT (CORE)EXPRESSNOT AN ADD-ON</v>
      </c>
    </row>
    <row r="194" spans="1:22" ht="15" hidden="1" thickBot="1">
      <c r="A194" s="10" t="s">
        <v>21</v>
      </c>
      <c r="B194" s="10" t="s">
        <v>22</v>
      </c>
      <c r="C194" s="10" t="s">
        <v>140</v>
      </c>
      <c r="D194" s="10" t="s">
        <v>141</v>
      </c>
      <c r="E194" s="10" t="s">
        <v>142</v>
      </c>
      <c r="F194" s="10" t="s">
        <v>143</v>
      </c>
      <c r="G194" s="116">
        <v>2170</v>
      </c>
      <c r="H194" s="163" t="s">
        <v>186</v>
      </c>
      <c r="I194" s="158" t="s">
        <v>187</v>
      </c>
      <c r="J194" s="163" t="s">
        <v>184</v>
      </c>
      <c r="K194" s="10" t="s">
        <v>40</v>
      </c>
      <c r="L194" s="10">
        <v>5</v>
      </c>
      <c r="M194" s="10">
        <f t="shared" si="9"/>
        <v>5</v>
      </c>
      <c r="N194" s="10">
        <v>5</v>
      </c>
      <c r="O194" s="12">
        <v>1</v>
      </c>
      <c r="P194" s="116">
        <v>3620</v>
      </c>
      <c r="Q194" s="10" t="s">
        <v>36</v>
      </c>
      <c r="R194" s="4" t="s">
        <v>1278</v>
      </c>
      <c r="S194" s="4" t="s">
        <v>1278</v>
      </c>
      <c r="T194" s="4" t="s">
        <v>1381</v>
      </c>
      <c r="U194" s="4" t="str">
        <f t="shared" si="8"/>
        <v>NOT AN ADD-ON</v>
      </c>
      <c r="V194" s="4" t="str">
        <f t="shared" si="7"/>
        <v>ASSET MANAGEMENT (CORE)ASSET MANAGEMENT (CORE)EXPRESSNOT AN ADD-ON</v>
      </c>
    </row>
    <row r="195" spans="1:22" ht="29.25" hidden="1" customHeight="1" thickBot="1">
      <c r="A195" s="10" t="s">
        <v>21</v>
      </c>
      <c r="B195" s="10" t="s">
        <v>22</v>
      </c>
      <c r="C195" s="10" t="s">
        <v>448</v>
      </c>
      <c r="D195" s="10" t="s">
        <v>449</v>
      </c>
      <c r="E195" s="10" t="s">
        <v>450</v>
      </c>
      <c r="F195" s="10" t="s">
        <v>451</v>
      </c>
      <c r="G195" s="116">
        <v>11400</v>
      </c>
      <c r="H195" s="163" t="s">
        <v>466</v>
      </c>
      <c r="I195" s="158" t="s">
        <v>467</v>
      </c>
      <c r="J195" s="163" t="s">
        <v>466</v>
      </c>
      <c r="K195" s="10" t="s">
        <v>30</v>
      </c>
      <c r="L195" s="249">
        <v>5</v>
      </c>
      <c r="M195" s="250">
        <v>1</v>
      </c>
      <c r="N195" s="250">
        <v>5</v>
      </c>
      <c r="O195" s="251">
        <v>1</v>
      </c>
      <c r="P195" s="116">
        <v>11400</v>
      </c>
      <c r="Q195" s="10" t="s">
        <v>33</v>
      </c>
      <c r="R195" s="4" t="s">
        <v>1280</v>
      </c>
      <c r="S195" s="4" t="s">
        <v>1279</v>
      </c>
      <c r="T195" s="4" t="s">
        <v>19</v>
      </c>
      <c r="U195" s="4" t="str">
        <f t="shared" si="8"/>
        <v>NOT AN ADD-ON</v>
      </c>
      <c r="V195" s="4" t="str">
        <f t="shared" ref="V195:V258" si="11">CONCATENATE(R195,S195,T195,U195)</f>
        <v>AVIATIONINDUSTRY SOLUTIONAUTHORIZEDNOT AN ADD-ON</v>
      </c>
    </row>
    <row r="196" spans="1:22" ht="29.25" hidden="1" customHeight="1" thickBot="1">
      <c r="A196" s="10" t="s">
        <v>21</v>
      </c>
      <c r="B196" s="10" t="s">
        <v>22</v>
      </c>
      <c r="C196" s="10" t="s">
        <v>448</v>
      </c>
      <c r="D196" s="10" t="s">
        <v>449</v>
      </c>
      <c r="E196" s="10" t="s">
        <v>450</v>
      </c>
      <c r="F196" s="10" t="s">
        <v>451</v>
      </c>
      <c r="G196" s="116">
        <v>6880</v>
      </c>
      <c r="H196" s="163" t="s">
        <v>468</v>
      </c>
      <c r="I196" s="158" t="s">
        <v>469</v>
      </c>
      <c r="J196" s="163" t="s">
        <v>466</v>
      </c>
      <c r="K196" s="10" t="s">
        <v>30</v>
      </c>
      <c r="L196" s="249">
        <v>5</v>
      </c>
      <c r="M196" s="250">
        <v>1</v>
      </c>
      <c r="N196" s="250">
        <v>5</v>
      </c>
      <c r="O196" s="251">
        <v>1</v>
      </c>
      <c r="P196" s="116">
        <v>11400</v>
      </c>
      <c r="Q196" s="10" t="s">
        <v>36</v>
      </c>
      <c r="R196" s="4" t="s">
        <v>1280</v>
      </c>
      <c r="S196" s="4" t="s">
        <v>1279</v>
      </c>
      <c r="T196" s="4" t="s">
        <v>19</v>
      </c>
      <c r="U196" s="4" t="str">
        <f t="shared" si="8"/>
        <v>NOT AN ADD-ON</v>
      </c>
      <c r="V196" s="4" t="str">
        <f t="shared" si="11"/>
        <v>AVIATIONINDUSTRY SOLUTIONAUTHORIZEDNOT AN ADD-ON</v>
      </c>
    </row>
    <row r="197" spans="1:22" ht="15" hidden="1" thickBot="1">
      <c r="A197" s="10" t="s">
        <v>21</v>
      </c>
      <c r="B197" s="10" t="s">
        <v>22</v>
      </c>
      <c r="C197" s="10" t="s">
        <v>448</v>
      </c>
      <c r="D197" s="10" t="s">
        <v>449</v>
      </c>
      <c r="E197" s="10" t="s">
        <v>450</v>
      </c>
      <c r="F197" s="10" t="s">
        <v>451</v>
      </c>
      <c r="G197" s="116">
        <v>10500</v>
      </c>
      <c r="H197" s="163" t="s">
        <v>496</v>
      </c>
      <c r="I197" s="158" t="s">
        <v>497</v>
      </c>
      <c r="J197" s="163" t="s">
        <v>496</v>
      </c>
      <c r="K197" s="10" t="s">
        <v>40</v>
      </c>
      <c r="L197" s="10">
        <v>5</v>
      </c>
      <c r="M197" s="10">
        <f t="shared" ref="M197:M200" si="12">ROUND(IF(K197="Authorized User",L197/3,L197),2)</f>
        <v>5</v>
      </c>
      <c r="N197" s="10">
        <v>5</v>
      </c>
      <c r="O197" s="12">
        <v>1</v>
      </c>
      <c r="P197" s="116">
        <v>10500</v>
      </c>
      <c r="Q197" s="10" t="s">
        <v>33</v>
      </c>
      <c r="R197" s="4" t="s">
        <v>1280</v>
      </c>
      <c r="S197" s="4" t="s">
        <v>1279</v>
      </c>
      <c r="T197" s="4" t="s">
        <v>672</v>
      </c>
      <c r="U197" s="4" t="str">
        <f t="shared" si="8"/>
        <v>NOT AN ADD-ON</v>
      </c>
      <c r="V197" s="4" t="str">
        <f t="shared" si="11"/>
        <v>AVIATIONINDUSTRY SOLUTIONLIMITEDNOT AN ADD-ON</v>
      </c>
    </row>
    <row r="198" spans="1:22" ht="15" hidden="1" thickBot="1">
      <c r="A198" s="10" t="s">
        <v>21</v>
      </c>
      <c r="B198" s="10" t="s">
        <v>22</v>
      </c>
      <c r="C198" s="10" t="s">
        <v>448</v>
      </c>
      <c r="D198" s="10" t="s">
        <v>449</v>
      </c>
      <c r="E198" s="10" t="s">
        <v>450</v>
      </c>
      <c r="F198" s="10" t="s">
        <v>451</v>
      </c>
      <c r="G198" s="116">
        <v>6320</v>
      </c>
      <c r="H198" s="163" t="s">
        <v>498</v>
      </c>
      <c r="I198" s="158" t="s">
        <v>499</v>
      </c>
      <c r="J198" s="163" t="s">
        <v>496</v>
      </c>
      <c r="K198" s="10" t="s">
        <v>40</v>
      </c>
      <c r="L198" s="10">
        <v>5</v>
      </c>
      <c r="M198" s="10">
        <f t="shared" si="12"/>
        <v>5</v>
      </c>
      <c r="N198" s="10">
        <v>5</v>
      </c>
      <c r="O198" s="12">
        <v>1</v>
      </c>
      <c r="P198" s="116">
        <v>10500</v>
      </c>
      <c r="Q198" s="10" t="s">
        <v>36</v>
      </c>
      <c r="R198" s="4" t="s">
        <v>1280</v>
      </c>
      <c r="S198" s="4" t="s">
        <v>1279</v>
      </c>
      <c r="T198" s="4" t="s">
        <v>672</v>
      </c>
      <c r="U198" s="4" t="str">
        <f t="shared" si="8"/>
        <v>NOT AN ADD-ON</v>
      </c>
      <c r="V198" s="4" t="str">
        <f t="shared" si="11"/>
        <v>AVIATIONINDUSTRY SOLUTIONLIMITEDNOT AN ADD-ON</v>
      </c>
    </row>
    <row r="199" spans="1:22" ht="15" hidden="1" thickBot="1">
      <c r="A199" s="10" t="s">
        <v>21</v>
      </c>
      <c r="B199" s="10" t="s">
        <v>22</v>
      </c>
      <c r="C199" s="10" t="s">
        <v>140</v>
      </c>
      <c r="D199" s="10" t="s">
        <v>141</v>
      </c>
      <c r="E199" s="10" t="s">
        <v>142</v>
      </c>
      <c r="F199" s="10" t="s">
        <v>143</v>
      </c>
      <c r="G199" s="116">
        <v>3620</v>
      </c>
      <c r="H199" s="163" t="s">
        <v>190</v>
      </c>
      <c r="I199" s="158" t="s">
        <v>201</v>
      </c>
      <c r="J199" s="163" t="s">
        <v>190</v>
      </c>
      <c r="K199" s="10" t="s">
        <v>40</v>
      </c>
      <c r="L199" s="10">
        <v>5</v>
      </c>
      <c r="M199" s="10">
        <f t="shared" si="12"/>
        <v>5</v>
      </c>
      <c r="N199" s="10">
        <v>5</v>
      </c>
      <c r="O199" s="12">
        <v>1</v>
      </c>
      <c r="P199" s="116">
        <v>3620</v>
      </c>
      <c r="Q199" s="10" t="s">
        <v>33</v>
      </c>
      <c r="R199" s="4" t="s">
        <v>1278</v>
      </c>
      <c r="S199" s="4" t="s">
        <v>1278</v>
      </c>
      <c r="T199" s="4" t="s">
        <v>1381</v>
      </c>
      <c r="U199" s="4" t="str">
        <f t="shared" si="8"/>
        <v>NOT AN ADD-ON</v>
      </c>
      <c r="V199" s="4" t="str">
        <f t="shared" si="11"/>
        <v>ASSET MANAGEMENT (CORE)ASSET MANAGEMENT (CORE)EXPRESSNOT AN ADD-ON</v>
      </c>
    </row>
    <row r="200" spans="1:22" ht="15" hidden="1" thickBot="1">
      <c r="A200" s="10" t="s">
        <v>21</v>
      </c>
      <c r="B200" s="10" t="s">
        <v>22</v>
      </c>
      <c r="C200" s="10" t="s">
        <v>140</v>
      </c>
      <c r="D200" s="10" t="s">
        <v>141</v>
      </c>
      <c r="E200" s="10" t="s">
        <v>142</v>
      </c>
      <c r="F200" s="10" t="s">
        <v>143</v>
      </c>
      <c r="G200" s="116">
        <v>2170</v>
      </c>
      <c r="H200" s="163" t="s">
        <v>202</v>
      </c>
      <c r="I200" s="158" t="s">
        <v>203</v>
      </c>
      <c r="J200" s="163" t="s">
        <v>190</v>
      </c>
      <c r="K200" s="10" t="s">
        <v>40</v>
      </c>
      <c r="L200" s="10">
        <v>5</v>
      </c>
      <c r="M200" s="10">
        <f t="shared" si="12"/>
        <v>5</v>
      </c>
      <c r="N200" s="10">
        <v>5</v>
      </c>
      <c r="O200" s="12">
        <v>1</v>
      </c>
      <c r="P200" s="116">
        <v>3620</v>
      </c>
      <c r="Q200" s="10" t="s">
        <v>36</v>
      </c>
      <c r="R200" s="4" t="s">
        <v>1278</v>
      </c>
      <c r="S200" s="4" t="s">
        <v>1278</v>
      </c>
      <c r="T200" s="4" t="s">
        <v>1381</v>
      </c>
      <c r="U200" s="4" t="str">
        <f t="shared" si="8"/>
        <v>NOT AN ADD-ON</v>
      </c>
      <c r="V200" s="4" t="str">
        <f t="shared" si="11"/>
        <v>ASSET MANAGEMENT (CORE)ASSET MANAGEMENT (CORE)EXPRESSNOT AN ADD-ON</v>
      </c>
    </row>
    <row r="201" spans="1:22" ht="15" hidden="1" thickBot="1">
      <c r="A201" s="10" t="s">
        <v>21</v>
      </c>
      <c r="B201" s="10" t="s">
        <v>22</v>
      </c>
      <c r="C201" s="10" t="s">
        <v>448</v>
      </c>
      <c r="D201" s="10" t="s">
        <v>449</v>
      </c>
      <c r="E201" s="10" t="s">
        <v>450</v>
      </c>
      <c r="F201" s="10" t="s">
        <v>451</v>
      </c>
      <c r="G201" s="116">
        <v>3840</v>
      </c>
      <c r="H201" s="163" t="s">
        <v>490</v>
      </c>
      <c r="I201" s="158" t="s">
        <v>491</v>
      </c>
      <c r="J201" s="163" t="s">
        <v>490</v>
      </c>
      <c r="K201" s="10" t="s">
        <v>30</v>
      </c>
      <c r="L201" s="10">
        <v>2</v>
      </c>
      <c r="M201" s="10">
        <v>1</v>
      </c>
      <c r="N201" s="10">
        <v>2</v>
      </c>
      <c r="O201" s="12">
        <v>1</v>
      </c>
      <c r="P201" s="116">
        <v>3840</v>
      </c>
      <c r="Q201" s="10" t="s">
        <v>33</v>
      </c>
      <c r="R201" s="4" t="s">
        <v>1280</v>
      </c>
      <c r="S201" s="4" t="s">
        <v>1279</v>
      </c>
      <c r="T201" s="4" t="s">
        <v>672</v>
      </c>
      <c r="U201" s="4" t="str">
        <f t="shared" si="8"/>
        <v>NOT AN ADD-ON</v>
      </c>
      <c r="V201" s="4" t="str">
        <f t="shared" si="11"/>
        <v>AVIATIONINDUSTRY SOLUTIONLIMITEDNOT AN ADD-ON</v>
      </c>
    </row>
    <row r="202" spans="1:22" ht="15" hidden="1" thickBot="1">
      <c r="A202" s="10" t="s">
        <v>21</v>
      </c>
      <c r="B202" s="10" t="s">
        <v>22</v>
      </c>
      <c r="C202" s="10" t="s">
        <v>448</v>
      </c>
      <c r="D202" s="10" t="s">
        <v>449</v>
      </c>
      <c r="E202" s="10" t="s">
        <v>450</v>
      </c>
      <c r="F202" s="10" t="s">
        <v>451</v>
      </c>
      <c r="G202" s="116">
        <v>2310</v>
      </c>
      <c r="H202" s="163" t="s">
        <v>492</v>
      </c>
      <c r="I202" s="158" t="s">
        <v>493</v>
      </c>
      <c r="J202" s="163" t="s">
        <v>490</v>
      </c>
      <c r="K202" s="10" t="s">
        <v>30</v>
      </c>
      <c r="L202" s="10">
        <v>2</v>
      </c>
      <c r="M202" s="10">
        <v>1</v>
      </c>
      <c r="N202" s="10">
        <v>2</v>
      </c>
      <c r="O202" s="12">
        <v>1</v>
      </c>
      <c r="P202" s="116">
        <v>3840</v>
      </c>
      <c r="Q202" s="10" t="s">
        <v>36</v>
      </c>
      <c r="R202" s="4" t="s">
        <v>1280</v>
      </c>
      <c r="S202" s="4" t="s">
        <v>1279</v>
      </c>
      <c r="T202" s="4" t="s">
        <v>672</v>
      </c>
      <c r="U202" s="4" t="str">
        <f t="shared" si="8"/>
        <v>NOT AN ADD-ON</v>
      </c>
      <c r="V202" s="4" t="str">
        <f t="shared" si="11"/>
        <v>AVIATIONINDUSTRY SOLUTIONLIMITEDNOT AN ADD-ON</v>
      </c>
    </row>
    <row r="203" spans="1:22" ht="15" hidden="1" thickBot="1">
      <c r="A203" s="10" t="s">
        <v>1089</v>
      </c>
      <c r="B203" s="10" t="s">
        <v>1090</v>
      </c>
      <c r="C203" s="10" t="s">
        <v>1091</v>
      </c>
      <c r="D203" s="10" t="s">
        <v>1092</v>
      </c>
      <c r="E203" s="10" t="s">
        <v>1093</v>
      </c>
      <c r="F203" s="10" t="s">
        <v>1094</v>
      </c>
      <c r="G203" s="116">
        <v>104000</v>
      </c>
      <c r="H203" s="163" t="s">
        <v>1110</v>
      </c>
      <c r="I203" s="158" t="s">
        <v>1111</v>
      </c>
      <c r="J203" s="163" t="s">
        <v>1110</v>
      </c>
      <c r="K203" s="10" t="s">
        <v>30</v>
      </c>
      <c r="L203" s="249">
        <v>5</v>
      </c>
      <c r="M203" s="250">
        <v>1</v>
      </c>
      <c r="N203" s="250">
        <v>5</v>
      </c>
      <c r="O203" s="251">
        <v>1</v>
      </c>
      <c r="P203" s="116">
        <v>104000</v>
      </c>
      <c r="Q203" s="10" t="s">
        <v>33</v>
      </c>
      <c r="R203" s="4" t="s">
        <v>1385</v>
      </c>
      <c r="S203" s="4" t="s">
        <v>1385</v>
      </c>
      <c r="T203" s="4" t="s">
        <v>19</v>
      </c>
      <c r="U203" s="4" t="str">
        <f t="shared" si="8"/>
        <v>NOT AN ADD-ON</v>
      </c>
      <c r="V203" s="4" t="str">
        <f t="shared" si="11"/>
        <v>APM FOR E&amp;UAPM FOR E&amp;UAUTHORIZEDNOT AN ADD-ON</v>
      </c>
    </row>
    <row r="204" spans="1:22" ht="15" hidden="1" thickBot="1">
      <c r="A204" s="10" t="s">
        <v>1089</v>
      </c>
      <c r="B204" s="10" t="s">
        <v>1090</v>
      </c>
      <c r="C204" s="10" t="s">
        <v>1091</v>
      </c>
      <c r="D204" s="10" t="s">
        <v>1092</v>
      </c>
      <c r="E204" s="10" t="s">
        <v>1093</v>
      </c>
      <c r="F204" s="10" t="s">
        <v>1094</v>
      </c>
      <c r="G204" s="116">
        <v>62600</v>
      </c>
      <c r="H204" s="163" t="s">
        <v>1112</v>
      </c>
      <c r="I204" s="158" t="s">
        <v>1113</v>
      </c>
      <c r="J204" s="163" t="s">
        <v>1110</v>
      </c>
      <c r="K204" s="10" t="s">
        <v>30</v>
      </c>
      <c r="L204" s="249">
        <v>5</v>
      </c>
      <c r="M204" s="250">
        <v>1</v>
      </c>
      <c r="N204" s="250">
        <v>5</v>
      </c>
      <c r="O204" s="251">
        <v>1</v>
      </c>
      <c r="P204" s="116">
        <v>104000</v>
      </c>
      <c r="Q204" s="10" t="s">
        <v>36</v>
      </c>
      <c r="R204" s="4" t="s">
        <v>1385</v>
      </c>
      <c r="S204" s="4" t="s">
        <v>1385</v>
      </c>
      <c r="T204" s="4" t="s">
        <v>19</v>
      </c>
      <c r="U204" s="4" t="str">
        <f t="shared" si="8"/>
        <v>NOT AN ADD-ON</v>
      </c>
      <c r="V204" s="4" t="str">
        <f t="shared" si="11"/>
        <v>APM FOR E&amp;UAPM FOR E&amp;UAUTHORIZEDNOT AN ADD-ON</v>
      </c>
    </row>
    <row r="205" spans="1:22" ht="15" hidden="1" thickBot="1">
      <c r="A205" s="10" t="s">
        <v>1089</v>
      </c>
      <c r="B205" s="10" t="s">
        <v>1090</v>
      </c>
      <c r="C205" s="10" t="s">
        <v>1091</v>
      </c>
      <c r="D205" s="10" t="s">
        <v>1092</v>
      </c>
      <c r="E205" s="10" t="s">
        <v>1093</v>
      </c>
      <c r="F205" s="10" t="s">
        <v>1094</v>
      </c>
      <c r="G205" s="116">
        <v>180</v>
      </c>
      <c r="H205" s="163" t="s">
        <v>1103</v>
      </c>
      <c r="I205" s="158" t="s">
        <v>1105</v>
      </c>
      <c r="J205" s="163" t="s">
        <v>1103</v>
      </c>
      <c r="K205" s="10" t="s">
        <v>1104</v>
      </c>
      <c r="L205" s="207">
        <v>0</v>
      </c>
      <c r="M205" s="10">
        <v>0</v>
      </c>
      <c r="N205" s="207">
        <v>0</v>
      </c>
      <c r="O205" s="12">
        <v>1</v>
      </c>
      <c r="P205" s="116">
        <v>180</v>
      </c>
      <c r="Q205" s="10" t="s">
        <v>33</v>
      </c>
      <c r="R205" s="4" t="s">
        <v>1385</v>
      </c>
      <c r="S205" s="4" t="s">
        <v>1385</v>
      </c>
      <c r="T205" s="4" t="s">
        <v>672</v>
      </c>
      <c r="U205" s="4" t="str">
        <f t="shared" si="8"/>
        <v>NOT AN ADD-ON</v>
      </c>
      <c r="V205" s="4" t="str">
        <f t="shared" si="11"/>
        <v>APM FOR E&amp;UAPM FOR E&amp;ULIMITEDNOT AN ADD-ON</v>
      </c>
    </row>
    <row r="206" spans="1:22" ht="29.25" hidden="1" customHeight="1" thickBot="1">
      <c r="A206" s="10" t="s">
        <v>1089</v>
      </c>
      <c r="B206" s="10" t="s">
        <v>1090</v>
      </c>
      <c r="C206" s="10" t="s">
        <v>1091</v>
      </c>
      <c r="D206" s="10" t="s">
        <v>1092</v>
      </c>
      <c r="E206" s="10" t="s">
        <v>1093</v>
      </c>
      <c r="F206" s="10" t="s">
        <v>1094</v>
      </c>
      <c r="G206" s="116">
        <v>108</v>
      </c>
      <c r="H206" s="163" t="s">
        <v>1106</v>
      </c>
      <c r="I206" s="158" t="s">
        <v>1107</v>
      </c>
      <c r="J206" s="163" t="s">
        <v>1103</v>
      </c>
      <c r="K206" s="10" t="s">
        <v>1104</v>
      </c>
      <c r="L206" s="207">
        <v>0</v>
      </c>
      <c r="M206" s="10">
        <v>0</v>
      </c>
      <c r="N206" s="207">
        <v>0</v>
      </c>
      <c r="O206" s="12">
        <v>1</v>
      </c>
      <c r="P206" s="116">
        <v>180</v>
      </c>
      <c r="Q206" s="10" t="s">
        <v>36</v>
      </c>
      <c r="R206" s="4" t="s">
        <v>1385</v>
      </c>
      <c r="S206" s="4" t="s">
        <v>1385</v>
      </c>
      <c r="T206" s="4" t="s">
        <v>672</v>
      </c>
      <c r="U206" s="4" t="str">
        <f t="shared" si="8"/>
        <v>NOT AN ADD-ON</v>
      </c>
      <c r="V206" s="4" t="str">
        <f t="shared" si="11"/>
        <v>APM FOR E&amp;UAPM FOR E&amp;ULIMITEDNOT AN ADD-ON</v>
      </c>
    </row>
    <row r="207" spans="1:22" ht="15" hidden="1" thickBot="1">
      <c r="A207" s="10" t="s">
        <v>1089</v>
      </c>
      <c r="B207" s="10" t="s">
        <v>1090</v>
      </c>
      <c r="C207" s="10" t="s">
        <v>1091</v>
      </c>
      <c r="D207" s="10" t="s">
        <v>1092</v>
      </c>
      <c r="E207" s="10" t="s">
        <v>1093</v>
      </c>
      <c r="F207" s="10" t="s">
        <v>1094</v>
      </c>
      <c r="G207" s="116">
        <v>7730</v>
      </c>
      <c r="H207" s="163" t="s">
        <v>1097</v>
      </c>
      <c r="I207" s="158" t="s">
        <v>1098</v>
      </c>
      <c r="J207" s="163" t="s">
        <v>1097</v>
      </c>
      <c r="K207" s="10" t="s">
        <v>1491</v>
      </c>
      <c r="L207" s="207">
        <v>180</v>
      </c>
      <c r="M207" s="10">
        <v>1</v>
      </c>
      <c r="N207" s="207">
        <v>180</v>
      </c>
      <c r="O207" s="12">
        <v>1</v>
      </c>
      <c r="P207" s="116">
        <v>7730</v>
      </c>
      <c r="Q207" s="10" t="s">
        <v>33</v>
      </c>
      <c r="R207" s="4" t="s">
        <v>1385</v>
      </c>
      <c r="S207" s="4" t="s">
        <v>1385</v>
      </c>
      <c r="T207" s="4" t="s">
        <v>1491</v>
      </c>
      <c r="U207" s="4" t="str">
        <f t="shared" si="8"/>
        <v>NOT AN ADD-ON</v>
      </c>
      <c r="V207" s="4" t="str">
        <f t="shared" si="11"/>
        <v>APM FOR E&amp;UAPM FOR E&amp;UEU RVUNOT AN ADD-ON</v>
      </c>
    </row>
    <row r="208" spans="1:22" ht="29.25" hidden="1" customHeight="1" thickBot="1">
      <c r="A208" s="10" t="s">
        <v>1089</v>
      </c>
      <c r="B208" s="10" t="s">
        <v>1090</v>
      </c>
      <c r="C208" s="10" t="s">
        <v>1091</v>
      </c>
      <c r="D208" s="10" t="s">
        <v>1092</v>
      </c>
      <c r="E208" s="10" t="s">
        <v>1093</v>
      </c>
      <c r="F208" s="10" t="s">
        <v>1094</v>
      </c>
      <c r="G208" s="116">
        <v>4640</v>
      </c>
      <c r="H208" s="163" t="s">
        <v>1099</v>
      </c>
      <c r="I208" s="158" t="s">
        <v>1100</v>
      </c>
      <c r="J208" s="163" t="s">
        <v>1097</v>
      </c>
      <c r="K208" s="10" t="s">
        <v>1491</v>
      </c>
      <c r="L208" s="207">
        <v>180</v>
      </c>
      <c r="M208" s="10">
        <v>1</v>
      </c>
      <c r="N208" s="207">
        <v>180</v>
      </c>
      <c r="O208" s="12">
        <v>1</v>
      </c>
      <c r="P208" s="116">
        <v>7730</v>
      </c>
      <c r="Q208" s="10" t="s">
        <v>36</v>
      </c>
      <c r="R208" s="4" t="s">
        <v>1385</v>
      </c>
      <c r="S208" s="4" t="s">
        <v>1385</v>
      </c>
      <c r="T208" s="4" t="s">
        <v>1491</v>
      </c>
      <c r="U208" s="4" t="str">
        <f t="shared" si="8"/>
        <v>NOT AN ADD-ON</v>
      </c>
      <c r="V208" s="4" t="str">
        <f t="shared" si="11"/>
        <v>APM FOR E&amp;UAPM FOR E&amp;UEU RVUNOT AN ADD-ON</v>
      </c>
    </row>
    <row r="209" spans="1:22" ht="15" hidden="1" thickBot="1">
      <c r="A209" s="10" t="s">
        <v>21</v>
      </c>
      <c r="B209" s="10" t="s">
        <v>1256</v>
      </c>
      <c r="C209" s="10" t="s">
        <v>1257</v>
      </c>
      <c r="D209" s="10" t="s">
        <v>1134</v>
      </c>
      <c r="E209" s="10" t="s">
        <v>1135</v>
      </c>
      <c r="F209" s="10" t="s">
        <v>1258</v>
      </c>
      <c r="G209" s="116">
        <v>4370</v>
      </c>
      <c r="H209" s="163" t="s">
        <v>1267</v>
      </c>
      <c r="I209" s="158" t="s">
        <v>1268</v>
      </c>
      <c r="J209" s="163" t="s">
        <v>1267</v>
      </c>
      <c r="K209" s="10" t="s">
        <v>375</v>
      </c>
      <c r="L209" s="10">
        <v>10</v>
      </c>
      <c r="M209" s="10">
        <f t="shared" ref="M209:M266" si="13">ROUND(IF(K209="Authorized User",L209/3,L209),2)</f>
        <v>10</v>
      </c>
      <c r="N209" s="10">
        <v>10</v>
      </c>
      <c r="O209" s="12">
        <v>100</v>
      </c>
      <c r="P209" s="116">
        <v>4370</v>
      </c>
      <c r="Q209" s="10" t="s">
        <v>33</v>
      </c>
      <c r="R209" s="4" t="s">
        <v>1393</v>
      </c>
      <c r="S209" s="4" t="s">
        <v>1393</v>
      </c>
      <c r="T209" s="4" t="s">
        <v>1382</v>
      </c>
      <c r="U209" s="4" t="str">
        <f t="shared" si="8"/>
        <v>NOT AN ADD-ON</v>
      </c>
      <c r="V209" s="4" t="str">
        <f t="shared" si="11"/>
        <v>APM ASSET HEALTH INSIGHTSAPM ASSET HEALTH INSIGHTSRESOURCE VALUENOT AN ADD-ON</v>
      </c>
    </row>
    <row r="210" spans="1:22" ht="29.25" hidden="1" customHeight="1" thickBot="1">
      <c r="A210" s="10" t="s">
        <v>21</v>
      </c>
      <c r="B210" s="10" t="s">
        <v>1256</v>
      </c>
      <c r="C210" s="10" t="s">
        <v>1257</v>
      </c>
      <c r="D210" s="10" t="s">
        <v>1134</v>
      </c>
      <c r="E210" s="10" t="s">
        <v>1135</v>
      </c>
      <c r="F210" s="10" t="s">
        <v>1258</v>
      </c>
      <c r="G210" s="116">
        <v>2620</v>
      </c>
      <c r="H210" s="163" t="s">
        <v>1269</v>
      </c>
      <c r="I210" s="158" t="s">
        <v>1270</v>
      </c>
      <c r="J210" s="163" t="s">
        <v>1267</v>
      </c>
      <c r="K210" s="10" t="s">
        <v>375</v>
      </c>
      <c r="L210" s="10">
        <v>10</v>
      </c>
      <c r="M210" s="10">
        <f t="shared" si="13"/>
        <v>10</v>
      </c>
      <c r="N210" s="10">
        <v>10</v>
      </c>
      <c r="O210" s="17">
        <v>1</v>
      </c>
      <c r="P210" s="116">
        <v>4370</v>
      </c>
      <c r="Q210" s="10" t="s">
        <v>36</v>
      </c>
      <c r="R210" s="4" t="s">
        <v>1393</v>
      </c>
      <c r="S210" s="4" t="s">
        <v>1393</v>
      </c>
      <c r="T210" s="4" t="s">
        <v>1382</v>
      </c>
      <c r="U210" s="4" t="str">
        <f t="shared" si="8"/>
        <v>NOT AN ADD-ON</v>
      </c>
      <c r="V210" s="4" t="str">
        <f t="shared" si="11"/>
        <v>APM ASSET HEALTH INSIGHTSAPM ASSET HEALTH INSIGHTSRESOURCE VALUENOT AN ADD-ON</v>
      </c>
    </row>
    <row r="211" spans="1:22" ht="15" hidden="1" thickBot="1">
      <c r="A211" s="10" t="s">
        <v>21</v>
      </c>
      <c r="B211" s="10" t="s">
        <v>1256</v>
      </c>
      <c r="C211" s="10" t="s">
        <v>1257</v>
      </c>
      <c r="D211" s="10" t="s">
        <v>1134</v>
      </c>
      <c r="E211" s="10" t="s">
        <v>1135</v>
      </c>
      <c r="F211" s="10" t="s">
        <v>1258</v>
      </c>
      <c r="G211" s="116">
        <v>4370</v>
      </c>
      <c r="H211" s="163" t="s">
        <v>1261</v>
      </c>
      <c r="I211" s="158" t="s">
        <v>1262</v>
      </c>
      <c r="J211" s="163" t="s">
        <v>1261</v>
      </c>
      <c r="K211" s="10" t="s">
        <v>375</v>
      </c>
      <c r="L211" s="10">
        <v>10</v>
      </c>
      <c r="M211" s="10">
        <f t="shared" si="13"/>
        <v>10</v>
      </c>
      <c r="N211" s="10">
        <v>10</v>
      </c>
      <c r="O211" s="17">
        <v>1</v>
      </c>
      <c r="P211" s="116">
        <v>4370</v>
      </c>
      <c r="Q211" s="10" t="s">
        <v>33</v>
      </c>
      <c r="R211" s="4" t="s">
        <v>1393</v>
      </c>
      <c r="S211" s="4" t="s">
        <v>1393</v>
      </c>
      <c r="T211" s="4" t="s">
        <v>1382</v>
      </c>
      <c r="U211" s="4" t="str">
        <f t="shared" si="8"/>
        <v>NOT AN ADD-ON</v>
      </c>
      <c r="V211" s="4" t="str">
        <f t="shared" si="11"/>
        <v>APM ASSET HEALTH INSIGHTSAPM ASSET HEALTH INSIGHTSRESOURCE VALUENOT AN ADD-ON</v>
      </c>
    </row>
    <row r="212" spans="1:22" ht="29.25" hidden="1" customHeight="1" thickBot="1">
      <c r="A212" s="10" t="s">
        <v>21</v>
      </c>
      <c r="B212" s="10" t="s">
        <v>1256</v>
      </c>
      <c r="C212" s="10" t="s">
        <v>1257</v>
      </c>
      <c r="D212" s="10" t="s">
        <v>1134</v>
      </c>
      <c r="E212" s="10" t="s">
        <v>1135</v>
      </c>
      <c r="F212" s="10" t="s">
        <v>1258</v>
      </c>
      <c r="G212" s="116">
        <v>2620</v>
      </c>
      <c r="H212" s="163" t="s">
        <v>1263</v>
      </c>
      <c r="I212" s="166" t="s">
        <v>1264</v>
      </c>
      <c r="J212" s="163" t="s">
        <v>1261</v>
      </c>
      <c r="K212" s="10" t="s">
        <v>375</v>
      </c>
      <c r="L212" s="10">
        <v>10</v>
      </c>
      <c r="M212" s="10">
        <f t="shared" si="13"/>
        <v>10</v>
      </c>
      <c r="N212" s="10">
        <v>10</v>
      </c>
      <c r="O212" s="17">
        <v>1</v>
      </c>
      <c r="P212" s="116">
        <v>4370</v>
      </c>
      <c r="Q212" s="10" t="s">
        <v>36</v>
      </c>
      <c r="R212" s="4" t="s">
        <v>1393</v>
      </c>
      <c r="S212" s="4" t="s">
        <v>1393</v>
      </c>
      <c r="T212" s="4" t="s">
        <v>1382</v>
      </c>
      <c r="U212" s="4" t="str">
        <f t="shared" si="8"/>
        <v>NOT AN ADD-ON</v>
      </c>
      <c r="V212" s="4" t="str">
        <f t="shared" si="11"/>
        <v>APM ASSET HEALTH INSIGHTSAPM ASSET HEALTH INSIGHTSRESOURCE VALUENOT AN ADD-ON</v>
      </c>
    </row>
    <row r="213" spans="1:22" ht="15" hidden="1" thickBot="1">
      <c r="A213" s="10" t="s">
        <v>21</v>
      </c>
      <c r="B213" s="10" t="s">
        <v>22</v>
      </c>
      <c r="C213" s="10" t="s">
        <v>301</v>
      </c>
      <c r="D213" s="10" t="s">
        <v>141</v>
      </c>
      <c r="E213" s="10" t="s">
        <v>142</v>
      </c>
      <c r="F213" s="10" t="s">
        <v>339</v>
      </c>
      <c r="G213" s="116">
        <v>13700</v>
      </c>
      <c r="H213" s="163" t="s">
        <v>374</v>
      </c>
      <c r="I213" s="158" t="s">
        <v>376</v>
      </c>
      <c r="J213" s="163" t="s">
        <v>374</v>
      </c>
      <c r="K213" s="10" t="s">
        <v>375</v>
      </c>
      <c r="L213" s="10">
        <v>0</v>
      </c>
      <c r="M213" s="10">
        <f t="shared" si="13"/>
        <v>0</v>
      </c>
      <c r="N213" s="10">
        <v>10</v>
      </c>
      <c r="O213" s="12">
        <v>1</v>
      </c>
      <c r="P213" s="116">
        <v>13700</v>
      </c>
      <c r="Q213" s="10" t="s">
        <v>33</v>
      </c>
      <c r="R213" s="4" t="s">
        <v>1286</v>
      </c>
      <c r="S213" s="4" t="s">
        <v>507</v>
      </c>
      <c r="T213" s="4" t="s">
        <v>1382</v>
      </c>
      <c r="U213" s="4" t="str">
        <f t="shared" si="8"/>
        <v>NOT AN ADD-ON</v>
      </c>
      <c r="V213" s="4" t="str">
        <f t="shared" si="11"/>
        <v>SCHEDULER PLUSADD-ONRESOURCE VALUENOT AN ADD-ON</v>
      </c>
    </row>
    <row r="214" spans="1:22" ht="15" hidden="1" thickBot="1">
      <c r="A214" s="10" t="s">
        <v>21</v>
      </c>
      <c r="B214" s="10" t="s">
        <v>22</v>
      </c>
      <c r="C214" s="10" t="s">
        <v>301</v>
      </c>
      <c r="D214" s="10" t="s">
        <v>141</v>
      </c>
      <c r="E214" s="10" t="s">
        <v>142</v>
      </c>
      <c r="F214" s="10" t="s">
        <v>339</v>
      </c>
      <c r="G214" s="116">
        <v>8200</v>
      </c>
      <c r="H214" s="163" t="s">
        <v>377</v>
      </c>
      <c r="I214" s="158" t="s">
        <v>378</v>
      </c>
      <c r="J214" s="163" t="s">
        <v>374</v>
      </c>
      <c r="K214" s="10" t="s">
        <v>375</v>
      </c>
      <c r="L214" s="10">
        <v>0</v>
      </c>
      <c r="M214" s="10">
        <f t="shared" si="13"/>
        <v>0</v>
      </c>
      <c r="N214" s="10">
        <v>10</v>
      </c>
      <c r="O214" s="12">
        <v>1</v>
      </c>
      <c r="P214" s="116">
        <v>13700</v>
      </c>
      <c r="Q214" s="10" t="s">
        <v>36</v>
      </c>
      <c r="R214" s="4" t="s">
        <v>1286</v>
      </c>
      <c r="S214" s="4" t="s">
        <v>507</v>
      </c>
      <c r="T214" s="4" t="s">
        <v>1382</v>
      </c>
      <c r="U214" s="4" t="str">
        <f t="shared" si="8"/>
        <v>NOT AN ADD-ON</v>
      </c>
      <c r="V214" s="4" t="str">
        <f t="shared" si="11"/>
        <v>SCHEDULER PLUSADD-ONRESOURCE VALUENOT AN ADD-ON</v>
      </c>
    </row>
    <row r="215" spans="1:22" ht="29.25" hidden="1" customHeight="1" thickBot="1">
      <c r="A215" s="10" t="s">
        <v>21</v>
      </c>
      <c r="B215" s="10" t="s">
        <v>22</v>
      </c>
      <c r="C215" s="10" t="s">
        <v>301</v>
      </c>
      <c r="D215" s="10" t="s">
        <v>141</v>
      </c>
      <c r="E215" s="10" t="s">
        <v>142</v>
      </c>
      <c r="F215" s="10" t="s">
        <v>339</v>
      </c>
      <c r="G215" s="116">
        <v>13700</v>
      </c>
      <c r="H215" s="163" t="s">
        <v>381</v>
      </c>
      <c r="I215" s="166" t="s">
        <v>382</v>
      </c>
      <c r="J215" s="163" t="s">
        <v>381</v>
      </c>
      <c r="K215" s="10" t="s">
        <v>375</v>
      </c>
      <c r="L215" s="10">
        <v>0</v>
      </c>
      <c r="M215" s="10">
        <f t="shared" si="13"/>
        <v>0</v>
      </c>
      <c r="N215" s="10">
        <v>10</v>
      </c>
      <c r="O215" s="12">
        <v>1</v>
      </c>
      <c r="P215" s="116">
        <v>13700</v>
      </c>
      <c r="Q215" s="10" t="s">
        <v>33</v>
      </c>
      <c r="R215" s="4" t="s">
        <v>1286</v>
      </c>
      <c r="S215" s="4" t="s">
        <v>507</v>
      </c>
      <c r="T215" s="4" t="s">
        <v>1382</v>
      </c>
      <c r="U215" s="4" t="str">
        <f t="shared" si="8"/>
        <v>NOT AN ADD-ON</v>
      </c>
      <c r="V215" s="4" t="str">
        <f t="shared" si="11"/>
        <v>SCHEDULER PLUSADD-ONRESOURCE VALUENOT AN ADD-ON</v>
      </c>
    </row>
    <row r="216" spans="1:22" ht="27" hidden="1" thickBot="1">
      <c r="A216" s="10" t="s">
        <v>21</v>
      </c>
      <c r="B216" s="10" t="s">
        <v>22</v>
      </c>
      <c r="C216" s="10" t="s">
        <v>301</v>
      </c>
      <c r="D216" s="10" t="s">
        <v>141</v>
      </c>
      <c r="E216" s="10" t="s">
        <v>142</v>
      </c>
      <c r="F216" s="10" t="s">
        <v>339</v>
      </c>
      <c r="G216" s="116">
        <v>8200</v>
      </c>
      <c r="H216" s="163" t="s">
        <v>383</v>
      </c>
      <c r="I216" s="166" t="s">
        <v>384</v>
      </c>
      <c r="J216" s="163" t="s">
        <v>381</v>
      </c>
      <c r="K216" s="10" t="s">
        <v>375</v>
      </c>
      <c r="L216" s="10">
        <v>0</v>
      </c>
      <c r="M216" s="10">
        <f t="shared" si="13"/>
        <v>0</v>
      </c>
      <c r="N216" s="10">
        <v>10</v>
      </c>
      <c r="O216" s="12">
        <v>1</v>
      </c>
      <c r="P216" s="116">
        <v>13700</v>
      </c>
      <c r="Q216" s="10" t="s">
        <v>36</v>
      </c>
      <c r="R216" s="4" t="s">
        <v>1286</v>
      </c>
      <c r="S216" s="4" t="s">
        <v>507</v>
      </c>
      <c r="T216" s="4" t="s">
        <v>1382</v>
      </c>
      <c r="U216" s="4" t="str">
        <f t="shared" si="8"/>
        <v>NOT AN ADD-ON</v>
      </c>
      <c r="V216" s="4" t="str">
        <f t="shared" si="11"/>
        <v>SCHEDULER PLUSADD-ONRESOURCE VALUENOT AN ADD-ON</v>
      </c>
    </row>
    <row r="217" spans="1:22" ht="29.25" hidden="1" customHeight="1" thickBot="1">
      <c r="A217" s="10" t="s">
        <v>21</v>
      </c>
      <c r="B217" s="10" t="s">
        <v>22</v>
      </c>
      <c r="C217" s="10" t="s">
        <v>140</v>
      </c>
      <c r="D217" s="10" t="s">
        <v>141</v>
      </c>
      <c r="E217" s="10" t="s">
        <v>142</v>
      </c>
      <c r="F217" s="10" t="s">
        <v>143</v>
      </c>
      <c r="G217" s="116">
        <v>19400</v>
      </c>
      <c r="H217" s="163" t="s">
        <v>154</v>
      </c>
      <c r="I217" s="158" t="s">
        <v>155</v>
      </c>
      <c r="J217" s="163" t="s">
        <v>154</v>
      </c>
      <c r="K217" s="10" t="s">
        <v>40</v>
      </c>
      <c r="L217" s="10">
        <v>10</v>
      </c>
      <c r="M217" s="10">
        <f t="shared" si="13"/>
        <v>10</v>
      </c>
      <c r="N217" s="10">
        <v>10</v>
      </c>
      <c r="O217" s="12">
        <v>1</v>
      </c>
      <c r="P217" s="116">
        <v>19400</v>
      </c>
      <c r="Q217" s="10" t="s">
        <v>33</v>
      </c>
      <c r="R217" s="4" t="s">
        <v>1278</v>
      </c>
      <c r="S217" s="4" t="s">
        <v>1278</v>
      </c>
      <c r="T217" s="4" t="s">
        <v>19</v>
      </c>
      <c r="U217" s="4" t="str">
        <f t="shared" si="8"/>
        <v>NOT AN ADD-ON</v>
      </c>
      <c r="V217" s="4" t="str">
        <f t="shared" si="11"/>
        <v>ASSET MANAGEMENT (CORE)ASSET MANAGEMENT (CORE)AUTHORIZEDNOT AN ADD-ON</v>
      </c>
    </row>
    <row r="218" spans="1:22" ht="29.25" hidden="1" customHeight="1" thickBot="1">
      <c r="A218" s="10" t="s">
        <v>21</v>
      </c>
      <c r="B218" s="10" t="s">
        <v>22</v>
      </c>
      <c r="C218" s="10" t="s">
        <v>140</v>
      </c>
      <c r="D218" s="10" t="s">
        <v>141</v>
      </c>
      <c r="E218" s="10" t="s">
        <v>142</v>
      </c>
      <c r="F218" s="10" t="s">
        <v>143</v>
      </c>
      <c r="G218" s="116">
        <v>11600</v>
      </c>
      <c r="H218" s="163" t="s">
        <v>156</v>
      </c>
      <c r="I218" s="158" t="s">
        <v>157</v>
      </c>
      <c r="J218" s="163" t="s">
        <v>154</v>
      </c>
      <c r="K218" s="10" t="s">
        <v>40</v>
      </c>
      <c r="L218" s="10">
        <v>10</v>
      </c>
      <c r="M218" s="10">
        <f t="shared" si="13"/>
        <v>10</v>
      </c>
      <c r="N218" s="10">
        <v>10</v>
      </c>
      <c r="O218" s="12">
        <v>1</v>
      </c>
      <c r="P218" s="116">
        <v>19400</v>
      </c>
      <c r="Q218" s="10" t="s">
        <v>36</v>
      </c>
      <c r="R218" s="4" t="s">
        <v>1278</v>
      </c>
      <c r="S218" s="4" t="s">
        <v>1278</v>
      </c>
      <c r="T218" s="4" t="s">
        <v>19</v>
      </c>
      <c r="U218" s="4" t="str">
        <f t="shared" si="8"/>
        <v>NOT AN ADD-ON</v>
      </c>
      <c r="V218" s="4" t="str">
        <f t="shared" si="11"/>
        <v>ASSET MANAGEMENT (CORE)ASSET MANAGEMENT (CORE)AUTHORIZEDNOT AN ADD-ON</v>
      </c>
    </row>
    <row r="219" spans="1:22" ht="29.25" hidden="1" customHeight="1" thickBot="1">
      <c r="A219" s="10" t="s">
        <v>21</v>
      </c>
      <c r="B219" s="10" t="s">
        <v>22</v>
      </c>
      <c r="C219" s="10" t="s">
        <v>140</v>
      </c>
      <c r="D219" s="10" t="s">
        <v>141</v>
      </c>
      <c r="E219" s="10" t="s">
        <v>142</v>
      </c>
      <c r="F219" s="10" t="s">
        <v>143</v>
      </c>
      <c r="G219" s="116">
        <v>4180</v>
      </c>
      <c r="H219" s="163" t="s">
        <v>170</v>
      </c>
      <c r="I219" s="166" t="s">
        <v>171</v>
      </c>
      <c r="J219" s="163" t="s">
        <v>154</v>
      </c>
      <c r="K219" s="10" t="s">
        <v>40</v>
      </c>
      <c r="L219" s="10">
        <v>10</v>
      </c>
      <c r="M219" s="10">
        <f t="shared" si="13"/>
        <v>10</v>
      </c>
      <c r="N219" s="10">
        <v>10</v>
      </c>
      <c r="O219" s="12">
        <v>1</v>
      </c>
      <c r="P219" s="116">
        <v>19400</v>
      </c>
      <c r="Q219" s="10" t="s">
        <v>48</v>
      </c>
      <c r="R219" s="4" t="s">
        <v>1278</v>
      </c>
      <c r="S219" s="4" t="s">
        <v>1278</v>
      </c>
      <c r="T219" s="4" t="s">
        <v>19</v>
      </c>
      <c r="U219" s="4" t="str">
        <f t="shared" si="8"/>
        <v>NOT AN ADD-ON</v>
      </c>
      <c r="V219" s="4" t="str">
        <f t="shared" si="11"/>
        <v>ASSET MANAGEMENT (CORE)ASSET MANAGEMENT (CORE)AUTHORIZEDNOT AN ADD-ON</v>
      </c>
    </row>
    <row r="220" spans="1:22" ht="29.25" hidden="1" customHeight="1" thickBot="1">
      <c r="A220" s="10" t="s">
        <v>21</v>
      </c>
      <c r="B220" s="10" t="s">
        <v>22</v>
      </c>
      <c r="C220" s="10" t="s">
        <v>140</v>
      </c>
      <c r="D220" s="10" t="s">
        <v>141</v>
      </c>
      <c r="E220" s="10" t="s">
        <v>142</v>
      </c>
      <c r="F220" s="10" t="s">
        <v>143</v>
      </c>
      <c r="G220" s="116">
        <v>18400</v>
      </c>
      <c r="H220" s="163" t="s">
        <v>174</v>
      </c>
      <c r="I220" s="166" t="s">
        <v>175</v>
      </c>
      <c r="J220" s="163" t="s">
        <v>154</v>
      </c>
      <c r="K220" s="10" t="s">
        <v>40</v>
      </c>
      <c r="L220" s="10">
        <v>10</v>
      </c>
      <c r="M220" s="10">
        <f t="shared" si="13"/>
        <v>10</v>
      </c>
      <c r="N220" s="10">
        <v>10</v>
      </c>
      <c r="O220" s="12">
        <v>1</v>
      </c>
      <c r="P220" s="116">
        <v>19400</v>
      </c>
      <c r="Q220" s="10" t="s">
        <v>48</v>
      </c>
      <c r="R220" s="4" t="s">
        <v>1278</v>
      </c>
      <c r="S220" s="4" t="s">
        <v>1278</v>
      </c>
      <c r="T220" s="4" t="s">
        <v>19</v>
      </c>
      <c r="U220" s="4" t="str">
        <f t="shared" si="8"/>
        <v>NOT AN ADD-ON</v>
      </c>
      <c r="V220" s="4" t="str">
        <f t="shared" si="11"/>
        <v>ASSET MANAGEMENT (CORE)ASSET MANAGEMENT (CORE)AUTHORIZEDNOT AN ADD-ON</v>
      </c>
    </row>
    <row r="221" spans="1:22" ht="15" hidden="1" thickBot="1">
      <c r="A221" s="10" t="s">
        <v>21</v>
      </c>
      <c r="B221" s="10" t="s">
        <v>22</v>
      </c>
      <c r="C221" s="10" t="s">
        <v>140</v>
      </c>
      <c r="D221" s="10" t="s">
        <v>141</v>
      </c>
      <c r="E221" s="10" t="s">
        <v>142</v>
      </c>
      <c r="F221" s="10" t="s">
        <v>143</v>
      </c>
      <c r="G221" s="116">
        <v>19400</v>
      </c>
      <c r="H221" s="163" t="s">
        <v>160</v>
      </c>
      <c r="I221" s="158" t="s">
        <v>167</v>
      </c>
      <c r="J221" s="163" t="s">
        <v>160</v>
      </c>
      <c r="K221" s="10" t="s">
        <v>40</v>
      </c>
      <c r="L221" s="10">
        <v>10</v>
      </c>
      <c r="M221" s="10">
        <f t="shared" si="13"/>
        <v>10</v>
      </c>
      <c r="N221" s="10">
        <v>10</v>
      </c>
      <c r="O221" s="12">
        <v>1</v>
      </c>
      <c r="P221" s="116">
        <v>19400</v>
      </c>
      <c r="Q221" s="10" t="s">
        <v>33</v>
      </c>
      <c r="R221" s="4" t="s">
        <v>1278</v>
      </c>
      <c r="S221" s="4" t="s">
        <v>1278</v>
      </c>
      <c r="T221" s="4" t="s">
        <v>19</v>
      </c>
      <c r="U221" s="4" t="str">
        <f t="shared" si="8"/>
        <v>NOT AN ADD-ON</v>
      </c>
      <c r="V221" s="4" t="str">
        <f t="shared" si="11"/>
        <v>ASSET MANAGEMENT (CORE)ASSET MANAGEMENT (CORE)AUTHORIZEDNOT AN ADD-ON</v>
      </c>
    </row>
    <row r="222" spans="1:22" ht="15" hidden="1" thickBot="1">
      <c r="A222" s="10" t="s">
        <v>21</v>
      </c>
      <c r="B222" s="10" t="s">
        <v>22</v>
      </c>
      <c r="C222" s="10" t="s">
        <v>140</v>
      </c>
      <c r="D222" s="10" t="s">
        <v>141</v>
      </c>
      <c r="E222" s="10" t="s">
        <v>142</v>
      </c>
      <c r="F222" s="10" t="s">
        <v>143</v>
      </c>
      <c r="G222" s="116">
        <v>11600</v>
      </c>
      <c r="H222" s="163" t="s">
        <v>168</v>
      </c>
      <c r="I222" s="158" t="s">
        <v>169</v>
      </c>
      <c r="J222" s="163" t="s">
        <v>160</v>
      </c>
      <c r="K222" s="10" t="s">
        <v>40</v>
      </c>
      <c r="L222" s="10">
        <v>10</v>
      </c>
      <c r="M222" s="10">
        <f t="shared" si="13"/>
        <v>10</v>
      </c>
      <c r="N222" s="10">
        <v>10</v>
      </c>
      <c r="O222" s="12">
        <v>1</v>
      </c>
      <c r="P222" s="116">
        <v>19400</v>
      </c>
      <c r="Q222" s="10" t="s">
        <v>36</v>
      </c>
      <c r="R222" s="4" t="s">
        <v>1278</v>
      </c>
      <c r="S222" s="4" t="s">
        <v>1278</v>
      </c>
      <c r="T222" s="4" t="s">
        <v>19</v>
      </c>
      <c r="U222" s="4" t="str">
        <f t="shared" si="8"/>
        <v>NOT AN ADD-ON</v>
      </c>
      <c r="V222" s="4" t="str">
        <f t="shared" si="11"/>
        <v>ASSET MANAGEMENT (CORE)ASSET MANAGEMENT (CORE)AUTHORIZEDNOT AN ADD-ON</v>
      </c>
    </row>
    <row r="223" spans="1:22" ht="27" hidden="1" thickBot="1">
      <c r="A223" s="10" t="s">
        <v>21</v>
      </c>
      <c r="B223" s="10" t="s">
        <v>22</v>
      </c>
      <c r="C223" s="10" t="s">
        <v>140</v>
      </c>
      <c r="D223" s="10" t="s">
        <v>141</v>
      </c>
      <c r="E223" s="10" t="s">
        <v>142</v>
      </c>
      <c r="F223" s="10" t="s">
        <v>143</v>
      </c>
      <c r="G223" s="116">
        <v>4180</v>
      </c>
      <c r="H223" s="163" t="s">
        <v>161</v>
      </c>
      <c r="I223" s="166" t="s">
        <v>162</v>
      </c>
      <c r="J223" s="163" t="s">
        <v>160</v>
      </c>
      <c r="K223" s="10" t="s">
        <v>40</v>
      </c>
      <c r="L223" s="10">
        <v>10</v>
      </c>
      <c r="M223" s="10">
        <f t="shared" si="13"/>
        <v>10</v>
      </c>
      <c r="N223" s="10">
        <v>10</v>
      </c>
      <c r="O223" s="12">
        <v>1</v>
      </c>
      <c r="P223" s="116">
        <v>19400</v>
      </c>
      <c r="Q223" s="10" t="s">
        <v>48</v>
      </c>
      <c r="R223" s="4" t="s">
        <v>1278</v>
      </c>
      <c r="S223" s="4" t="s">
        <v>1278</v>
      </c>
      <c r="T223" s="4" t="s">
        <v>19</v>
      </c>
      <c r="U223" s="4" t="str">
        <f t="shared" si="8"/>
        <v>NOT AN ADD-ON</v>
      </c>
      <c r="V223" s="4" t="str">
        <f t="shared" si="11"/>
        <v>ASSET MANAGEMENT (CORE)ASSET MANAGEMENT (CORE)AUTHORIZEDNOT AN ADD-ON</v>
      </c>
    </row>
    <row r="224" spans="1:22" ht="29.25" hidden="1" customHeight="1" thickBot="1">
      <c r="A224" s="10" t="s">
        <v>21</v>
      </c>
      <c r="B224" s="10" t="s">
        <v>22</v>
      </c>
      <c r="C224" s="10" t="s">
        <v>140</v>
      </c>
      <c r="D224" s="10" t="s">
        <v>141</v>
      </c>
      <c r="E224" s="10" t="s">
        <v>142</v>
      </c>
      <c r="F224" s="10" t="s">
        <v>143</v>
      </c>
      <c r="G224" s="116">
        <v>18400</v>
      </c>
      <c r="H224" s="163" t="s">
        <v>163</v>
      </c>
      <c r="I224" s="166" t="s">
        <v>164</v>
      </c>
      <c r="J224" s="163" t="s">
        <v>160</v>
      </c>
      <c r="K224" s="10" t="s">
        <v>40</v>
      </c>
      <c r="L224" s="10">
        <v>10</v>
      </c>
      <c r="M224" s="10">
        <f t="shared" si="13"/>
        <v>10</v>
      </c>
      <c r="N224" s="10">
        <v>10</v>
      </c>
      <c r="O224" s="12">
        <v>1</v>
      </c>
      <c r="P224" s="116">
        <v>19400</v>
      </c>
      <c r="Q224" s="10" t="s">
        <v>48</v>
      </c>
      <c r="R224" s="4" t="s">
        <v>1278</v>
      </c>
      <c r="S224" s="4" t="s">
        <v>1278</v>
      </c>
      <c r="T224" s="4" t="s">
        <v>19</v>
      </c>
      <c r="U224" s="4" t="str">
        <f t="shared" si="8"/>
        <v>NOT AN ADD-ON</v>
      </c>
      <c r="V224" s="4" t="str">
        <f t="shared" si="11"/>
        <v>ASSET MANAGEMENT (CORE)ASSET MANAGEMENT (CORE)AUTHORIZEDNOT AN ADD-ON</v>
      </c>
    </row>
    <row r="225" spans="1:22" ht="27" hidden="1" thickBot="1">
      <c r="A225" s="10" t="s">
        <v>21</v>
      </c>
      <c r="B225" s="10" t="s">
        <v>22</v>
      </c>
      <c r="C225" s="10" t="s">
        <v>140</v>
      </c>
      <c r="D225" s="10" t="s">
        <v>141</v>
      </c>
      <c r="E225" s="10" t="s">
        <v>142</v>
      </c>
      <c r="F225" s="10" t="s">
        <v>143</v>
      </c>
      <c r="G225" s="116">
        <v>733</v>
      </c>
      <c r="H225" s="163" t="s">
        <v>191</v>
      </c>
      <c r="I225" s="166" t="s">
        <v>192</v>
      </c>
      <c r="J225" s="163" t="s">
        <v>184</v>
      </c>
      <c r="K225" s="10" t="s">
        <v>40</v>
      </c>
      <c r="L225" s="10">
        <v>5</v>
      </c>
      <c r="M225" s="10">
        <f t="shared" si="13"/>
        <v>5</v>
      </c>
      <c r="N225" s="10">
        <v>5</v>
      </c>
      <c r="O225" s="12">
        <v>1</v>
      </c>
      <c r="P225" s="116">
        <v>3620</v>
      </c>
      <c r="Q225" s="10" t="s">
        <v>48</v>
      </c>
      <c r="R225" s="4" t="s">
        <v>1278</v>
      </c>
      <c r="S225" s="4" t="s">
        <v>1278</v>
      </c>
      <c r="T225" s="4" t="s">
        <v>1381</v>
      </c>
      <c r="U225" s="4" t="str">
        <f t="shared" si="8"/>
        <v>NOT AN ADD-ON</v>
      </c>
      <c r="V225" s="4" t="str">
        <f t="shared" si="11"/>
        <v>ASSET MANAGEMENT (CORE)ASSET MANAGEMENT (CORE)EXPRESSNOT AN ADD-ON</v>
      </c>
    </row>
    <row r="226" spans="1:22" ht="29.25" hidden="1" customHeight="1" thickBot="1">
      <c r="A226" s="10" t="s">
        <v>21</v>
      </c>
      <c r="B226" s="10" t="s">
        <v>22</v>
      </c>
      <c r="C226" s="10" t="s">
        <v>140</v>
      </c>
      <c r="D226" s="10" t="s">
        <v>141</v>
      </c>
      <c r="E226" s="10" t="s">
        <v>142</v>
      </c>
      <c r="F226" s="10" t="s">
        <v>143</v>
      </c>
      <c r="G226" s="116">
        <v>733</v>
      </c>
      <c r="H226" s="163" t="s">
        <v>188</v>
      </c>
      <c r="I226" s="166" t="s">
        <v>189</v>
      </c>
      <c r="J226" s="163" t="s">
        <v>190</v>
      </c>
      <c r="K226" s="10" t="s">
        <v>40</v>
      </c>
      <c r="L226" s="10">
        <v>5</v>
      </c>
      <c r="M226" s="10">
        <f t="shared" si="13"/>
        <v>5</v>
      </c>
      <c r="N226" s="10">
        <v>5</v>
      </c>
      <c r="O226" s="12">
        <v>1</v>
      </c>
      <c r="P226" s="116">
        <v>3620</v>
      </c>
      <c r="Q226" s="10" t="s">
        <v>48</v>
      </c>
      <c r="R226" s="4" t="s">
        <v>1278</v>
      </c>
      <c r="S226" s="4" t="s">
        <v>1278</v>
      </c>
      <c r="T226" s="4" t="s">
        <v>1381</v>
      </c>
      <c r="U226" s="4" t="str">
        <f t="shared" si="8"/>
        <v>NOT AN ADD-ON</v>
      </c>
      <c r="V226" s="4" t="str">
        <f t="shared" si="11"/>
        <v>ASSET MANAGEMENT (CORE)ASSET MANAGEMENT (CORE)EXPRESSNOT AN ADD-ON</v>
      </c>
    </row>
    <row r="227" spans="1:22" ht="15" hidden="1" thickBot="1">
      <c r="A227" s="10" t="s">
        <v>21</v>
      </c>
      <c r="B227" s="10" t="s">
        <v>22</v>
      </c>
      <c r="C227" s="10" t="s">
        <v>301</v>
      </c>
      <c r="D227" s="10" t="s">
        <v>141</v>
      </c>
      <c r="E227" s="10" t="s">
        <v>142</v>
      </c>
      <c r="F227" s="10" t="s">
        <v>143</v>
      </c>
      <c r="G227" s="116">
        <v>6130</v>
      </c>
      <c r="H227" s="163" t="s">
        <v>314</v>
      </c>
      <c r="I227" s="158" t="s">
        <v>315</v>
      </c>
      <c r="J227" s="163" t="s">
        <v>314</v>
      </c>
      <c r="K227" s="10" t="s">
        <v>40</v>
      </c>
      <c r="L227" s="10">
        <v>0</v>
      </c>
      <c r="M227" s="10">
        <f t="shared" si="13"/>
        <v>0</v>
      </c>
      <c r="N227" s="10">
        <v>10</v>
      </c>
      <c r="O227" s="12">
        <v>1</v>
      </c>
      <c r="P227" s="116">
        <v>6130</v>
      </c>
      <c r="Q227" s="10" t="s">
        <v>33</v>
      </c>
      <c r="R227" s="4" t="s">
        <v>1285</v>
      </c>
      <c r="S227" s="4" t="s">
        <v>507</v>
      </c>
      <c r="T227" s="4" t="s">
        <v>19</v>
      </c>
      <c r="U227" s="4" t="str">
        <f t="shared" si="8"/>
        <v>NOT AN ADD-ON</v>
      </c>
      <c r="V227" s="4" t="str">
        <f t="shared" si="11"/>
        <v>SCHEDULERADD-ONAUTHORIZEDNOT AN ADD-ON</v>
      </c>
    </row>
    <row r="228" spans="1:22" ht="15" hidden="1" thickBot="1">
      <c r="A228" s="10" t="s">
        <v>21</v>
      </c>
      <c r="B228" s="10" t="s">
        <v>22</v>
      </c>
      <c r="C228" s="10" t="s">
        <v>301</v>
      </c>
      <c r="D228" s="10" t="s">
        <v>141</v>
      </c>
      <c r="E228" s="10" t="s">
        <v>142</v>
      </c>
      <c r="F228" s="10" t="s">
        <v>143</v>
      </c>
      <c r="G228" s="116">
        <v>3680</v>
      </c>
      <c r="H228" s="163" t="s">
        <v>316</v>
      </c>
      <c r="I228" s="158" t="s">
        <v>317</v>
      </c>
      <c r="J228" s="163" t="s">
        <v>314</v>
      </c>
      <c r="K228" s="10" t="s">
        <v>40</v>
      </c>
      <c r="L228" s="10">
        <v>0</v>
      </c>
      <c r="M228" s="10">
        <f t="shared" si="13"/>
        <v>0</v>
      </c>
      <c r="N228" s="10">
        <v>10</v>
      </c>
      <c r="O228" s="12">
        <v>1</v>
      </c>
      <c r="P228" s="116">
        <v>6130</v>
      </c>
      <c r="Q228" s="10" t="s">
        <v>36</v>
      </c>
      <c r="R228" s="4" t="s">
        <v>1285</v>
      </c>
      <c r="S228" s="4" t="s">
        <v>507</v>
      </c>
      <c r="T228" s="4" t="s">
        <v>19</v>
      </c>
      <c r="U228" s="4" t="str">
        <f t="shared" si="8"/>
        <v>NOT AN ADD-ON</v>
      </c>
      <c r="V228" s="4" t="str">
        <f t="shared" si="11"/>
        <v>SCHEDULERADD-ONAUTHORIZEDNOT AN ADD-ON</v>
      </c>
    </row>
    <row r="229" spans="1:22" ht="29.25" hidden="1" customHeight="1" thickBot="1">
      <c r="A229" s="10" t="s">
        <v>21</v>
      </c>
      <c r="B229" s="10" t="s">
        <v>22</v>
      </c>
      <c r="C229" s="10" t="s">
        <v>301</v>
      </c>
      <c r="D229" s="10" t="s">
        <v>141</v>
      </c>
      <c r="E229" s="10" t="s">
        <v>142</v>
      </c>
      <c r="F229" s="10" t="s">
        <v>143</v>
      </c>
      <c r="G229" s="116">
        <v>1330</v>
      </c>
      <c r="H229" s="163" t="s">
        <v>326</v>
      </c>
      <c r="I229" s="166" t="s">
        <v>327</v>
      </c>
      <c r="J229" s="163" t="s">
        <v>314</v>
      </c>
      <c r="K229" s="10" t="s">
        <v>40</v>
      </c>
      <c r="L229" s="10">
        <v>0</v>
      </c>
      <c r="M229" s="10">
        <f t="shared" si="13"/>
        <v>0</v>
      </c>
      <c r="N229" s="10">
        <v>10</v>
      </c>
      <c r="O229" s="12">
        <v>1</v>
      </c>
      <c r="P229" s="116">
        <v>6130</v>
      </c>
      <c r="Q229" s="10" t="s">
        <v>48</v>
      </c>
      <c r="R229" s="4" t="s">
        <v>1285</v>
      </c>
      <c r="S229" s="4" t="s">
        <v>507</v>
      </c>
      <c r="T229" s="4" t="s">
        <v>19</v>
      </c>
      <c r="U229" s="4" t="str">
        <f t="shared" si="8"/>
        <v>NOT AN ADD-ON</v>
      </c>
      <c r="V229" s="4" t="str">
        <f t="shared" si="11"/>
        <v>SCHEDULERADD-ONAUTHORIZEDNOT AN ADD-ON</v>
      </c>
    </row>
    <row r="230" spans="1:22" ht="29.25" hidden="1" customHeight="1" thickBot="1">
      <c r="A230" s="10" t="s">
        <v>21</v>
      </c>
      <c r="B230" s="10" t="s">
        <v>22</v>
      </c>
      <c r="C230" s="10" t="s">
        <v>301</v>
      </c>
      <c r="D230" s="10" t="s">
        <v>141</v>
      </c>
      <c r="E230" s="10" t="s">
        <v>142</v>
      </c>
      <c r="F230" s="10" t="s">
        <v>143</v>
      </c>
      <c r="G230" s="116">
        <v>6130</v>
      </c>
      <c r="H230" s="163" t="s">
        <v>322</v>
      </c>
      <c r="I230" s="158" t="s">
        <v>323</v>
      </c>
      <c r="J230" s="163" t="s">
        <v>322</v>
      </c>
      <c r="K230" s="10" t="s">
        <v>40</v>
      </c>
      <c r="L230" s="10">
        <v>0</v>
      </c>
      <c r="M230" s="10">
        <f t="shared" si="13"/>
        <v>0</v>
      </c>
      <c r="N230" s="10">
        <v>10</v>
      </c>
      <c r="O230" s="12">
        <v>1</v>
      </c>
      <c r="P230" s="116">
        <v>6130</v>
      </c>
      <c r="Q230" s="10" t="s">
        <v>33</v>
      </c>
      <c r="R230" s="4" t="s">
        <v>1285</v>
      </c>
      <c r="S230" s="4" t="s">
        <v>507</v>
      </c>
      <c r="T230" s="4" t="s">
        <v>19</v>
      </c>
      <c r="U230" s="4" t="str">
        <f t="shared" si="8"/>
        <v>NOT AN ADD-ON</v>
      </c>
      <c r="V230" s="4" t="str">
        <f t="shared" si="11"/>
        <v>SCHEDULERADD-ONAUTHORIZEDNOT AN ADD-ON</v>
      </c>
    </row>
    <row r="231" spans="1:22" ht="15" hidden="1" thickBot="1">
      <c r="A231" s="10" t="s">
        <v>21</v>
      </c>
      <c r="B231" s="10" t="s">
        <v>22</v>
      </c>
      <c r="C231" s="10" t="s">
        <v>301</v>
      </c>
      <c r="D231" s="10" t="s">
        <v>141</v>
      </c>
      <c r="E231" s="10" t="s">
        <v>142</v>
      </c>
      <c r="F231" s="10" t="s">
        <v>143</v>
      </c>
      <c r="G231" s="116">
        <v>3680</v>
      </c>
      <c r="H231" s="163" t="s">
        <v>324</v>
      </c>
      <c r="I231" s="158" t="s">
        <v>325</v>
      </c>
      <c r="J231" s="163" t="s">
        <v>322</v>
      </c>
      <c r="K231" s="10" t="s">
        <v>40</v>
      </c>
      <c r="L231" s="10">
        <v>0</v>
      </c>
      <c r="M231" s="10">
        <f t="shared" si="13"/>
        <v>0</v>
      </c>
      <c r="N231" s="10">
        <v>10</v>
      </c>
      <c r="O231" s="12">
        <v>1</v>
      </c>
      <c r="P231" s="116">
        <v>6130</v>
      </c>
      <c r="Q231" s="10" t="s">
        <v>36</v>
      </c>
      <c r="R231" s="4" t="s">
        <v>1285</v>
      </c>
      <c r="S231" s="4" t="s">
        <v>507</v>
      </c>
      <c r="T231" s="4" t="s">
        <v>19</v>
      </c>
      <c r="U231" s="4" t="str">
        <f t="shared" si="8"/>
        <v>NOT AN ADD-ON</v>
      </c>
      <c r="V231" s="4" t="str">
        <f t="shared" si="11"/>
        <v>SCHEDULERADD-ONAUTHORIZEDNOT AN ADD-ON</v>
      </c>
    </row>
    <row r="232" spans="1:22" ht="27" hidden="1" thickBot="1">
      <c r="A232" s="10" t="s">
        <v>21</v>
      </c>
      <c r="B232" s="10" t="s">
        <v>22</v>
      </c>
      <c r="C232" s="10" t="s">
        <v>301</v>
      </c>
      <c r="D232" s="10" t="s">
        <v>141</v>
      </c>
      <c r="E232" s="10" t="s">
        <v>142</v>
      </c>
      <c r="F232" s="10" t="s">
        <v>143</v>
      </c>
      <c r="G232" s="116">
        <v>1330</v>
      </c>
      <c r="H232" s="163" t="s">
        <v>318</v>
      </c>
      <c r="I232" s="166" t="s">
        <v>319</v>
      </c>
      <c r="J232" s="163" t="s">
        <v>314</v>
      </c>
      <c r="K232" s="10" t="s">
        <v>40</v>
      </c>
      <c r="L232" s="10">
        <v>0</v>
      </c>
      <c r="M232" s="10">
        <f t="shared" si="13"/>
        <v>0</v>
      </c>
      <c r="N232" s="10">
        <v>10</v>
      </c>
      <c r="O232" s="12">
        <v>1</v>
      </c>
      <c r="P232" s="116">
        <v>6130</v>
      </c>
      <c r="Q232" s="10" t="s">
        <v>48</v>
      </c>
      <c r="R232" s="4" t="s">
        <v>1285</v>
      </c>
      <c r="S232" s="4" t="s">
        <v>507</v>
      </c>
      <c r="T232" s="4" t="s">
        <v>19</v>
      </c>
      <c r="U232" s="4" t="str">
        <f t="shared" si="8"/>
        <v>NOT AN ADD-ON</v>
      </c>
      <c r="V232" s="4" t="str">
        <f t="shared" si="11"/>
        <v>SCHEDULERADD-ONAUTHORIZEDNOT AN ADD-ON</v>
      </c>
    </row>
    <row r="233" spans="1:22" ht="29.25" hidden="1" customHeight="1" thickBot="1">
      <c r="A233" s="10" t="s">
        <v>21</v>
      </c>
      <c r="B233" s="10" t="s">
        <v>22</v>
      </c>
      <c r="C233" s="10" t="s">
        <v>986</v>
      </c>
      <c r="D233" s="10" t="s">
        <v>141</v>
      </c>
      <c r="E233" s="10" t="s">
        <v>142</v>
      </c>
      <c r="F233" s="10" t="s">
        <v>143</v>
      </c>
      <c r="G233" s="116">
        <v>8160</v>
      </c>
      <c r="H233" s="163" t="s">
        <v>989</v>
      </c>
      <c r="I233" s="158" t="s">
        <v>990</v>
      </c>
      <c r="J233" s="163" t="s">
        <v>989</v>
      </c>
      <c r="K233" s="10" t="s">
        <v>40</v>
      </c>
      <c r="L233" s="10">
        <v>5</v>
      </c>
      <c r="M233" s="10">
        <f t="shared" si="13"/>
        <v>5</v>
      </c>
      <c r="N233" s="10">
        <v>5</v>
      </c>
      <c r="O233" s="12">
        <v>1</v>
      </c>
      <c r="P233" s="116">
        <v>8160</v>
      </c>
      <c r="Q233" s="10" t="s">
        <v>33</v>
      </c>
      <c r="R233" s="4" t="s">
        <v>1293</v>
      </c>
      <c r="S233" s="4" t="s">
        <v>1383</v>
      </c>
      <c r="T233" s="4" t="s">
        <v>19</v>
      </c>
      <c r="U233" s="4" t="str">
        <f t="shared" si="8"/>
        <v>NOT AN ADD-ON</v>
      </c>
      <c r="V233" s="4" t="str">
        <f t="shared" si="11"/>
        <v>HEALTH SAFETY AND ENVIRONMENT MANAGERHSEAUTHORIZEDNOT AN ADD-ON</v>
      </c>
    </row>
    <row r="234" spans="1:22" ht="29.25" hidden="1" customHeight="1" thickBot="1">
      <c r="A234" s="10" t="s">
        <v>21</v>
      </c>
      <c r="B234" s="10" t="s">
        <v>22</v>
      </c>
      <c r="C234" s="10" t="s">
        <v>986</v>
      </c>
      <c r="D234" s="10" t="s">
        <v>141</v>
      </c>
      <c r="E234" s="10" t="s">
        <v>142</v>
      </c>
      <c r="F234" s="10" t="s">
        <v>143</v>
      </c>
      <c r="G234" s="116">
        <v>4890</v>
      </c>
      <c r="H234" s="163" t="s">
        <v>991</v>
      </c>
      <c r="I234" s="158" t="s">
        <v>992</v>
      </c>
      <c r="J234" s="163" t="s">
        <v>989</v>
      </c>
      <c r="K234" s="10" t="s">
        <v>40</v>
      </c>
      <c r="L234" s="10">
        <v>5</v>
      </c>
      <c r="M234" s="10">
        <f t="shared" si="13"/>
        <v>5</v>
      </c>
      <c r="N234" s="10">
        <v>5</v>
      </c>
      <c r="O234" s="12">
        <v>1</v>
      </c>
      <c r="P234" s="116">
        <v>8160</v>
      </c>
      <c r="Q234" s="10" t="s">
        <v>36</v>
      </c>
      <c r="R234" s="4" t="s">
        <v>1293</v>
      </c>
      <c r="S234" s="4" t="s">
        <v>1383</v>
      </c>
      <c r="T234" s="4" t="s">
        <v>19</v>
      </c>
      <c r="U234" s="4" t="str">
        <f t="shared" si="8"/>
        <v>NOT AN ADD-ON</v>
      </c>
      <c r="V234" s="4" t="str">
        <f t="shared" si="11"/>
        <v>HEALTH SAFETY AND ENVIRONMENT MANAGERHSEAUTHORIZEDNOT AN ADD-ON</v>
      </c>
    </row>
    <row r="235" spans="1:22" ht="27" hidden="1" thickBot="1">
      <c r="A235" s="10" t="s">
        <v>21</v>
      </c>
      <c r="B235" s="10" t="s">
        <v>22</v>
      </c>
      <c r="C235" s="10" t="s">
        <v>986</v>
      </c>
      <c r="D235" s="10" t="s">
        <v>141</v>
      </c>
      <c r="E235" s="10" t="s">
        <v>142</v>
      </c>
      <c r="F235" s="10" t="s">
        <v>143</v>
      </c>
      <c r="G235" s="116">
        <v>1760</v>
      </c>
      <c r="H235" s="163" t="s">
        <v>1013</v>
      </c>
      <c r="I235" s="166" t="s">
        <v>1014</v>
      </c>
      <c r="J235" s="163" t="s">
        <v>989</v>
      </c>
      <c r="K235" s="10" t="s">
        <v>40</v>
      </c>
      <c r="L235" s="10">
        <v>5</v>
      </c>
      <c r="M235" s="10">
        <f t="shared" si="13"/>
        <v>5</v>
      </c>
      <c r="N235" s="10">
        <v>5</v>
      </c>
      <c r="O235" s="12">
        <v>1</v>
      </c>
      <c r="P235" s="116">
        <v>8160</v>
      </c>
      <c r="Q235" s="10" t="s">
        <v>48</v>
      </c>
      <c r="R235" s="4" t="s">
        <v>1293</v>
      </c>
      <c r="S235" s="4" t="s">
        <v>1383</v>
      </c>
      <c r="T235" s="4" t="s">
        <v>19</v>
      </c>
      <c r="U235" s="4" t="str">
        <f t="shared" si="8"/>
        <v>NOT AN ADD-ON</v>
      </c>
      <c r="V235" s="4" t="str">
        <f t="shared" si="11"/>
        <v>HEALTH SAFETY AND ENVIRONMENT MANAGERHSEAUTHORIZEDNOT AN ADD-ON</v>
      </c>
    </row>
    <row r="236" spans="1:22" ht="15" hidden="1" thickBot="1">
      <c r="A236" s="10" t="s">
        <v>21</v>
      </c>
      <c r="B236" s="10" t="s">
        <v>22</v>
      </c>
      <c r="C236" s="10" t="s">
        <v>986</v>
      </c>
      <c r="D236" s="10" t="s">
        <v>141</v>
      </c>
      <c r="E236" s="10" t="s">
        <v>142</v>
      </c>
      <c r="F236" s="10" t="s">
        <v>143</v>
      </c>
      <c r="G236" s="116">
        <v>8160</v>
      </c>
      <c r="H236" s="163" t="s">
        <v>1007</v>
      </c>
      <c r="I236" s="158" t="s">
        <v>1010</v>
      </c>
      <c r="J236" s="163" t="s">
        <v>1007</v>
      </c>
      <c r="K236" s="10" t="s">
        <v>40</v>
      </c>
      <c r="L236" s="10">
        <v>5</v>
      </c>
      <c r="M236" s="10">
        <f t="shared" si="13"/>
        <v>5</v>
      </c>
      <c r="N236" s="10">
        <v>5</v>
      </c>
      <c r="O236" s="12">
        <v>1</v>
      </c>
      <c r="P236" s="116">
        <v>8160</v>
      </c>
      <c r="Q236" s="10" t="s">
        <v>33</v>
      </c>
      <c r="R236" s="4" t="s">
        <v>1293</v>
      </c>
      <c r="S236" s="4" t="s">
        <v>1383</v>
      </c>
      <c r="T236" s="4" t="s">
        <v>19</v>
      </c>
      <c r="U236" s="4" t="str">
        <f t="shared" si="8"/>
        <v>NOT AN ADD-ON</v>
      </c>
      <c r="V236" s="4" t="str">
        <f t="shared" si="11"/>
        <v>HEALTH SAFETY AND ENVIRONMENT MANAGERHSEAUTHORIZEDNOT AN ADD-ON</v>
      </c>
    </row>
    <row r="237" spans="1:22" ht="29.25" hidden="1" customHeight="1" thickBot="1">
      <c r="A237" s="10" t="s">
        <v>21</v>
      </c>
      <c r="B237" s="10" t="s">
        <v>22</v>
      </c>
      <c r="C237" s="10" t="s">
        <v>986</v>
      </c>
      <c r="D237" s="10" t="s">
        <v>141</v>
      </c>
      <c r="E237" s="10" t="s">
        <v>142</v>
      </c>
      <c r="F237" s="10" t="s">
        <v>143</v>
      </c>
      <c r="G237" s="116">
        <v>4890</v>
      </c>
      <c r="H237" s="163" t="s">
        <v>1011</v>
      </c>
      <c r="I237" s="166" t="s">
        <v>1012</v>
      </c>
      <c r="J237" s="163" t="s">
        <v>1007</v>
      </c>
      <c r="K237" s="10" t="s">
        <v>40</v>
      </c>
      <c r="L237" s="10">
        <v>5</v>
      </c>
      <c r="M237" s="10">
        <f t="shared" si="13"/>
        <v>5</v>
      </c>
      <c r="N237" s="10">
        <v>5</v>
      </c>
      <c r="O237" s="12">
        <v>1</v>
      </c>
      <c r="P237" s="116">
        <v>8160</v>
      </c>
      <c r="Q237" s="10" t="s">
        <v>36</v>
      </c>
      <c r="R237" s="4" t="s">
        <v>1293</v>
      </c>
      <c r="S237" s="4" t="s">
        <v>1383</v>
      </c>
      <c r="T237" s="4" t="s">
        <v>19</v>
      </c>
      <c r="U237" s="4" t="str">
        <f t="shared" ref="U237:U246" si="14">IF(ISNUMBER(SEARCH("ADD-ON",$I237)),"ADD-ON","NOT AN ADD-ON")</f>
        <v>NOT AN ADD-ON</v>
      </c>
      <c r="V237" s="4" t="str">
        <f t="shared" si="11"/>
        <v>HEALTH SAFETY AND ENVIRONMENT MANAGERHSEAUTHORIZEDNOT AN ADD-ON</v>
      </c>
    </row>
    <row r="238" spans="1:22" ht="27" hidden="1" thickBot="1">
      <c r="A238" s="10" t="s">
        <v>21</v>
      </c>
      <c r="B238" s="10" t="s">
        <v>22</v>
      </c>
      <c r="C238" s="10" t="s">
        <v>986</v>
      </c>
      <c r="D238" s="10" t="s">
        <v>141</v>
      </c>
      <c r="E238" s="10" t="s">
        <v>142</v>
      </c>
      <c r="F238" s="10" t="s">
        <v>143</v>
      </c>
      <c r="G238" s="116">
        <v>1760</v>
      </c>
      <c r="H238" s="163" t="s">
        <v>1005</v>
      </c>
      <c r="I238" s="166" t="s">
        <v>1006</v>
      </c>
      <c r="J238" s="163" t="s">
        <v>1007</v>
      </c>
      <c r="K238" s="10" t="s">
        <v>40</v>
      </c>
      <c r="L238" s="10">
        <v>5</v>
      </c>
      <c r="M238" s="10">
        <f t="shared" si="13"/>
        <v>5</v>
      </c>
      <c r="N238" s="10">
        <v>5</v>
      </c>
      <c r="O238" s="12">
        <v>1</v>
      </c>
      <c r="P238" s="116">
        <v>8160</v>
      </c>
      <c r="Q238" s="10" t="s">
        <v>48</v>
      </c>
      <c r="R238" s="4" t="s">
        <v>1293</v>
      </c>
      <c r="S238" s="4" t="s">
        <v>1383</v>
      </c>
      <c r="T238" s="4" t="s">
        <v>19</v>
      </c>
      <c r="U238" s="4" t="str">
        <f t="shared" si="14"/>
        <v>NOT AN ADD-ON</v>
      </c>
      <c r="V238" s="4" t="str">
        <f t="shared" si="11"/>
        <v>HEALTH SAFETY AND ENVIRONMENT MANAGERHSEAUTHORIZEDNOT AN ADD-ON</v>
      </c>
    </row>
    <row r="239" spans="1:22" ht="15" hidden="1" thickBot="1">
      <c r="A239" s="10" t="s">
        <v>21</v>
      </c>
      <c r="B239" s="10" t="s">
        <v>22</v>
      </c>
      <c r="C239" s="10" t="s">
        <v>686</v>
      </c>
      <c r="D239" s="10" t="s">
        <v>687</v>
      </c>
      <c r="E239" s="10" t="s">
        <v>688</v>
      </c>
      <c r="F239" s="10" t="s">
        <v>689</v>
      </c>
      <c r="G239" s="116">
        <v>23400</v>
      </c>
      <c r="H239" s="163" t="s">
        <v>726</v>
      </c>
      <c r="I239" s="158" t="s">
        <v>727</v>
      </c>
      <c r="J239" s="163" t="s">
        <v>726</v>
      </c>
      <c r="K239" s="10" t="s">
        <v>40</v>
      </c>
      <c r="L239" s="10">
        <v>15</v>
      </c>
      <c r="M239" s="10">
        <f t="shared" si="13"/>
        <v>15</v>
      </c>
      <c r="N239" s="10">
        <v>15</v>
      </c>
      <c r="O239" s="12">
        <v>1</v>
      </c>
      <c r="P239" s="116">
        <v>23400</v>
      </c>
      <c r="Q239" s="10" t="s">
        <v>33</v>
      </c>
      <c r="R239" s="4" t="s">
        <v>1282</v>
      </c>
      <c r="S239" s="4" t="s">
        <v>1279</v>
      </c>
      <c r="T239" s="4" t="s">
        <v>19</v>
      </c>
      <c r="U239" s="4" t="str">
        <f t="shared" si="14"/>
        <v>NOT AN ADD-ON</v>
      </c>
      <c r="V239" s="4" t="str">
        <f t="shared" si="11"/>
        <v>OIL AND GASINDUSTRY SOLUTIONAUTHORIZEDNOT AN ADD-ON</v>
      </c>
    </row>
    <row r="240" spans="1:22" ht="29.25" hidden="1" customHeight="1" thickBot="1">
      <c r="A240" s="10" t="s">
        <v>21</v>
      </c>
      <c r="B240" s="10" t="s">
        <v>22</v>
      </c>
      <c r="C240" s="10" t="s">
        <v>686</v>
      </c>
      <c r="D240" s="10" t="s">
        <v>687</v>
      </c>
      <c r="E240" s="10" t="s">
        <v>688</v>
      </c>
      <c r="F240" s="10" t="s">
        <v>689</v>
      </c>
      <c r="G240" s="116">
        <v>14000</v>
      </c>
      <c r="H240" s="163" t="s">
        <v>728</v>
      </c>
      <c r="I240" s="158" t="s">
        <v>729</v>
      </c>
      <c r="J240" s="163" t="s">
        <v>726</v>
      </c>
      <c r="K240" s="10" t="s">
        <v>40</v>
      </c>
      <c r="L240" s="10">
        <v>15</v>
      </c>
      <c r="M240" s="10">
        <f t="shared" si="13"/>
        <v>15</v>
      </c>
      <c r="N240" s="10">
        <v>15</v>
      </c>
      <c r="O240" s="12">
        <v>1</v>
      </c>
      <c r="P240" s="116">
        <v>23400</v>
      </c>
      <c r="Q240" s="10" t="s">
        <v>36</v>
      </c>
      <c r="R240" s="4" t="s">
        <v>1282</v>
      </c>
      <c r="S240" s="4" t="s">
        <v>1279</v>
      </c>
      <c r="T240" s="4" t="s">
        <v>19</v>
      </c>
      <c r="U240" s="4" t="str">
        <f t="shared" si="14"/>
        <v>NOT AN ADD-ON</v>
      </c>
      <c r="V240" s="4" t="str">
        <f t="shared" si="11"/>
        <v>OIL AND GASINDUSTRY SOLUTIONAUTHORIZEDNOT AN ADD-ON</v>
      </c>
    </row>
    <row r="241" spans="1:22" ht="27" hidden="1" thickBot="1">
      <c r="A241" s="10" t="s">
        <v>21</v>
      </c>
      <c r="B241" s="10" t="s">
        <v>22</v>
      </c>
      <c r="C241" s="10" t="s">
        <v>686</v>
      </c>
      <c r="D241" s="10" t="s">
        <v>687</v>
      </c>
      <c r="E241" s="10" t="s">
        <v>688</v>
      </c>
      <c r="F241" s="10" t="s">
        <v>689</v>
      </c>
      <c r="G241" s="116">
        <v>8260</v>
      </c>
      <c r="H241" s="163" t="s">
        <v>742</v>
      </c>
      <c r="I241" s="166" t="s">
        <v>743</v>
      </c>
      <c r="J241" s="163" t="s">
        <v>726</v>
      </c>
      <c r="K241" s="10" t="s">
        <v>40</v>
      </c>
      <c r="L241" s="10">
        <v>15</v>
      </c>
      <c r="M241" s="10">
        <f t="shared" si="13"/>
        <v>15</v>
      </c>
      <c r="N241" s="10">
        <v>15</v>
      </c>
      <c r="O241" s="12">
        <v>1</v>
      </c>
      <c r="P241" s="116">
        <v>23400</v>
      </c>
      <c r="Q241" s="10" t="s">
        <v>48</v>
      </c>
      <c r="R241" s="4" t="s">
        <v>1282</v>
      </c>
      <c r="S241" s="4" t="s">
        <v>1279</v>
      </c>
      <c r="T241" s="4" t="s">
        <v>19</v>
      </c>
      <c r="U241" s="4" t="str">
        <f t="shared" si="14"/>
        <v>NOT AN ADD-ON</v>
      </c>
      <c r="V241" s="4" t="str">
        <f t="shared" si="11"/>
        <v>OIL AND GASINDUSTRY SOLUTIONAUTHORIZEDNOT AN ADD-ON</v>
      </c>
    </row>
    <row r="242" spans="1:22" ht="29.25" hidden="1" customHeight="1" thickBot="1">
      <c r="A242" s="10" t="s">
        <v>21</v>
      </c>
      <c r="B242" s="10" t="s">
        <v>22</v>
      </c>
      <c r="C242" s="10" t="s">
        <v>686</v>
      </c>
      <c r="D242" s="10" t="s">
        <v>687</v>
      </c>
      <c r="E242" s="10" t="s">
        <v>688</v>
      </c>
      <c r="F242" s="10" t="s">
        <v>689</v>
      </c>
      <c r="G242" s="116">
        <v>5030</v>
      </c>
      <c r="H242" s="163" t="s">
        <v>740</v>
      </c>
      <c r="I242" s="166" t="s">
        <v>741</v>
      </c>
      <c r="J242" s="163" t="s">
        <v>726</v>
      </c>
      <c r="K242" s="10" t="s">
        <v>40</v>
      </c>
      <c r="L242" s="10">
        <v>15</v>
      </c>
      <c r="M242" s="10">
        <f t="shared" si="13"/>
        <v>15</v>
      </c>
      <c r="N242" s="10">
        <v>15</v>
      </c>
      <c r="O242" s="12">
        <v>1</v>
      </c>
      <c r="P242" s="116">
        <v>23400</v>
      </c>
      <c r="Q242" s="10" t="s">
        <v>48</v>
      </c>
      <c r="R242" s="4" t="s">
        <v>1282</v>
      </c>
      <c r="S242" s="4" t="s">
        <v>1279</v>
      </c>
      <c r="T242" s="4" t="s">
        <v>19</v>
      </c>
      <c r="U242" s="4" t="str">
        <f t="shared" si="14"/>
        <v>NOT AN ADD-ON</v>
      </c>
      <c r="V242" s="4" t="str">
        <f t="shared" si="11"/>
        <v>OIL AND GASINDUSTRY SOLUTIONAUTHORIZEDNOT AN ADD-ON</v>
      </c>
    </row>
    <row r="243" spans="1:22" ht="15" hidden="1" thickBot="1">
      <c r="A243" s="10" t="s">
        <v>21</v>
      </c>
      <c r="B243" s="10" t="s">
        <v>22</v>
      </c>
      <c r="C243" s="10" t="s">
        <v>686</v>
      </c>
      <c r="D243" s="10" t="s">
        <v>687</v>
      </c>
      <c r="E243" s="10" t="s">
        <v>688</v>
      </c>
      <c r="F243" s="10" t="s">
        <v>689</v>
      </c>
      <c r="G243" s="116">
        <v>23400</v>
      </c>
      <c r="H243" s="163" t="s">
        <v>732</v>
      </c>
      <c r="I243" s="158" t="s">
        <v>737</v>
      </c>
      <c r="J243" s="163" t="s">
        <v>732</v>
      </c>
      <c r="K243" s="10" t="s">
        <v>40</v>
      </c>
      <c r="L243" s="10">
        <v>15</v>
      </c>
      <c r="M243" s="10">
        <f t="shared" si="13"/>
        <v>15</v>
      </c>
      <c r="N243" s="10">
        <v>15</v>
      </c>
      <c r="O243" s="12">
        <v>1</v>
      </c>
      <c r="P243" s="116">
        <v>23400</v>
      </c>
      <c r="Q243" s="10" t="s">
        <v>33</v>
      </c>
      <c r="R243" s="4" t="s">
        <v>1282</v>
      </c>
      <c r="S243" s="4" t="s">
        <v>1279</v>
      </c>
      <c r="T243" s="4" t="s">
        <v>19</v>
      </c>
      <c r="U243" s="4" t="str">
        <f t="shared" si="14"/>
        <v>NOT AN ADD-ON</v>
      </c>
      <c r="V243" s="4" t="str">
        <f t="shared" si="11"/>
        <v>OIL AND GASINDUSTRY SOLUTIONAUTHORIZEDNOT AN ADD-ON</v>
      </c>
    </row>
    <row r="244" spans="1:22" ht="15" hidden="1" thickBot="1">
      <c r="A244" s="10" t="s">
        <v>21</v>
      </c>
      <c r="B244" s="10" t="s">
        <v>22</v>
      </c>
      <c r="C244" s="10" t="s">
        <v>686</v>
      </c>
      <c r="D244" s="10" t="s">
        <v>687</v>
      </c>
      <c r="E244" s="10" t="s">
        <v>688</v>
      </c>
      <c r="F244" s="10" t="s">
        <v>689</v>
      </c>
      <c r="G244" s="116">
        <v>14000</v>
      </c>
      <c r="H244" s="163" t="s">
        <v>738</v>
      </c>
      <c r="I244" s="158" t="s">
        <v>739</v>
      </c>
      <c r="J244" s="163" t="s">
        <v>732</v>
      </c>
      <c r="K244" s="10" t="s">
        <v>40</v>
      </c>
      <c r="L244" s="10">
        <v>15</v>
      </c>
      <c r="M244" s="10">
        <f t="shared" si="13"/>
        <v>15</v>
      </c>
      <c r="N244" s="10">
        <v>15</v>
      </c>
      <c r="O244" s="12">
        <v>1</v>
      </c>
      <c r="P244" s="116">
        <v>23400</v>
      </c>
      <c r="Q244" s="10" t="s">
        <v>36</v>
      </c>
      <c r="R244" s="4" t="s">
        <v>1282</v>
      </c>
      <c r="S244" s="4" t="s">
        <v>1279</v>
      </c>
      <c r="T244" s="4" t="s">
        <v>19</v>
      </c>
      <c r="U244" s="4" t="str">
        <f t="shared" si="14"/>
        <v>NOT AN ADD-ON</v>
      </c>
      <c r="V244" s="4" t="str">
        <f t="shared" si="11"/>
        <v>OIL AND GASINDUSTRY SOLUTIONAUTHORIZEDNOT AN ADD-ON</v>
      </c>
    </row>
    <row r="245" spans="1:22" ht="27" hidden="1" thickBot="1">
      <c r="A245" s="10" t="s">
        <v>21</v>
      </c>
      <c r="B245" s="10" t="s">
        <v>22</v>
      </c>
      <c r="C245" s="10" t="s">
        <v>686</v>
      </c>
      <c r="D245" s="10" t="s">
        <v>687</v>
      </c>
      <c r="E245" s="10" t="s">
        <v>688</v>
      </c>
      <c r="F245" s="10" t="s">
        <v>689</v>
      </c>
      <c r="G245" s="116">
        <v>8260</v>
      </c>
      <c r="H245" s="163" t="s">
        <v>733</v>
      </c>
      <c r="I245" s="166" t="s">
        <v>734</v>
      </c>
      <c r="J245" s="163" t="s">
        <v>732</v>
      </c>
      <c r="K245" s="10" t="s">
        <v>40</v>
      </c>
      <c r="L245" s="10">
        <v>15</v>
      </c>
      <c r="M245" s="10">
        <f t="shared" si="13"/>
        <v>15</v>
      </c>
      <c r="N245" s="10">
        <v>15</v>
      </c>
      <c r="O245" s="12">
        <v>1</v>
      </c>
      <c r="P245" s="116">
        <v>23400</v>
      </c>
      <c r="Q245" s="10" t="s">
        <v>48</v>
      </c>
      <c r="R245" s="4" t="s">
        <v>1282</v>
      </c>
      <c r="S245" s="4" t="s">
        <v>1279</v>
      </c>
      <c r="T245" s="4" t="s">
        <v>19</v>
      </c>
      <c r="U245" s="4" t="str">
        <f t="shared" si="14"/>
        <v>NOT AN ADD-ON</v>
      </c>
      <c r="V245" s="4" t="str">
        <f t="shared" si="11"/>
        <v>OIL AND GASINDUSTRY SOLUTIONAUTHORIZEDNOT AN ADD-ON</v>
      </c>
    </row>
    <row r="246" spans="1:22" ht="27" hidden="1" thickBot="1">
      <c r="A246" s="10" t="s">
        <v>21</v>
      </c>
      <c r="B246" s="10" t="s">
        <v>22</v>
      </c>
      <c r="C246" s="10" t="s">
        <v>686</v>
      </c>
      <c r="D246" s="10" t="s">
        <v>687</v>
      </c>
      <c r="E246" s="10" t="s">
        <v>688</v>
      </c>
      <c r="F246" s="10" t="s">
        <v>689</v>
      </c>
      <c r="G246" s="116">
        <v>5030</v>
      </c>
      <c r="H246" s="163" t="s">
        <v>730</v>
      </c>
      <c r="I246" s="166" t="s">
        <v>731</v>
      </c>
      <c r="J246" s="163" t="s">
        <v>732</v>
      </c>
      <c r="K246" s="10" t="s">
        <v>40</v>
      </c>
      <c r="L246" s="10">
        <v>15</v>
      </c>
      <c r="M246" s="10">
        <f t="shared" si="13"/>
        <v>15</v>
      </c>
      <c r="N246" s="10">
        <v>15</v>
      </c>
      <c r="O246" s="12">
        <v>1</v>
      </c>
      <c r="P246" s="116">
        <v>23400</v>
      </c>
      <c r="Q246" s="10" t="s">
        <v>48</v>
      </c>
      <c r="R246" s="4" t="s">
        <v>1282</v>
      </c>
      <c r="S246" s="4" t="s">
        <v>1279</v>
      </c>
      <c r="T246" s="4" t="s">
        <v>19</v>
      </c>
      <c r="U246" s="4" t="str">
        <f t="shared" si="14"/>
        <v>NOT AN ADD-ON</v>
      </c>
      <c r="V246" s="4" t="str">
        <f t="shared" si="11"/>
        <v>OIL AND GASINDUSTRY SOLUTIONAUTHORIZEDNOT AN ADD-ON</v>
      </c>
    </row>
    <row r="247" spans="1:22" ht="15" hidden="1" thickBot="1">
      <c r="A247" s="10" t="s">
        <v>21</v>
      </c>
      <c r="B247" s="10" t="s">
        <v>22</v>
      </c>
      <c r="C247" s="10" t="s">
        <v>686</v>
      </c>
      <c r="D247" s="10" t="s">
        <v>687</v>
      </c>
      <c r="E247" s="10" t="s">
        <v>688</v>
      </c>
      <c r="F247" s="10" t="s">
        <v>689</v>
      </c>
      <c r="G247" s="116">
        <v>6570</v>
      </c>
      <c r="H247" s="163" t="s">
        <v>698</v>
      </c>
      <c r="I247" s="158" t="s">
        <v>699</v>
      </c>
      <c r="J247" s="163" t="s">
        <v>698</v>
      </c>
      <c r="K247" s="10" t="s">
        <v>40</v>
      </c>
      <c r="L247" s="10">
        <v>5</v>
      </c>
      <c r="M247" s="10">
        <f t="shared" si="13"/>
        <v>5</v>
      </c>
      <c r="N247" s="10">
        <v>15</v>
      </c>
      <c r="O247" s="12">
        <v>1</v>
      </c>
      <c r="P247" s="116">
        <v>6570</v>
      </c>
      <c r="Q247" s="10" t="s">
        <v>33</v>
      </c>
      <c r="R247" s="4" t="s">
        <v>1282</v>
      </c>
      <c r="S247" s="4" t="s">
        <v>1279</v>
      </c>
      <c r="T247" s="4" t="s">
        <v>19</v>
      </c>
      <c r="U247" s="4" t="s">
        <v>507</v>
      </c>
      <c r="V247" s="4" t="str">
        <f t="shared" si="11"/>
        <v>OIL AND GASINDUSTRY SOLUTIONAUTHORIZEDADD-ON</v>
      </c>
    </row>
    <row r="248" spans="1:22" ht="15" hidden="1" thickBot="1">
      <c r="A248" s="10" t="s">
        <v>21</v>
      </c>
      <c r="B248" s="10" t="s">
        <v>22</v>
      </c>
      <c r="C248" s="10" t="s">
        <v>686</v>
      </c>
      <c r="D248" s="10" t="s">
        <v>687</v>
      </c>
      <c r="E248" s="10" t="s">
        <v>688</v>
      </c>
      <c r="F248" s="10" t="s">
        <v>689</v>
      </c>
      <c r="G248" s="116">
        <v>3940</v>
      </c>
      <c r="H248" s="163" t="s">
        <v>700</v>
      </c>
      <c r="I248" s="158" t="s">
        <v>701</v>
      </c>
      <c r="J248" s="163" t="s">
        <v>698</v>
      </c>
      <c r="K248" s="10" t="s">
        <v>40</v>
      </c>
      <c r="L248" s="10">
        <v>5</v>
      </c>
      <c r="M248" s="10">
        <f t="shared" si="13"/>
        <v>5</v>
      </c>
      <c r="N248" s="10">
        <v>15</v>
      </c>
      <c r="O248" s="12">
        <v>1</v>
      </c>
      <c r="P248" s="116">
        <v>6570</v>
      </c>
      <c r="Q248" s="10" t="s">
        <v>36</v>
      </c>
      <c r="R248" s="4" t="s">
        <v>1282</v>
      </c>
      <c r="S248" s="4" t="s">
        <v>1279</v>
      </c>
      <c r="T248" s="4" t="s">
        <v>19</v>
      </c>
      <c r="U248" s="4" t="s">
        <v>507</v>
      </c>
      <c r="V248" s="4" t="str">
        <f t="shared" si="11"/>
        <v>OIL AND GASINDUSTRY SOLUTIONAUTHORIZEDADD-ON</v>
      </c>
    </row>
    <row r="249" spans="1:22" ht="27" hidden="1" thickBot="1">
      <c r="A249" s="10" t="s">
        <v>21</v>
      </c>
      <c r="B249" s="10" t="s">
        <v>22</v>
      </c>
      <c r="C249" s="10" t="s">
        <v>686</v>
      </c>
      <c r="D249" s="10" t="s">
        <v>687</v>
      </c>
      <c r="E249" s="10" t="s">
        <v>688</v>
      </c>
      <c r="F249" s="10" t="s">
        <v>689</v>
      </c>
      <c r="G249" s="116">
        <v>1410</v>
      </c>
      <c r="H249" s="163" t="s">
        <v>710</v>
      </c>
      <c r="I249" s="166" t="s">
        <v>711</v>
      </c>
      <c r="J249" s="163" t="s">
        <v>698</v>
      </c>
      <c r="K249" s="10" t="s">
        <v>40</v>
      </c>
      <c r="L249" s="10">
        <v>5</v>
      </c>
      <c r="M249" s="10">
        <f t="shared" si="13"/>
        <v>5</v>
      </c>
      <c r="N249" s="10">
        <v>15</v>
      </c>
      <c r="O249" s="12">
        <v>5</v>
      </c>
      <c r="P249" s="116">
        <v>6570</v>
      </c>
      <c r="Q249" s="10" t="s">
        <v>48</v>
      </c>
      <c r="R249" s="4" t="s">
        <v>1282</v>
      </c>
      <c r="S249" s="4" t="s">
        <v>1279</v>
      </c>
      <c r="T249" s="4" t="s">
        <v>19</v>
      </c>
      <c r="U249" s="4" t="s">
        <v>507</v>
      </c>
      <c r="V249" s="4" t="str">
        <f t="shared" si="11"/>
        <v>OIL AND GASINDUSTRY SOLUTIONAUTHORIZEDADD-ON</v>
      </c>
    </row>
    <row r="250" spans="1:22" ht="15" hidden="1" thickBot="1">
      <c r="A250" s="10" t="s">
        <v>21</v>
      </c>
      <c r="B250" s="10" t="s">
        <v>22</v>
      </c>
      <c r="C250" s="10" t="s">
        <v>686</v>
      </c>
      <c r="D250" s="10" t="s">
        <v>687</v>
      </c>
      <c r="E250" s="10" t="s">
        <v>688</v>
      </c>
      <c r="F250" s="10" t="s">
        <v>689</v>
      </c>
      <c r="G250" s="116">
        <v>6570</v>
      </c>
      <c r="H250" s="163" t="s">
        <v>704</v>
      </c>
      <c r="I250" s="158" t="s">
        <v>707</v>
      </c>
      <c r="J250" s="163" t="s">
        <v>704</v>
      </c>
      <c r="K250" s="10" t="s">
        <v>40</v>
      </c>
      <c r="L250" s="10">
        <v>5</v>
      </c>
      <c r="M250" s="10">
        <f t="shared" si="13"/>
        <v>5</v>
      </c>
      <c r="N250" s="10">
        <v>15</v>
      </c>
      <c r="O250" s="12">
        <v>1</v>
      </c>
      <c r="P250" s="116">
        <v>6570</v>
      </c>
      <c r="Q250" s="10" t="s">
        <v>33</v>
      </c>
      <c r="R250" s="4" t="s">
        <v>1282</v>
      </c>
      <c r="S250" s="4" t="s">
        <v>1279</v>
      </c>
      <c r="T250" s="4" t="s">
        <v>19</v>
      </c>
      <c r="U250" s="4" t="str">
        <f t="shared" ref="U250:U260" si="15">IF(ISNUMBER(SEARCH("ADD-ON",$I250)),"ADD-ON","NOT AN ADD-ON")</f>
        <v>ADD-ON</v>
      </c>
      <c r="V250" s="4" t="str">
        <f t="shared" si="11"/>
        <v>OIL AND GASINDUSTRY SOLUTIONAUTHORIZEDADD-ON</v>
      </c>
    </row>
    <row r="251" spans="1:22" ht="29.25" hidden="1" customHeight="1" thickBot="1">
      <c r="A251" s="10" t="s">
        <v>21</v>
      </c>
      <c r="B251" s="10" t="s">
        <v>22</v>
      </c>
      <c r="C251" s="10" t="s">
        <v>686</v>
      </c>
      <c r="D251" s="10" t="s">
        <v>687</v>
      </c>
      <c r="E251" s="10" t="s">
        <v>688</v>
      </c>
      <c r="F251" s="10" t="s">
        <v>689</v>
      </c>
      <c r="G251" s="116">
        <v>3940</v>
      </c>
      <c r="H251" s="163" t="s">
        <v>708</v>
      </c>
      <c r="I251" s="158" t="s">
        <v>709</v>
      </c>
      <c r="J251" s="163" t="s">
        <v>704</v>
      </c>
      <c r="K251" s="10" t="s">
        <v>40</v>
      </c>
      <c r="L251" s="10">
        <v>5</v>
      </c>
      <c r="M251" s="10">
        <f t="shared" si="13"/>
        <v>5</v>
      </c>
      <c r="N251" s="10">
        <v>15</v>
      </c>
      <c r="O251" s="12">
        <v>1</v>
      </c>
      <c r="P251" s="116">
        <v>6570</v>
      </c>
      <c r="Q251" s="10" t="s">
        <v>36</v>
      </c>
      <c r="R251" s="4" t="s">
        <v>1282</v>
      </c>
      <c r="S251" s="4" t="s">
        <v>1279</v>
      </c>
      <c r="T251" s="4" t="s">
        <v>19</v>
      </c>
      <c r="U251" s="4" t="str">
        <f t="shared" si="15"/>
        <v>ADD-ON</v>
      </c>
      <c r="V251" s="4" t="str">
        <f t="shared" si="11"/>
        <v>OIL AND GASINDUSTRY SOLUTIONAUTHORIZEDADD-ON</v>
      </c>
    </row>
    <row r="252" spans="1:22" ht="29.25" hidden="1" customHeight="1" thickBot="1">
      <c r="A252" s="10" t="s">
        <v>21</v>
      </c>
      <c r="B252" s="10" t="s">
        <v>22</v>
      </c>
      <c r="C252" s="10" t="s">
        <v>686</v>
      </c>
      <c r="D252" s="10" t="s">
        <v>687</v>
      </c>
      <c r="E252" s="10" t="s">
        <v>688</v>
      </c>
      <c r="F252" s="10" t="s">
        <v>689</v>
      </c>
      <c r="G252" s="116">
        <v>1410</v>
      </c>
      <c r="H252" s="163" t="s">
        <v>702</v>
      </c>
      <c r="I252" s="166" t="s">
        <v>703</v>
      </c>
      <c r="J252" s="163" t="s">
        <v>704</v>
      </c>
      <c r="K252" s="10" t="s">
        <v>40</v>
      </c>
      <c r="L252" s="10">
        <v>5</v>
      </c>
      <c r="M252" s="10">
        <f t="shared" si="13"/>
        <v>5</v>
      </c>
      <c r="N252" s="10">
        <v>15</v>
      </c>
      <c r="O252" s="12">
        <v>1</v>
      </c>
      <c r="P252" s="116">
        <v>6570</v>
      </c>
      <c r="Q252" s="10" t="s">
        <v>48</v>
      </c>
      <c r="R252" s="4" t="s">
        <v>1282</v>
      </c>
      <c r="S252" s="4" t="s">
        <v>1279</v>
      </c>
      <c r="T252" s="4" t="s">
        <v>19</v>
      </c>
      <c r="U252" s="4" t="str">
        <f t="shared" si="15"/>
        <v>ADD-ON</v>
      </c>
      <c r="V252" s="4" t="str">
        <f t="shared" si="11"/>
        <v>OIL AND GASINDUSTRY SOLUTIONAUTHORIZEDADD-ON</v>
      </c>
    </row>
    <row r="253" spans="1:22" ht="29.25" hidden="1" customHeight="1" thickBot="1">
      <c r="A253" s="10" t="s">
        <v>21</v>
      </c>
      <c r="B253" s="10" t="s">
        <v>22</v>
      </c>
      <c r="C253" s="10" t="s">
        <v>870</v>
      </c>
      <c r="D253" s="10" t="s">
        <v>871</v>
      </c>
      <c r="E253" s="10" t="s">
        <v>872</v>
      </c>
      <c r="F253" s="10" t="s">
        <v>873</v>
      </c>
      <c r="G253" s="116">
        <v>23400</v>
      </c>
      <c r="H253" s="163" t="s">
        <v>910</v>
      </c>
      <c r="I253" s="158" t="s">
        <v>911</v>
      </c>
      <c r="J253" s="163" t="s">
        <v>910</v>
      </c>
      <c r="K253" s="10" t="s">
        <v>40</v>
      </c>
      <c r="L253" s="10">
        <v>15</v>
      </c>
      <c r="M253" s="10">
        <f t="shared" si="13"/>
        <v>15</v>
      </c>
      <c r="N253" s="10">
        <v>15</v>
      </c>
      <c r="O253" s="12">
        <v>1</v>
      </c>
      <c r="P253" s="116">
        <v>23400</v>
      </c>
      <c r="Q253" s="10" t="s">
        <v>33</v>
      </c>
      <c r="R253" s="4" t="s">
        <v>1284</v>
      </c>
      <c r="S253" s="4" t="s">
        <v>1279</v>
      </c>
      <c r="T253" s="4" t="s">
        <v>19</v>
      </c>
      <c r="U253" s="4" t="str">
        <f t="shared" si="15"/>
        <v>NOT AN ADD-ON</v>
      </c>
      <c r="V253" s="4" t="str">
        <f t="shared" si="11"/>
        <v>UTILITIESINDUSTRY SOLUTIONAUTHORIZEDNOT AN ADD-ON</v>
      </c>
    </row>
    <row r="254" spans="1:22" ht="29.25" hidden="1" customHeight="1" thickBot="1">
      <c r="A254" s="10" t="s">
        <v>21</v>
      </c>
      <c r="B254" s="10" t="s">
        <v>22</v>
      </c>
      <c r="C254" s="10" t="s">
        <v>870</v>
      </c>
      <c r="D254" s="10" t="s">
        <v>871</v>
      </c>
      <c r="E254" s="10" t="s">
        <v>872</v>
      </c>
      <c r="F254" s="10" t="s">
        <v>873</v>
      </c>
      <c r="G254" s="116">
        <v>14000</v>
      </c>
      <c r="H254" s="163" t="s">
        <v>912</v>
      </c>
      <c r="I254" s="158" t="s">
        <v>913</v>
      </c>
      <c r="J254" s="163" t="s">
        <v>910</v>
      </c>
      <c r="K254" s="10" t="s">
        <v>40</v>
      </c>
      <c r="L254" s="10">
        <v>15</v>
      </c>
      <c r="M254" s="10">
        <f t="shared" si="13"/>
        <v>15</v>
      </c>
      <c r="N254" s="10">
        <v>15</v>
      </c>
      <c r="O254" s="12">
        <v>1</v>
      </c>
      <c r="P254" s="116">
        <v>23400</v>
      </c>
      <c r="Q254" s="10" t="s">
        <v>36</v>
      </c>
      <c r="R254" s="4" t="s">
        <v>1284</v>
      </c>
      <c r="S254" s="4" t="s">
        <v>1279</v>
      </c>
      <c r="T254" s="4" t="s">
        <v>19</v>
      </c>
      <c r="U254" s="4" t="str">
        <f t="shared" si="15"/>
        <v>NOT AN ADD-ON</v>
      </c>
      <c r="V254" s="4" t="str">
        <f t="shared" si="11"/>
        <v>UTILITIESINDUSTRY SOLUTIONAUTHORIZEDNOT AN ADD-ON</v>
      </c>
    </row>
    <row r="255" spans="1:22" ht="27" hidden="1" thickBot="1">
      <c r="A255" s="10" t="s">
        <v>21</v>
      </c>
      <c r="B255" s="10" t="s">
        <v>22</v>
      </c>
      <c r="C255" s="10" t="s">
        <v>870</v>
      </c>
      <c r="D255" s="10" t="s">
        <v>871</v>
      </c>
      <c r="E255" s="10" t="s">
        <v>872</v>
      </c>
      <c r="F255" s="10" t="s">
        <v>873</v>
      </c>
      <c r="G255" s="116">
        <v>8260</v>
      </c>
      <c r="H255" s="163" t="s">
        <v>922</v>
      </c>
      <c r="I255" s="166" t="s">
        <v>923</v>
      </c>
      <c r="J255" s="163" t="s">
        <v>910</v>
      </c>
      <c r="K255" s="10" t="s">
        <v>40</v>
      </c>
      <c r="L255" s="10">
        <v>15</v>
      </c>
      <c r="M255" s="10">
        <f t="shared" si="13"/>
        <v>15</v>
      </c>
      <c r="N255" s="10">
        <v>15</v>
      </c>
      <c r="O255" s="12">
        <v>1</v>
      </c>
      <c r="P255" s="116">
        <v>23400</v>
      </c>
      <c r="Q255" s="10" t="s">
        <v>48</v>
      </c>
      <c r="R255" s="4" t="s">
        <v>1284</v>
      </c>
      <c r="S255" s="4" t="s">
        <v>1279</v>
      </c>
      <c r="T255" s="4" t="s">
        <v>19</v>
      </c>
      <c r="U255" s="4" t="str">
        <f t="shared" si="15"/>
        <v>NOT AN ADD-ON</v>
      </c>
      <c r="V255" s="4" t="str">
        <f t="shared" si="11"/>
        <v>UTILITIESINDUSTRY SOLUTIONAUTHORIZEDNOT AN ADD-ON</v>
      </c>
    </row>
    <row r="256" spans="1:22" ht="15" hidden="1" thickBot="1">
      <c r="A256" s="10" t="s">
        <v>21</v>
      </c>
      <c r="B256" s="10" t="s">
        <v>22</v>
      </c>
      <c r="C256" s="10" t="s">
        <v>870</v>
      </c>
      <c r="D256" s="10" t="s">
        <v>871</v>
      </c>
      <c r="E256" s="10" t="s">
        <v>872</v>
      </c>
      <c r="F256" s="10" t="s">
        <v>873</v>
      </c>
      <c r="G256" s="116">
        <v>5030</v>
      </c>
      <c r="H256" s="163" t="s">
        <v>920</v>
      </c>
      <c r="I256" s="158" t="s">
        <v>921</v>
      </c>
      <c r="J256" s="163" t="s">
        <v>910</v>
      </c>
      <c r="K256" s="10" t="s">
        <v>40</v>
      </c>
      <c r="L256" s="10">
        <v>15</v>
      </c>
      <c r="M256" s="10">
        <f t="shared" si="13"/>
        <v>15</v>
      </c>
      <c r="N256" s="10">
        <v>15</v>
      </c>
      <c r="O256" s="12">
        <v>1</v>
      </c>
      <c r="P256" s="116">
        <v>23400</v>
      </c>
      <c r="Q256" s="10" t="s">
        <v>48</v>
      </c>
      <c r="R256" s="4" t="s">
        <v>1284</v>
      </c>
      <c r="S256" s="4" t="s">
        <v>1279</v>
      </c>
      <c r="T256" s="4" t="s">
        <v>19</v>
      </c>
      <c r="U256" s="4" t="str">
        <f t="shared" si="15"/>
        <v>NOT AN ADD-ON</v>
      </c>
      <c r="V256" s="4" t="str">
        <f t="shared" si="11"/>
        <v>UTILITIESINDUSTRY SOLUTIONAUTHORIZEDNOT AN ADD-ON</v>
      </c>
    </row>
    <row r="257" spans="1:22" ht="15" hidden="1" thickBot="1">
      <c r="A257" s="10" t="s">
        <v>21</v>
      </c>
      <c r="B257" s="10" t="s">
        <v>22</v>
      </c>
      <c r="C257" s="10" t="s">
        <v>870</v>
      </c>
      <c r="D257" s="10" t="s">
        <v>871</v>
      </c>
      <c r="E257" s="10" t="s">
        <v>872</v>
      </c>
      <c r="F257" s="10" t="s">
        <v>873</v>
      </c>
      <c r="G257" s="116">
        <v>23400</v>
      </c>
      <c r="H257" s="163" t="s">
        <v>916</v>
      </c>
      <c r="I257" s="158" t="s">
        <v>917</v>
      </c>
      <c r="J257" s="163" t="s">
        <v>916</v>
      </c>
      <c r="K257" s="10" t="s">
        <v>40</v>
      </c>
      <c r="L257" s="10">
        <v>15</v>
      </c>
      <c r="M257" s="10">
        <f t="shared" si="13"/>
        <v>15</v>
      </c>
      <c r="N257" s="10">
        <v>15</v>
      </c>
      <c r="O257" s="12">
        <v>1</v>
      </c>
      <c r="P257" s="116">
        <v>23400</v>
      </c>
      <c r="Q257" s="10" t="s">
        <v>33</v>
      </c>
      <c r="R257" s="4" t="s">
        <v>1284</v>
      </c>
      <c r="S257" s="4" t="s">
        <v>1279</v>
      </c>
      <c r="T257" s="4" t="s">
        <v>19</v>
      </c>
      <c r="U257" s="4" t="str">
        <f t="shared" si="15"/>
        <v>NOT AN ADD-ON</v>
      </c>
      <c r="V257" s="4" t="str">
        <f t="shared" si="11"/>
        <v>UTILITIESINDUSTRY SOLUTIONAUTHORIZEDNOT AN ADD-ON</v>
      </c>
    </row>
    <row r="258" spans="1:22" ht="29.25" hidden="1" customHeight="1" thickBot="1">
      <c r="A258" s="10" t="s">
        <v>21</v>
      </c>
      <c r="B258" s="10" t="s">
        <v>22</v>
      </c>
      <c r="C258" s="10" t="s">
        <v>870</v>
      </c>
      <c r="D258" s="10" t="s">
        <v>871</v>
      </c>
      <c r="E258" s="10" t="s">
        <v>872</v>
      </c>
      <c r="F258" s="10" t="s">
        <v>873</v>
      </c>
      <c r="G258" s="116">
        <v>14000</v>
      </c>
      <c r="H258" s="163" t="s">
        <v>918</v>
      </c>
      <c r="I258" s="158" t="s">
        <v>919</v>
      </c>
      <c r="J258" s="163" t="s">
        <v>916</v>
      </c>
      <c r="K258" s="10" t="s">
        <v>40</v>
      </c>
      <c r="L258" s="10">
        <v>15</v>
      </c>
      <c r="M258" s="10">
        <f t="shared" si="13"/>
        <v>15</v>
      </c>
      <c r="N258" s="10">
        <v>15</v>
      </c>
      <c r="O258" s="12">
        <v>1</v>
      </c>
      <c r="P258" s="116">
        <v>23400</v>
      </c>
      <c r="Q258" s="10" t="s">
        <v>36</v>
      </c>
      <c r="R258" s="4" t="s">
        <v>1284</v>
      </c>
      <c r="S258" s="4" t="s">
        <v>1279</v>
      </c>
      <c r="T258" s="4" t="s">
        <v>19</v>
      </c>
      <c r="U258" s="4" t="str">
        <f t="shared" si="15"/>
        <v>NOT AN ADD-ON</v>
      </c>
      <c r="V258" s="4" t="str">
        <f t="shared" si="11"/>
        <v>UTILITIESINDUSTRY SOLUTIONAUTHORIZEDNOT AN ADD-ON</v>
      </c>
    </row>
    <row r="259" spans="1:22" ht="27" hidden="1" thickBot="1">
      <c r="A259" s="10" t="s">
        <v>21</v>
      </c>
      <c r="B259" s="10" t="s">
        <v>22</v>
      </c>
      <c r="C259" s="10" t="s">
        <v>870</v>
      </c>
      <c r="D259" s="10" t="s">
        <v>871</v>
      </c>
      <c r="E259" s="10" t="s">
        <v>872</v>
      </c>
      <c r="F259" s="10" t="s">
        <v>873</v>
      </c>
      <c r="G259" s="116">
        <v>8260</v>
      </c>
      <c r="H259" s="163" t="s">
        <v>960</v>
      </c>
      <c r="I259" s="166" t="s">
        <v>961</v>
      </c>
      <c r="J259" s="163" t="s">
        <v>916</v>
      </c>
      <c r="K259" s="10" t="s">
        <v>40</v>
      </c>
      <c r="L259" s="10">
        <v>15</v>
      </c>
      <c r="M259" s="10">
        <f t="shared" si="13"/>
        <v>15</v>
      </c>
      <c r="N259" s="10">
        <v>15</v>
      </c>
      <c r="O259" s="12">
        <v>1</v>
      </c>
      <c r="P259" s="116">
        <v>23400</v>
      </c>
      <c r="Q259" s="10" t="s">
        <v>48</v>
      </c>
      <c r="R259" s="4" t="s">
        <v>1284</v>
      </c>
      <c r="S259" s="4" t="s">
        <v>1279</v>
      </c>
      <c r="T259" s="4" t="s">
        <v>19</v>
      </c>
      <c r="U259" s="4" t="str">
        <f t="shared" si="15"/>
        <v>NOT AN ADD-ON</v>
      </c>
      <c r="V259" s="4" t="str">
        <f t="shared" ref="V259:V322" si="16">CONCATENATE(R259,S259,T259,U259)</f>
        <v>UTILITIESINDUSTRY SOLUTIONAUTHORIZEDNOT AN ADD-ON</v>
      </c>
    </row>
    <row r="260" spans="1:22" ht="29.25" hidden="1" customHeight="1" thickBot="1">
      <c r="A260" s="10" t="s">
        <v>21</v>
      </c>
      <c r="B260" s="10" t="s">
        <v>22</v>
      </c>
      <c r="C260" s="10" t="s">
        <v>870</v>
      </c>
      <c r="D260" s="10" t="s">
        <v>871</v>
      </c>
      <c r="E260" s="10" t="s">
        <v>872</v>
      </c>
      <c r="F260" s="10" t="s">
        <v>873</v>
      </c>
      <c r="G260" s="116">
        <v>5030</v>
      </c>
      <c r="H260" s="163" t="s">
        <v>958</v>
      </c>
      <c r="I260" s="166" t="s">
        <v>959</v>
      </c>
      <c r="J260" s="163" t="s">
        <v>916</v>
      </c>
      <c r="K260" s="10" t="s">
        <v>40</v>
      </c>
      <c r="L260" s="10">
        <v>15</v>
      </c>
      <c r="M260" s="10">
        <f t="shared" si="13"/>
        <v>15</v>
      </c>
      <c r="N260" s="10">
        <v>15</v>
      </c>
      <c r="O260" s="12">
        <v>1</v>
      </c>
      <c r="P260" s="116">
        <v>23400</v>
      </c>
      <c r="Q260" s="10" t="s">
        <v>48</v>
      </c>
      <c r="R260" s="4" t="s">
        <v>1284</v>
      </c>
      <c r="S260" s="4" t="s">
        <v>1279</v>
      </c>
      <c r="T260" s="4" t="s">
        <v>19</v>
      </c>
      <c r="U260" s="4" t="str">
        <f t="shared" si="15"/>
        <v>NOT AN ADD-ON</v>
      </c>
      <c r="V260" s="4" t="str">
        <f t="shared" si="16"/>
        <v>UTILITIESINDUSTRY SOLUTIONAUTHORIZEDNOT AN ADD-ON</v>
      </c>
    </row>
    <row r="261" spans="1:22" ht="15" hidden="1" thickBot="1">
      <c r="A261" s="10" t="s">
        <v>21</v>
      </c>
      <c r="B261" s="10" t="s">
        <v>22</v>
      </c>
      <c r="C261" s="10" t="s">
        <v>870</v>
      </c>
      <c r="D261" s="10" t="s">
        <v>871</v>
      </c>
      <c r="E261" s="10" t="s">
        <v>872</v>
      </c>
      <c r="F261" s="10" t="s">
        <v>873</v>
      </c>
      <c r="G261" s="116">
        <v>6570</v>
      </c>
      <c r="H261" s="163" t="s">
        <v>882</v>
      </c>
      <c r="I261" s="158" t="s">
        <v>883</v>
      </c>
      <c r="J261" s="163" t="s">
        <v>882</v>
      </c>
      <c r="K261" s="10" t="s">
        <v>40</v>
      </c>
      <c r="L261" s="10">
        <v>5</v>
      </c>
      <c r="M261" s="10">
        <f t="shared" si="13"/>
        <v>5</v>
      </c>
      <c r="N261" s="10">
        <v>15</v>
      </c>
      <c r="O261" s="12">
        <v>1</v>
      </c>
      <c r="P261" s="116">
        <v>6570</v>
      </c>
      <c r="Q261" s="10" t="s">
        <v>33</v>
      </c>
      <c r="R261" s="4" t="s">
        <v>1284</v>
      </c>
      <c r="S261" s="4" t="s">
        <v>1279</v>
      </c>
      <c r="T261" s="4" t="s">
        <v>19</v>
      </c>
      <c r="U261" s="4" t="s">
        <v>507</v>
      </c>
      <c r="V261" s="4" t="str">
        <f t="shared" si="16"/>
        <v>UTILITIESINDUSTRY SOLUTIONAUTHORIZEDADD-ON</v>
      </c>
    </row>
    <row r="262" spans="1:22" ht="15" hidden="1" thickBot="1">
      <c r="A262" s="10" t="s">
        <v>21</v>
      </c>
      <c r="B262" s="10" t="s">
        <v>22</v>
      </c>
      <c r="C262" s="10" t="s">
        <v>870</v>
      </c>
      <c r="D262" s="10" t="s">
        <v>871</v>
      </c>
      <c r="E262" s="10" t="s">
        <v>872</v>
      </c>
      <c r="F262" s="10" t="s">
        <v>873</v>
      </c>
      <c r="G262" s="116">
        <v>3940</v>
      </c>
      <c r="H262" s="163" t="s">
        <v>884</v>
      </c>
      <c r="I262" s="158" t="s">
        <v>885</v>
      </c>
      <c r="J262" s="163" t="s">
        <v>882</v>
      </c>
      <c r="K262" s="10" t="s">
        <v>40</v>
      </c>
      <c r="L262" s="10">
        <v>5</v>
      </c>
      <c r="M262" s="10">
        <f t="shared" si="13"/>
        <v>5</v>
      </c>
      <c r="N262" s="10">
        <v>15</v>
      </c>
      <c r="O262" s="12">
        <v>1</v>
      </c>
      <c r="P262" s="116">
        <v>6570</v>
      </c>
      <c r="Q262" s="10" t="s">
        <v>36</v>
      </c>
      <c r="R262" s="4" t="s">
        <v>1284</v>
      </c>
      <c r="S262" s="4" t="s">
        <v>1279</v>
      </c>
      <c r="T262" s="4" t="s">
        <v>19</v>
      </c>
      <c r="U262" s="4" t="s">
        <v>507</v>
      </c>
      <c r="V262" s="4" t="str">
        <f t="shared" si="16"/>
        <v>UTILITIESINDUSTRY SOLUTIONAUTHORIZEDADD-ON</v>
      </c>
    </row>
    <row r="263" spans="1:22" ht="27" hidden="1" thickBot="1">
      <c r="A263" s="10" t="s">
        <v>21</v>
      </c>
      <c r="B263" s="10" t="s">
        <v>22</v>
      </c>
      <c r="C263" s="10" t="s">
        <v>870</v>
      </c>
      <c r="D263" s="10" t="s">
        <v>871</v>
      </c>
      <c r="E263" s="10" t="s">
        <v>872</v>
      </c>
      <c r="F263" s="10" t="s">
        <v>873</v>
      </c>
      <c r="G263" s="116">
        <v>1410</v>
      </c>
      <c r="H263" s="163" t="s">
        <v>889</v>
      </c>
      <c r="I263" s="166" t="s">
        <v>890</v>
      </c>
      <c r="J263" s="163" t="s">
        <v>882</v>
      </c>
      <c r="K263" s="10" t="s">
        <v>40</v>
      </c>
      <c r="L263" s="10">
        <v>5</v>
      </c>
      <c r="M263" s="10">
        <f t="shared" si="13"/>
        <v>5</v>
      </c>
      <c r="N263" s="10">
        <v>15</v>
      </c>
      <c r="O263" s="12">
        <v>1</v>
      </c>
      <c r="P263" s="116">
        <v>6570</v>
      </c>
      <c r="Q263" s="10" t="s">
        <v>48</v>
      </c>
      <c r="R263" s="4" t="s">
        <v>1284</v>
      </c>
      <c r="S263" s="4" t="s">
        <v>1279</v>
      </c>
      <c r="T263" s="4" t="s">
        <v>19</v>
      </c>
      <c r="U263" s="4" t="s">
        <v>507</v>
      </c>
      <c r="V263" s="4" t="str">
        <f t="shared" si="16"/>
        <v>UTILITIESINDUSTRY SOLUTIONAUTHORIZEDADD-ON</v>
      </c>
    </row>
    <row r="264" spans="1:22" ht="15" hidden="1" thickBot="1">
      <c r="A264" s="10" t="s">
        <v>21</v>
      </c>
      <c r="B264" s="10" t="s">
        <v>22</v>
      </c>
      <c r="C264" s="10" t="s">
        <v>870</v>
      </c>
      <c r="D264" s="10" t="s">
        <v>871</v>
      </c>
      <c r="E264" s="10" t="s">
        <v>872</v>
      </c>
      <c r="F264" s="10" t="s">
        <v>873</v>
      </c>
      <c r="G264" s="116">
        <v>6570</v>
      </c>
      <c r="H264" s="163" t="s">
        <v>888</v>
      </c>
      <c r="I264" s="158" t="s">
        <v>893</v>
      </c>
      <c r="J264" s="163" t="s">
        <v>888</v>
      </c>
      <c r="K264" s="10" t="s">
        <v>40</v>
      </c>
      <c r="L264" s="10">
        <v>5</v>
      </c>
      <c r="M264" s="10">
        <f t="shared" si="13"/>
        <v>5</v>
      </c>
      <c r="N264" s="10">
        <v>15</v>
      </c>
      <c r="O264" s="12">
        <v>1</v>
      </c>
      <c r="P264" s="116">
        <v>6570</v>
      </c>
      <c r="Q264" s="10" t="s">
        <v>33</v>
      </c>
      <c r="R264" s="4" t="s">
        <v>1284</v>
      </c>
      <c r="S264" s="4" t="s">
        <v>1279</v>
      </c>
      <c r="T264" s="4" t="s">
        <v>19</v>
      </c>
      <c r="U264" s="4" t="str">
        <f>IF(ISNUMBER(SEARCH("ADD-ON",$I264)),"ADD-ON","NOT AN ADD-ON")</f>
        <v>ADD-ON</v>
      </c>
      <c r="V264" s="4" t="str">
        <f t="shared" si="16"/>
        <v>UTILITIESINDUSTRY SOLUTIONAUTHORIZEDADD-ON</v>
      </c>
    </row>
    <row r="265" spans="1:22" ht="29.25" hidden="1" customHeight="1" thickBot="1">
      <c r="A265" s="10" t="s">
        <v>21</v>
      </c>
      <c r="B265" s="10" t="s">
        <v>22</v>
      </c>
      <c r="C265" s="10" t="s">
        <v>870</v>
      </c>
      <c r="D265" s="10" t="s">
        <v>871</v>
      </c>
      <c r="E265" s="10" t="s">
        <v>872</v>
      </c>
      <c r="F265" s="10" t="s">
        <v>873</v>
      </c>
      <c r="G265" s="116">
        <v>3940</v>
      </c>
      <c r="H265" s="163" t="s">
        <v>894</v>
      </c>
      <c r="I265" s="158" t="s">
        <v>895</v>
      </c>
      <c r="J265" s="163" t="s">
        <v>888</v>
      </c>
      <c r="K265" s="10" t="s">
        <v>40</v>
      </c>
      <c r="L265" s="10">
        <v>5</v>
      </c>
      <c r="M265" s="10">
        <f t="shared" si="13"/>
        <v>5</v>
      </c>
      <c r="N265" s="10">
        <v>15</v>
      </c>
      <c r="O265" s="12">
        <v>1</v>
      </c>
      <c r="P265" s="116">
        <v>6570</v>
      </c>
      <c r="Q265" s="10" t="s">
        <v>36</v>
      </c>
      <c r="R265" s="4" t="s">
        <v>1284</v>
      </c>
      <c r="S265" s="4" t="s">
        <v>1279</v>
      </c>
      <c r="T265" s="4" t="s">
        <v>19</v>
      </c>
      <c r="U265" s="4" t="str">
        <f>IF(ISNUMBER(SEARCH("ADD-ON",$I265)),"ADD-ON","NOT AN ADD-ON")</f>
        <v>ADD-ON</v>
      </c>
      <c r="V265" s="4" t="str">
        <f t="shared" si="16"/>
        <v>UTILITIESINDUSTRY SOLUTIONAUTHORIZEDADD-ON</v>
      </c>
    </row>
    <row r="266" spans="1:22" ht="27" hidden="1" thickBot="1">
      <c r="A266" s="10" t="s">
        <v>21</v>
      </c>
      <c r="B266" s="10" t="s">
        <v>22</v>
      </c>
      <c r="C266" s="10" t="s">
        <v>870</v>
      </c>
      <c r="D266" s="10" t="s">
        <v>871</v>
      </c>
      <c r="E266" s="10" t="s">
        <v>872</v>
      </c>
      <c r="F266" s="10" t="s">
        <v>873</v>
      </c>
      <c r="G266" s="116">
        <v>1410</v>
      </c>
      <c r="H266" s="163" t="s">
        <v>886</v>
      </c>
      <c r="I266" s="166" t="s">
        <v>887</v>
      </c>
      <c r="J266" s="163" t="s">
        <v>888</v>
      </c>
      <c r="K266" s="10" t="s">
        <v>40</v>
      </c>
      <c r="L266" s="10">
        <v>5</v>
      </c>
      <c r="M266" s="10">
        <f t="shared" si="13"/>
        <v>5</v>
      </c>
      <c r="N266" s="10">
        <v>15</v>
      </c>
      <c r="O266" s="12">
        <v>1</v>
      </c>
      <c r="P266" s="116">
        <v>6570</v>
      </c>
      <c r="Q266" s="10" t="s">
        <v>48</v>
      </c>
      <c r="R266" s="4" t="s">
        <v>1284</v>
      </c>
      <c r="S266" s="4" t="s">
        <v>1279</v>
      </c>
      <c r="T266" s="4" t="s">
        <v>19</v>
      </c>
      <c r="U266" s="4" t="s">
        <v>507</v>
      </c>
      <c r="V266" s="4" t="str">
        <f t="shared" si="16"/>
        <v>UTILITIESINDUSTRY SOLUTIONAUTHORIZEDADD-ON</v>
      </c>
    </row>
    <row r="267" spans="1:22" ht="15" hidden="1" thickBot="1">
      <c r="A267" s="10" t="s">
        <v>21</v>
      </c>
      <c r="B267" s="10" t="s">
        <v>22</v>
      </c>
      <c r="C267" s="10" t="s">
        <v>94</v>
      </c>
      <c r="D267" s="10" t="s">
        <v>95</v>
      </c>
      <c r="E267" s="10" t="s">
        <v>96</v>
      </c>
      <c r="F267" s="10" t="s">
        <v>97</v>
      </c>
      <c r="G267" s="116">
        <v>17500</v>
      </c>
      <c r="H267" s="163" t="s">
        <v>114</v>
      </c>
      <c r="I267" s="158" t="s">
        <v>115</v>
      </c>
      <c r="J267" s="163" t="s">
        <v>114</v>
      </c>
      <c r="K267" s="10" t="s">
        <v>40</v>
      </c>
      <c r="L267" s="10">
        <v>5</v>
      </c>
      <c r="M267" s="10">
        <v>5</v>
      </c>
      <c r="N267" s="10">
        <v>5</v>
      </c>
      <c r="O267" s="17">
        <v>1</v>
      </c>
      <c r="P267" s="116">
        <v>17500</v>
      </c>
      <c r="Q267" s="10" t="s">
        <v>33</v>
      </c>
      <c r="R267" s="4" t="s">
        <v>1294</v>
      </c>
      <c r="S267" s="4" t="s">
        <v>1379</v>
      </c>
      <c r="T267" s="4" t="s">
        <v>19</v>
      </c>
      <c r="U267" s="4" t="str">
        <f t="shared" ref="U267:U310" si="17">IF(ISNUMBER(SEARCH("ADD-ON",$I267)),"ADD-ON","NOT AN ADD-ON")</f>
        <v>NOT AN ADD-ON</v>
      </c>
      <c r="V267" s="4" t="str">
        <f t="shared" si="16"/>
        <v>ASSET CONFIGURATION MANAGERACMAUTHORIZEDNOT AN ADD-ON</v>
      </c>
    </row>
    <row r="268" spans="1:22" ht="29.25" hidden="1" customHeight="1" thickBot="1">
      <c r="A268" s="10" t="s">
        <v>21</v>
      </c>
      <c r="B268" s="10" t="s">
        <v>22</v>
      </c>
      <c r="C268" s="10" t="s">
        <v>94</v>
      </c>
      <c r="D268" s="10" t="s">
        <v>95</v>
      </c>
      <c r="E268" s="10" t="s">
        <v>96</v>
      </c>
      <c r="F268" s="10" t="s">
        <v>97</v>
      </c>
      <c r="G268" s="116">
        <v>10500</v>
      </c>
      <c r="H268" s="163" t="s">
        <v>116</v>
      </c>
      <c r="I268" s="158" t="s">
        <v>117</v>
      </c>
      <c r="J268" s="163" t="s">
        <v>114</v>
      </c>
      <c r="K268" s="10" t="s">
        <v>40</v>
      </c>
      <c r="L268" s="10">
        <v>5</v>
      </c>
      <c r="M268" s="10">
        <v>5</v>
      </c>
      <c r="N268" s="10">
        <v>5</v>
      </c>
      <c r="O268" s="17">
        <v>1</v>
      </c>
      <c r="P268" s="116">
        <v>17500</v>
      </c>
      <c r="Q268" s="10" t="s">
        <v>36</v>
      </c>
      <c r="R268" s="4" t="s">
        <v>1294</v>
      </c>
      <c r="S268" s="4" t="s">
        <v>1379</v>
      </c>
      <c r="T268" s="4" t="s">
        <v>19</v>
      </c>
      <c r="U268" s="4" t="str">
        <f t="shared" si="17"/>
        <v>NOT AN ADD-ON</v>
      </c>
      <c r="V268" s="4" t="str">
        <f t="shared" si="16"/>
        <v>ASSET CONFIGURATION MANAGERACMAUTHORIZEDNOT AN ADD-ON</v>
      </c>
    </row>
    <row r="269" spans="1:22" ht="27" hidden="1" thickBot="1">
      <c r="A269" s="10" t="s">
        <v>21</v>
      </c>
      <c r="B269" s="10" t="s">
        <v>22</v>
      </c>
      <c r="C269" s="10" t="s">
        <v>94</v>
      </c>
      <c r="D269" s="10" t="s">
        <v>95</v>
      </c>
      <c r="E269" s="10" t="s">
        <v>96</v>
      </c>
      <c r="F269" s="10" t="s">
        <v>97</v>
      </c>
      <c r="G269" s="116">
        <v>3760</v>
      </c>
      <c r="H269" s="163" t="s">
        <v>126</v>
      </c>
      <c r="I269" s="166" t="s">
        <v>127</v>
      </c>
      <c r="J269" s="163" t="s">
        <v>114</v>
      </c>
      <c r="K269" s="10" t="s">
        <v>40</v>
      </c>
      <c r="L269" s="10">
        <v>5</v>
      </c>
      <c r="M269" s="10">
        <v>5</v>
      </c>
      <c r="N269" s="10">
        <v>5</v>
      </c>
      <c r="O269" s="17">
        <v>1</v>
      </c>
      <c r="P269" s="116">
        <v>17500</v>
      </c>
      <c r="Q269" s="10" t="s">
        <v>48</v>
      </c>
      <c r="R269" s="4" t="s">
        <v>1294</v>
      </c>
      <c r="S269" s="4" t="s">
        <v>1379</v>
      </c>
      <c r="T269" s="4" t="s">
        <v>19</v>
      </c>
      <c r="U269" s="4" t="str">
        <f t="shared" si="17"/>
        <v>NOT AN ADD-ON</v>
      </c>
      <c r="V269" s="4" t="str">
        <f t="shared" si="16"/>
        <v>ASSET CONFIGURATION MANAGERACMAUTHORIZEDNOT AN ADD-ON</v>
      </c>
    </row>
    <row r="270" spans="1:22" ht="15" hidden="1" thickBot="1">
      <c r="A270" s="10" t="s">
        <v>21</v>
      </c>
      <c r="B270" s="10" t="s">
        <v>22</v>
      </c>
      <c r="C270" s="10" t="s">
        <v>94</v>
      </c>
      <c r="D270" s="10" t="s">
        <v>95</v>
      </c>
      <c r="E270" s="10" t="s">
        <v>96</v>
      </c>
      <c r="F270" s="10" t="s">
        <v>97</v>
      </c>
      <c r="G270" s="116">
        <v>17500</v>
      </c>
      <c r="H270" s="163" t="s">
        <v>120</v>
      </c>
      <c r="I270" s="158" t="s">
        <v>123</v>
      </c>
      <c r="J270" s="163" t="s">
        <v>120</v>
      </c>
      <c r="K270" s="10" t="s">
        <v>40</v>
      </c>
      <c r="L270" s="10">
        <v>5</v>
      </c>
      <c r="M270" s="10">
        <v>5</v>
      </c>
      <c r="N270" s="10">
        <v>5</v>
      </c>
      <c r="O270" s="12">
        <v>1</v>
      </c>
      <c r="P270" s="116">
        <v>17500</v>
      </c>
      <c r="Q270" s="10" t="s">
        <v>33</v>
      </c>
      <c r="R270" s="4" t="s">
        <v>1294</v>
      </c>
      <c r="S270" s="4" t="s">
        <v>1379</v>
      </c>
      <c r="T270" s="4" t="s">
        <v>19</v>
      </c>
      <c r="U270" s="4" t="str">
        <f t="shared" si="17"/>
        <v>NOT AN ADD-ON</v>
      </c>
      <c r="V270" s="4" t="str">
        <f t="shared" si="16"/>
        <v>ASSET CONFIGURATION MANAGERACMAUTHORIZEDNOT AN ADD-ON</v>
      </c>
    </row>
    <row r="271" spans="1:22" ht="29.25" hidden="1" customHeight="1" thickBot="1">
      <c r="A271" s="10" t="s">
        <v>21</v>
      </c>
      <c r="B271" s="10" t="s">
        <v>22</v>
      </c>
      <c r="C271" s="10" t="s">
        <v>94</v>
      </c>
      <c r="D271" s="10" t="s">
        <v>95</v>
      </c>
      <c r="E271" s="10" t="s">
        <v>96</v>
      </c>
      <c r="F271" s="10" t="s">
        <v>97</v>
      </c>
      <c r="G271" s="116">
        <v>10500</v>
      </c>
      <c r="H271" s="163" t="s">
        <v>124</v>
      </c>
      <c r="I271" s="158" t="s">
        <v>125</v>
      </c>
      <c r="J271" s="163" t="s">
        <v>120</v>
      </c>
      <c r="K271" s="10" t="s">
        <v>40</v>
      </c>
      <c r="L271" s="10">
        <v>5</v>
      </c>
      <c r="M271" s="10">
        <v>5</v>
      </c>
      <c r="N271" s="10">
        <v>5</v>
      </c>
      <c r="O271" s="12">
        <v>1</v>
      </c>
      <c r="P271" s="116">
        <v>17500</v>
      </c>
      <c r="Q271" s="10" t="s">
        <v>36</v>
      </c>
      <c r="R271" s="4" t="s">
        <v>1294</v>
      </c>
      <c r="S271" s="4" t="s">
        <v>1379</v>
      </c>
      <c r="T271" s="4" t="s">
        <v>19</v>
      </c>
      <c r="U271" s="4" t="str">
        <f t="shared" si="17"/>
        <v>NOT AN ADD-ON</v>
      </c>
      <c r="V271" s="4" t="str">
        <f t="shared" si="16"/>
        <v>ASSET CONFIGURATION MANAGERACMAUTHORIZEDNOT AN ADD-ON</v>
      </c>
    </row>
    <row r="272" spans="1:22" ht="27" hidden="1" thickBot="1">
      <c r="A272" s="10" t="s">
        <v>21</v>
      </c>
      <c r="B272" s="10" t="s">
        <v>22</v>
      </c>
      <c r="C272" s="10" t="s">
        <v>94</v>
      </c>
      <c r="D272" s="10" t="s">
        <v>95</v>
      </c>
      <c r="E272" s="10" t="s">
        <v>96</v>
      </c>
      <c r="F272" s="10" t="s">
        <v>97</v>
      </c>
      <c r="G272" s="116">
        <v>3760</v>
      </c>
      <c r="H272" s="163" t="s">
        <v>118</v>
      </c>
      <c r="I272" s="166" t="s">
        <v>119</v>
      </c>
      <c r="J272" s="163" t="s">
        <v>120</v>
      </c>
      <c r="K272" s="10" t="s">
        <v>40</v>
      </c>
      <c r="L272" s="10">
        <v>5</v>
      </c>
      <c r="M272" s="10">
        <v>5</v>
      </c>
      <c r="N272" s="10">
        <v>5</v>
      </c>
      <c r="O272" s="12">
        <v>1</v>
      </c>
      <c r="P272" s="116">
        <v>17500</v>
      </c>
      <c r="Q272" s="10" t="s">
        <v>48</v>
      </c>
      <c r="R272" s="4" t="s">
        <v>1294</v>
      </c>
      <c r="S272" s="4" t="s">
        <v>1379</v>
      </c>
      <c r="T272" s="4" t="s">
        <v>19</v>
      </c>
      <c r="U272" s="4" t="str">
        <f t="shared" si="17"/>
        <v>NOT AN ADD-ON</v>
      </c>
      <c r="V272" s="4" t="str">
        <f t="shared" si="16"/>
        <v>ASSET CONFIGURATION MANAGERACMAUTHORIZEDNOT AN ADD-ON</v>
      </c>
    </row>
    <row r="273" spans="1:22" ht="29.25" hidden="1" customHeight="1" thickBot="1">
      <c r="A273" s="10" t="s">
        <v>21</v>
      </c>
      <c r="B273" s="10" t="s">
        <v>22</v>
      </c>
      <c r="C273" s="10" t="s">
        <v>23</v>
      </c>
      <c r="D273" s="10" t="s">
        <v>24</v>
      </c>
      <c r="E273" s="10" t="s">
        <v>25</v>
      </c>
      <c r="F273" s="10" t="s">
        <v>26</v>
      </c>
      <c r="G273" s="116">
        <v>7030</v>
      </c>
      <c r="H273" s="163" t="s">
        <v>64</v>
      </c>
      <c r="I273" s="158" t="s">
        <v>65</v>
      </c>
      <c r="J273" s="163" t="s">
        <v>64</v>
      </c>
      <c r="K273" s="10" t="s">
        <v>40</v>
      </c>
      <c r="L273" s="10">
        <v>5</v>
      </c>
      <c r="M273" s="10">
        <f t="shared" ref="M273:M336" si="18">ROUND(IF(K273="Authorized User",L273/3,L273),2)</f>
        <v>5</v>
      </c>
      <c r="N273" s="10">
        <v>5</v>
      </c>
      <c r="O273" s="17">
        <v>1</v>
      </c>
      <c r="P273" s="116">
        <v>7030</v>
      </c>
      <c r="Q273" s="10" t="s">
        <v>33</v>
      </c>
      <c r="R273" s="4" t="s">
        <v>42</v>
      </c>
      <c r="S273" s="4" t="s">
        <v>42</v>
      </c>
      <c r="T273" s="4" t="s">
        <v>19</v>
      </c>
      <c r="U273" s="4" t="str">
        <f t="shared" si="17"/>
        <v>NOT AN ADD-ON</v>
      </c>
      <c r="V273" s="4" t="str">
        <f t="shared" si="16"/>
        <v>ANYWHEREANYWHEREAUTHORIZEDNOT AN ADD-ON</v>
      </c>
    </row>
    <row r="274" spans="1:22" ht="15" hidden="1" thickBot="1">
      <c r="A274" s="10" t="s">
        <v>21</v>
      </c>
      <c r="B274" s="10" t="s">
        <v>22</v>
      </c>
      <c r="C274" s="10" t="s">
        <v>23</v>
      </c>
      <c r="D274" s="10" t="s">
        <v>24</v>
      </c>
      <c r="E274" s="10" t="s">
        <v>25</v>
      </c>
      <c r="F274" s="10" t="s">
        <v>26</v>
      </c>
      <c r="G274" s="116">
        <v>4220</v>
      </c>
      <c r="H274" s="163" t="s">
        <v>66</v>
      </c>
      <c r="I274" s="158" t="s">
        <v>67</v>
      </c>
      <c r="J274" s="163" t="s">
        <v>64</v>
      </c>
      <c r="K274" s="10" t="s">
        <v>40</v>
      </c>
      <c r="L274" s="10">
        <v>5</v>
      </c>
      <c r="M274" s="10">
        <f t="shared" si="18"/>
        <v>5</v>
      </c>
      <c r="N274" s="10">
        <v>5</v>
      </c>
      <c r="O274" s="17">
        <v>1</v>
      </c>
      <c r="P274" s="116">
        <v>7030</v>
      </c>
      <c r="Q274" s="10" t="s">
        <v>36</v>
      </c>
      <c r="R274" s="4" t="s">
        <v>42</v>
      </c>
      <c r="S274" s="4" t="s">
        <v>42</v>
      </c>
      <c r="T274" s="4" t="s">
        <v>19</v>
      </c>
      <c r="U274" s="4" t="str">
        <f t="shared" si="17"/>
        <v>NOT AN ADD-ON</v>
      </c>
      <c r="V274" s="4" t="str">
        <f t="shared" si="16"/>
        <v>ANYWHEREANYWHEREAUTHORIZEDNOT AN ADD-ON</v>
      </c>
    </row>
    <row r="275" spans="1:22" ht="15" hidden="1" thickBot="1">
      <c r="A275" s="10" t="s">
        <v>21</v>
      </c>
      <c r="B275" s="10" t="s">
        <v>22</v>
      </c>
      <c r="C275" s="10" t="s">
        <v>23</v>
      </c>
      <c r="D275" s="10" t="s">
        <v>24</v>
      </c>
      <c r="E275" s="10" t="s">
        <v>25</v>
      </c>
      <c r="F275" s="10" t="s">
        <v>26</v>
      </c>
      <c r="G275" s="116">
        <v>1500</v>
      </c>
      <c r="H275" s="163" t="s">
        <v>76</v>
      </c>
      <c r="I275" s="158" t="s">
        <v>77</v>
      </c>
      <c r="J275" s="163" t="s">
        <v>64</v>
      </c>
      <c r="K275" s="10" t="s">
        <v>40</v>
      </c>
      <c r="L275" s="10">
        <v>5</v>
      </c>
      <c r="M275" s="10">
        <f t="shared" si="18"/>
        <v>5</v>
      </c>
      <c r="N275" s="10">
        <v>5</v>
      </c>
      <c r="O275" s="17">
        <v>1</v>
      </c>
      <c r="P275" s="116">
        <v>7030</v>
      </c>
      <c r="Q275" s="10" t="s">
        <v>48</v>
      </c>
      <c r="R275" s="4" t="s">
        <v>42</v>
      </c>
      <c r="S275" s="4" t="s">
        <v>42</v>
      </c>
      <c r="T275" s="4" t="s">
        <v>19</v>
      </c>
      <c r="U275" s="4" t="str">
        <f t="shared" si="17"/>
        <v>NOT AN ADD-ON</v>
      </c>
      <c r="V275" s="4" t="str">
        <f t="shared" si="16"/>
        <v>ANYWHEREANYWHEREAUTHORIZEDNOT AN ADD-ON</v>
      </c>
    </row>
    <row r="276" spans="1:22" ht="15" hidden="1" thickBot="1">
      <c r="A276" s="10" t="s">
        <v>21</v>
      </c>
      <c r="B276" s="10" t="s">
        <v>22</v>
      </c>
      <c r="C276" s="10" t="s">
        <v>23</v>
      </c>
      <c r="D276" s="10" t="s">
        <v>24</v>
      </c>
      <c r="E276" s="10" t="s">
        <v>25</v>
      </c>
      <c r="F276" s="10" t="s">
        <v>26</v>
      </c>
      <c r="G276" s="116">
        <v>7030</v>
      </c>
      <c r="H276" s="163" t="s">
        <v>72</v>
      </c>
      <c r="I276" s="158" t="s">
        <v>73</v>
      </c>
      <c r="J276" s="163" t="s">
        <v>72</v>
      </c>
      <c r="K276" s="10" t="s">
        <v>40</v>
      </c>
      <c r="L276" s="10">
        <v>5</v>
      </c>
      <c r="M276" s="10">
        <f t="shared" si="18"/>
        <v>5</v>
      </c>
      <c r="N276" s="10">
        <v>5</v>
      </c>
      <c r="O276" s="12">
        <v>1</v>
      </c>
      <c r="P276" s="116">
        <v>7030</v>
      </c>
      <c r="Q276" s="10" t="s">
        <v>33</v>
      </c>
      <c r="R276" s="4" t="s">
        <v>42</v>
      </c>
      <c r="S276" s="4" t="s">
        <v>42</v>
      </c>
      <c r="T276" s="4" t="s">
        <v>19</v>
      </c>
      <c r="U276" s="4" t="str">
        <f t="shared" si="17"/>
        <v>NOT AN ADD-ON</v>
      </c>
      <c r="V276" s="4" t="str">
        <f t="shared" si="16"/>
        <v>ANYWHEREANYWHEREAUTHORIZEDNOT AN ADD-ON</v>
      </c>
    </row>
    <row r="277" spans="1:22" ht="15" hidden="1" thickBot="1">
      <c r="A277" s="10" t="s">
        <v>21</v>
      </c>
      <c r="B277" s="10" t="s">
        <v>22</v>
      </c>
      <c r="C277" s="10" t="s">
        <v>23</v>
      </c>
      <c r="D277" s="10" t="s">
        <v>24</v>
      </c>
      <c r="E277" s="10" t="s">
        <v>25</v>
      </c>
      <c r="F277" s="10" t="s">
        <v>26</v>
      </c>
      <c r="G277" s="116">
        <v>4220</v>
      </c>
      <c r="H277" s="163" t="s">
        <v>74</v>
      </c>
      <c r="I277" s="158" t="s">
        <v>75</v>
      </c>
      <c r="J277" s="163" t="s">
        <v>72</v>
      </c>
      <c r="K277" s="10" t="s">
        <v>40</v>
      </c>
      <c r="L277" s="10">
        <v>5</v>
      </c>
      <c r="M277" s="10">
        <f t="shared" si="18"/>
        <v>5</v>
      </c>
      <c r="N277" s="10">
        <v>5</v>
      </c>
      <c r="O277" s="12">
        <v>1</v>
      </c>
      <c r="P277" s="116">
        <v>7030</v>
      </c>
      <c r="Q277" s="10" t="s">
        <v>36</v>
      </c>
      <c r="R277" s="4" t="s">
        <v>42</v>
      </c>
      <c r="S277" s="4" t="s">
        <v>42</v>
      </c>
      <c r="T277" s="4" t="s">
        <v>19</v>
      </c>
      <c r="U277" s="4" t="str">
        <f t="shared" si="17"/>
        <v>NOT AN ADD-ON</v>
      </c>
      <c r="V277" s="4" t="str">
        <f t="shared" si="16"/>
        <v>ANYWHEREANYWHEREAUTHORIZEDNOT AN ADD-ON</v>
      </c>
    </row>
    <row r="278" spans="1:22" ht="27" hidden="1" thickBot="1">
      <c r="A278" s="10" t="s">
        <v>21</v>
      </c>
      <c r="B278" s="10" t="s">
        <v>22</v>
      </c>
      <c r="C278" s="10" t="s">
        <v>23</v>
      </c>
      <c r="D278" s="10" t="s">
        <v>24</v>
      </c>
      <c r="E278" s="10" t="s">
        <v>25</v>
      </c>
      <c r="F278" s="10" t="s">
        <v>26</v>
      </c>
      <c r="G278" s="116">
        <v>1500</v>
      </c>
      <c r="H278" s="163" t="s">
        <v>68</v>
      </c>
      <c r="I278" s="166" t="s">
        <v>69</v>
      </c>
      <c r="J278" s="163" t="s">
        <v>47</v>
      </c>
      <c r="K278" s="10" t="s">
        <v>40</v>
      </c>
      <c r="L278" s="10">
        <v>5</v>
      </c>
      <c r="M278" s="10">
        <f t="shared" si="18"/>
        <v>5</v>
      </c>
      <c r="N278" s="10">
        <v>5</v>
      </c>
      <c r="O278" s="12">
        <v>1</v>
      </c>
      <c r="P278" s="116">
        <v>4260</v>
      </c>
      <c r="Q278" s="10" t="s">
        <v>48</v>
      </c>
      <c r="R278" s="4" t="s">
        <v>42</v>
      </c>
      <c r="S278" s="4" t="s">
        <v>42</v>
      </c>
      <c r="T278" s="4" t="s">
        <v>19</v>
      </c>
      <c r="U278" s="4" t="str">
        <f t="shared" si="17"/>
        <v>NOT AN ADD-ON</v>
      </c>
      <c r="V278" s="4" t="str">
        <f t="shared" si="16"/>
        <v>ANYWHEREANYWHEREAUTHORIZEDNOT AN ADD-ON</v>
      </c>
    </row>
    <row r="279" spans="1:22" ht="15" hidden="1" thickBot="1">
      <c r="A279" s="10" t="s">
        <v>21</v>
      </c>
      <c r="B279" s="10" t="s">
        <v>22</v>
      </c>
      <c r="C279" s="10" t="s">
        <v>23</v>
      </c>
      <c r="D279" s="10" t="s">
        <v>24</v>
      </c>
      <c r="E279" s="10" t="s">
        <v>25</v>
      </c>
      <c r="F279" s="10" t="s">
        <v>26</v>
      </c>
      <c r="G279" s="116">
        <v>4260</v>
      </c>
      <c r="H279" s="163" t="s">
        <v>39</v>
      </c>
      <c r="I279" s="158" t="s">
        <v>41</v>
      </c>
      <c r="J279" s="163" t="s">
        <v>39</v>
      </c>
      <c r="K279" s="10" t="s">
        <v>40</v>
      </c>
      <c r="L279" s="10">
        <v>0</v>
      </c>
      <c r="M279" s="10">
        <f t="shared" si="18"/>
        <v>0</v>
      </c>
      <c r="N279" s="10">
        <v>5</v>
      </c>
      <c r="O279" s="12">
        <v>1</v>
      </c>
      <c r="P279" s="116">
        <v>4260</v>
      </c>
      <c r="Q279" s="10" t="s">
        <v>33</v>
      </c>
      <c r="R279" s="4" t="s">
        <v>42</v>
      </c>
      <c r="S279" s="4" t="s">
        <v>42</v>
      </c>
      <c r="T279" s="4" t="s">
        <v>19</v>
      </c>
      <c r="U279" s="4" t="str">
        <f t="shared" si="17"/>
        <v>ADD-ON</v>
      </c>
      <c r="V279" s="4" t="str">
        <f t="shared" si="16"/>
        <v>ANYWHEREANYWHEREAUTHORIZEDADD-ON</v>
      </c>
    </row>
    <row r="280" spans="1:22" ht="15" hidden="1" thickBot="1">
      <c r="A280" s="10" t="s">
        <v>21</v>
      </c>
      <c r="B280" s="10" t="s">
        <v>22</v>
      </c>
      <c r="C280" s="10" t="s">
        <v>23</v>
      </c>
      <c r="D280" s="10" t="s">
        <v>24</v>
      </c>
      <c r="E280" s="10" t="s">
        <v>25</v>
      </c>
      <c r="F280" s="10" t="s">
        <v>26</v>
      </c>
      <c r="G280" s="116">
        <v>2550</v>
      </c>
      <c r="H280" s="163" t="s">
        <v>43</v>
      </c>
      <c r="I280" s="158" t="s">
        <v>44</v>
      </c>
      <c r="J280" s="163" t="s">
        <v>39</v>
      </c>
      <c r="K280" s="10" t="s">
        <v>40</v>
      </c>
      <c r="L280" s="10">
        <v>0</v>
      </c>
      <c r="M280" s="10">
        <f t="shared" si="18"/>
        <v>0</v>
      </c>
      <c r="N280" s="10">
        <v>5</v>
      </c>
      <c r="O280" s="12">
        <v>1</v>
      </c>
      <c r="P280" s="116">
        <v>4260</v>
      </c>
      <c r="Q280" s="10" t="s">
        <v>36</v>
      </c>
      <c r="R280" s="4" t="s">
        <v>42</v>
      </c>
      <c r="S280" s="4" t="s">
        <v>42</v>
      </c>
      <c r="T280" s="4" t="s">
        <v>19</v>
      </c>
      <c r="U280" s="4" t="str">
        <f t="shared" si="17"/>
        <v>ADD-ON</v>
      </c>
      <c r="V280" s="4" t="str">
        <f t="shared" si="16"/>
        <v>ANYWHEREANYWHEREAUTHORIZEDADD-ON</v>
      </c>
    </row>
    <row r="281" spans="1:22" ht="27" hidden="1" thickBot="1">
      <c r="A281" s="10" t="s">
        <v>21</v>
      </c>
      <c r="B281" s="10" t="s">
        <v>22</v>
      </c>
      <c r="C281" s="10" t="s">
        <v>23</v>
      </c>
      <c r="D281" s="10" t="s">
        <v>24</v>
      </c>
      <c r="E281" s="10" t="s">
        <v>25</v>
      </c>
      <c r="F281" s="10" t="s">
        <v>26</v>
      </c>
      <c r="G281" s="116">
        <v>918</v>
      </c>
      <c r="H281" s="163" t="s">
        <v>54</v>
      </c>
      <c r="I281" s="166" t="s">
        <v>55</v>
      </c>
      <c r="J281" s="163" t="s">
        <v>39</v>
      </c>
      <c r="K281" s="10" t="s">
        <v>40</v>
      </c>
      <c r="L281" s="10">
        <v>0</v>
      </c>
      <c r="M281" s="10">
        <f t="shared" si="18"/>
        <v>0</v>
      </c>
      <c r="N281" s="10">
        <v>5</v>
      </c>
      <c r="O281" s="12">
        <v>1</v>
      </c>
      <c r="P281" s="116">
        <v>4260</v>
      </c>
      <c r="Q281" s="10" t="s">
        <v>48</v>
      </c>
      <c r="R281" s="4" t="s">
        <v>42</v>
      </c>
      <c r="S281" s="4" t="s">
        <v>42</v>
      </c>
      <c r="T281" s="4" t="s">
        <v>19</v>
      </c>
      <c r="U281" s="4" t="str">
        <f t="shared" si="17"/>
        <v>ADD-ON</v>
      </c>
      <c r="V281" s="4" t="str">
        <f t="shared" si="16"/>
        <v>ANYWHEREANYWHEREAUTHORIZEDADD-ON</v>
      </c>
    </row>
    <row r="282" spans="1:22" ht="29.25" hidden="1" customHeight="1" thickBot="1">
      <c r="A282" s="10" t="s">
        <v>21</v>
      </c>
      <c r="B282" s="10" t="s">
        <v>22</v>
      </c>
      <c r="C282" s="10" t="s">
        <v>23</v>
      </c>
      <c r="D282" s="10" t="s">
        <v>24</v>
      </c>
      <c r="E282" s="10" t="s">
        <v>25</v>
      </c>
      <c r="F282" s="10" t="s">
        <v>26</v>
      </c>
      <c r="G282" s="116">
        <v>4260</v>
      </c>
      <c r="H282" s="163" t="s">
        <v>47</v>
      </c>
      <c r="I282" s="158" t="s">
        <v>51</v>
      </c>
      <c r="J282" s="163" t="s">
        <v>47</v>
      </c>
      <c r="K282" s="10" t="s">
        <v>40</v>
      </c>
      <c r="L282" s="10">
        <v>0</v>
      </c>
      <c r="M282" s="10">
        <f t="shared" si="18"/>
        <v>0</v>
      </c>
      <c r="N282" s="10">
        <v>5</v>
      </c>
      <c r="O282" s="12">
        <v>1</v>
      </c>
      <c r="P282" s="116">
        <v>4260</v>
      </c>
      <c r="Q282" s="10" t="s">
        <v>33</v>
      </c>
      <c r="R282" s="4" t="s">
        <v>42</v>
      </c>
      <c r="S282" s="4" t="s">
        <v>42</v>
      </c>
      <c r="T282" s="4" t="s">
        <v>19</v>
      </c>
      <c r="U282" s="4" t="str">
        <f t="shared" si="17"/>
        <v>ADD-ON</v>
      </c>
      <c r="V282" s="4" t="str">
        <f t="shared" si="16"/>
        <v>ANYWHEREANYWHEREAUTHORIZEDADD-ON</v>
      </c>
    </row>
    <row r="283" spans="1:22" ht="15" hidden="1" thickBot="1">
      <c r="A283" s="10" t="s">
        <v>21</v>
      </c>
      <c r="B283" s="10" t="s">
        <v>22</v>
      </c>
      <c r="C283" s="10" t="s">
        <v>23</v>
      </c>
      <c r="D283" s="10" t="s">
        <v>24</v>
      </c>
      <c r="E283" s="10" t="s">
        <v>25</v>
      </c>
      <c r="F283" s="10" t="s">
        <v>26</v>
      </c>
      <c r="G283" s="116">
        <v>2550</v>
      </c>
      <c r="H283" s="163" t="s">
        <v>52</v>
      </c>
      <c r="I283" s="158" t="s">
        <v>53</v>
      </c>
      <c r="J283" s="163" t="s">
        <v>47</v>
      </c>
      <c r="K283" s="10" t="s">
        <v>40</v>
      </c>
      <c r="L283" s="10">
        <v>0</v>
      </c>
      <c r="M283" s="10">
        <f t="shared" si="18"/>
        <v>0</v>
      </c>
      <c r="N283" s="10">
        <v>5</v>
      </c>
      <c r="O283" s="12">
        <v>1</v>
      </c>
      <c r="P283" s="116">
        <v>4260</v>
      </c>
      <c r="Q283" s="10" t="s">
        <v>36</v>
      </c>
      <c r="R283" s="4" t="s">
        <v>42</v>
      </c>
      <c r="S283" s="4" t="s">
        <v>42</v>
      </c>
      <c r="T283" s="4" t="s">
        <v>19</v>
      </c>
      <c r="U283" s="4" t="str">
        <f t="shared" si="17"/>
        <v>ADD-ON</v>
      </c>
      <c r="V283" s="4" t="str">
        <f t="shared" si="16"/>
        <v>ANYWHEREANYWHEREAUTHORIZEDADD-ON</v>
      </c>
    </row>
    <row r="284" spans="1:22" ht="27" hidden="1" thickBot="1">
      <c r="A284" s="10" t="s">
        <v>21</v>
      </c>
      <c r="B284" s="10" t="s">
        <v>22</v>
      </c>
      <c r="C284" s="10" t="s">
        <v>23</v>
      </c>
      <c r="D284" s="10" t="s">
        <v>24</v>
      </c>
      <c r="E284" s="10" t="s">
        <v>25</v>
      </c>
      <c r="F284" s="10" t="s">
        <v>26</v>
      </c>
      <c r="G284" s="116">
        <v>918</v>
      </c>
      <c r="H284" s="163" t="s">
        <v>45</v>
      </c>
      <c r="I284" s="166" t="s">
        <v>46</v>
      </c>
      <c r="J284" s="163" t="s">
        <v>47</v>
      </c>
      <c r="K284" s="10" t="s">
        <v>40</v>
      </c>
      <c r="L284" s="10">
        <v>0</v>
      </c>
      <c r="M284" s="10">
        <f t="shared" si="18"/>
        <v>0</v>
      </c>
      <c r="N284" s="10">
        <v>5</v>
      </c>
      <c r="O284" s="17">
        <v>1</v>
      </c>
      <c r="P284" s="116">
        <v>4260</v>
      </c>
      <c r="Q284" s="10" t="s">
        <v>48</v>
      </c>
      <c r="R284" s="4" t="s">
        <v>42</v>
      </c>
      <c r="S284" s="4" t="s">
        <v>42</v>
      </c>
      <c r="T284" s="4" t="s">
        <v>19</v>
      </c>
      <c r="U284" s="4" t="str">
        <f t="shared" si="17"/>
        <v>ADD-ON</v>
      </c>
      <c r="V284" s="4" t="str">
        <f t="shared" si="16"/>
        <v>ANYWHEREANYWHEREAUTHORIZEDADD-ON</v>
      </c>
    </row>
    <row r="285" spans="1:22" ht="15" hidden="1" thickBot="1">
      <c r="A285" s="10" t="s">
        <v>21</v>
      </c>
      <c r="B285" s="10" t="s">
        <v>22</v>
      </c>
      <c r="C285" s="10" t="s">
        <v>230</v>
      </c>
      <c r="D285" s="10" t="s">
        <v>141</v>
      </c>
      <c r="E285" s="10" t="s">
        <v>142</v>
      </c>
      <c r="F285" s="10" t="s">
        <v>143</v>
      </c>
      <c r="G285" s="116">
        <v>10900</v>
      </c>
      <c r="H285" s="163" t="s">
        <v>233</v>
      </c>
      <c r="I285" s="158" t="s">
        <v>236</v>
      </c>
      <c r="J285" s="163" t="s">
        <v>233</v>
      </c>
      <c r="K285" s="10" t="s">
        <v>40</v>
      </c>
      <c r="L285" s="10">
        <v>5</v>
      </c>
      <c r="M285" s="10">
        <f t="shared" si="18"/>
        <v>5</v>
      </c>
      <c r="N285" s="10">
        <v>15</v>
      </c>
      <c r="O285" s="17">
        <v>1</v>
      </c>
      <c r="P285" s="116">
        <v>10900</v>
      </c>
      <c r="Q285" s="10" t="s">
        <v>33</v>
      </c>
      <c r="R285" s="4" t="s">
        <v>234</v>
      </c>
      <c r="S285" s="4" t="s">
        <v>235</v>
      </c>
      <c r="T285" s="4" t="s">
        <v>19</v>
      </c>
      <c r="U285" s="4" t="str">
        <f t="shared" si="17"/>
        <v>NOT AN ADD-ON</v>
      </c>
      <c r="V285" s="4" t="str">
        <f t="shared" si="16"/>
        <v>MANAGED SERVICE PROVIDERSMSPAUTHORIZEDNOT AN ADD-ON</v>
      </c>
    </row>
    <row r="286" spans="1:22" ht="15" hidden="1" thickBot="1">
      <c r="A286" s="10" t="s">
        <v>21</v>
      </c>
      <c r="B286" s="10" t="s">
        <v>22</v>
      </c>
      <c r="C286" s="10" t="s">
        <v>140</v>
      </c>
      <c r="D286" s="10" t="s">
        <v>141</v>
      </c>
      <c r="E286" s="10" t="s">
        <v>142</v>
      </c>
      <c r="F286" s="10" t="s">
        <v>143</v>
      </c>
      <c r="G286" s="116">
        <v>6530</v>
      </c>
      <c r="H286" s="163" t="s">
        <v>237</v>
      </c>
      <c r="I286" s="158" t="s">
        <v>238</v>
      </c>
      <c r="J286" s="163" t="s">
        <v>233</v>
      </c>
      <c r="K286" s="10" t="s">
        <v>40</v>
      </c>
      <c r="L286" s="10">
        <v>5</v>
      </c>
      <c r="M286" s="10">
        <f t="shared" si="18"/>
        <v>5</v>
      </c>
      <c r="N286" s="10">
        <v>5</v>
      </c>
      <c r="O286" s="17">
        <v>1</v>
      </c>
      <c r="P286" s="116">
        <v>10900</v>
      </c>
      <c r="Q286" s="10" t="s">
        <v>36</v>
      </c>
      <c r="R286" s="4" t="s">
        <v>234</v>
      </c>
      <c r="S286" s="4" t="s">
        <v>235</v>
      </c>
      <c r="T286" s="4" t="s">
        <v>19</v>
      </c>
      <c r="U286" s="4" t="str">
        <f t="shared" si="17"/>
        <v>NOT AN ADD-ON</v>
      </c>
      <c r="V286" s="4" t="str">
        <f t="shared" si="16"/>
        <v>MANAGED SERVICE PROVIDERSMSPAUTHORIZEDNOT AN ADD-ON</v>
      </c>
    </row>
    <row r="287" spans="1:22" ht="27" hidden="1" thickBot="1">
      <c r="A287" s="10" t="s">
        <v>21</v>
      </c>
      <c r="B287" s="10" t="s">
        <v>22</v>
      </c>
      <c r="C287" s="10" t="s">
        <v>230</v>
      </c>
      <c r="D287" s="10" t="s">
        <v>141</v>
      </c>
      <c r="E287" s="10" t="s">
        <v>142</v>
      </c>
      <c r="F287" s="10" t="s">
        <v>143</v>
      </c>
      <c r="G287" s="116">
        <v>2350</v>
      </c>
      <c r="H287" s="163" t="s">
        <v>247</v>
      </c>
      <c r="I287" s="166" t="s">
        <v>248</v>
      </c>
      <c r="J287" s="163" t="s">
        <v>233</v>
      </c>
      <c r="K287" s="10" t="s">
        <v>40</v>
      </c>
      <c r="L287" s="10">
        <v>5</v>
      </c>
      <c r="M287" s="10">
        <f t="shared" si="18"/>
        <v>5</v>
      </c>
      <c r="N287" s="10">
        <v>15</v>
      </c>
      <c r="O287" s="17">
        <v>1</v>
      </c>
      <c r="P287" s="116">
        <v>10900</v>
      </c>
      <c r="Q287" s="10" t="s">
        <v>48</v>
      </c>
      <c r="R287" s="4" t="s">
        <v>234</v>
      </c>
      <c r="S287" s="4" t="s">
        <v>235</v>
      </c>
      <c r="T287" s="4" t="s">
        <v>19</v>
      </c>
      <c r="U287" s="4" t="str">
        <f t="shared" si="17"/>
        <v>NOT AN ADD-ON</v>
      </c>
      <c r="V287" s="4" t="str">
        <f t="shared" si="16"/>
        <v>MANAGED SERVICE PROVIDERSMSPAUTHORIZEDNOT AN ADD-ON</v>
      </c>
    </row>
    <row r="288" spans="1:22" ht="27" hidden="1" thickBot="1">
      <c r="A288" s="10" t="s">
        <v>21</v>
      </c>
      <c r="B288" s="10" t="s">
        <v>22</v>
      </c>
      <c r="C288" s="10" t="s">
        <v>230</v>
      </c>
      <c r="D288" s="10" t="s">
        <v>141</v>
      </c>
      <c r="E288" s="10" t="s">
        <v>142</v>
      </c>
      <c r="F288" s="10" t="s">
        <v>143</v>
      </c>
      <c r="G288" s="116">
        <v>10900</v>
      </c>
      <c r="H288" s="163" t="s">
        <v>241</v>
      </c>
      <c r="I288" s="166" t="s">
        <v>242</v>
      </c>
      <c r="J288" s="163" t="s">
        <v>241</v>
      </c>
      <c r="K288" s="10" t="s">
        <v>40</v>
      </c>
      <c r="L288" s="10">
        <v>5</v>
      </c>
      <c r="M288" s="10">
        <f t="shared" si="18"/>
        <v>5</v>
      </c>
      <c r="N288" s="10">
        <v>15</v>
      </c>
      <c r="O288" s="17">
        <v>1</v>
      </c>
      <c r="P288" s="116">
        <v>10900</v>
      </c>
      <c r="Q288" s="10" t="s">
        <v>33</v>
      </c>
      <c r="R288" s="4" t="s">
        <v>234</v>
      </c>
      <c r="S288" s="4" t="s">
        <v>235</v>
      </c>
      <c r="T288" s="4" t="s">
        <v>19</v>
      </c>
      <c r="U288" s="4" t="str">
        <f t="shared" si="17"/>
        <v>NOT AN ADD-ON</v>
      </c>
      <c r="V288" s="4" t="str">
        <f t="shared" si="16"/>
        <v>MANAGED SERVICE PROVIDERSMSPAUTHORIZEDNOT AN ADD-ON</v>
      </c>
    </row>
    <row r="289" spans="1:22" ht="27" hidden="1" thickBot="1">
      <c r="A289" s="10" t="s">
        <v>21</v>
      </c>
      <c r="B289" s="10" t="s">
        <v>22</v>
      </c>
      <c r="C289" s="10" t="s">
        <v>230</v>
      </c>
      <c r="D289" s="10" t="s">
        <v>141</v>
      </c>
      <c r="E289" s="10" t="s">
        <v>142</v>
      </c>
      <c r="F289" s="10" t="s">
        <v>143</v>
      </c>
      <c r="G289" s="116">
        <v>6530</v>
      </c>
      <c r="H289" s="163" t="s">
        <v>243</v>
      </c>
      <c r="I289" s="166" t="s">
        <v>244</v>
      </c>
      <c r="J289" s="163" t="s">
        <v>241</v>
      </c>
      <c r="K289" s="10" t="s">
        <v>40</v>
      </c>
      <c r="L289" s="10">
        <v>5</v>
      </c>
      <c r="M289" s="10">
        <f t="shared" si="18"/>
        <v>5</v>
      </c>
      <c r="N289" s="10">
        <v>15</v>
      </c>
      <c r="O289" s="17">
        <v>1</v>
      </c>
      <c r="P289" s="116">
        <v>10900</v>
      </c>
      <c r="Q289" s="10" t="s">
        <v>36</v>
      </c>
      <c r="R289" s="4" t="s">
        <v>234</v>
      </c>
      <c r="S289" s="4" t="s">
        <v>235</v>
      </c>
      <c r="T289" s="4" t="s">
        <v>19</v>
      </c>
      <c r="U289" s="4" t="str">
        <f t="shared" si="17"/>
        <v>NOT AN ADD-ON</v>
      </c>
      <c r="V289" s="4" t="str">
        <f t="shared" si="16"/>
        <v>MANAGED SERVICE PROVIDERSMSPAUTHORIZEDNOT AN ADD-ON</v>
      </c>
    </row>
    <row r="290" spans="1:22" ht="29.25" hidden="1" customHeight="1" thickBot="1">
      <c r="A290" s="10" t="s">
        <v>21</v>
      </c>
      <c r="B290" s="10" t="s">
        <v>22</v>
      </c>
      <c r="C290" s="10" t="s">
        <v>230</v>
      </c>
      <c r="D290" s="10" t="s">
        <v>141</v>
      </c>
      <c r="E290" s="10" t="s">
        <v>142</v>
      </c>
      <c r="F290" s="10" t="s">
        <v>143</v>
      </c>
      <c r="G290" s="116">
        <v>2350</v>
      </c>
      <c r="H290" s="163" t="s">
        <v>245</v>
      </c>
      <c r="I290" s="166" t="s">
        <v>246</v>
      </c>
      <c r="J290" s="163" t="s">
        <v>241</v>
      </c>
      <c r="K290" s="10" t="s">
        <v>40</v>
      </c>
      <c r="L290" s="10">
        <v>5</v>
      </c>
      <c r="M290" s="10">
        <f t="shared" si="18"/>
        <v>5</v>
      </c>
      <c r="N290" s="10">
        <v>15</v>
      </c>
      <c r="O290" s="17">
        <v>1</v>
      </c>
      <c r="P290" s="116">
        <v>10900</v>
      </c>
      <c r="Q290" s="10" t="s">
        <v>48</v>
      </c>
      <c r="R290" s="4" t="s">
        <v>234</v>
      </c>
      <c r="S290" s="4" t="s">
        <v>235</v>
      </c>
      <c r="T290" s="4" t="s">
        <v>19</v>
      </c>
      <c r="U290" s="4" t="str">
        <f t="shared" si="17"/>
        <v>NOT AN ADD-ON</v>
      </c>
      <c r="V290" s="4" t="str">
        <f t="shared" si="16"/>
        <v>MANAGED SERVICE PROVIDERSMSPAUTHORIZEDNOT AN ADD-ON</v>
      </c>
    </row>
    <row r="291" spans="1:22" ht="29.25" hidden="1" customHeight="1" thickBot="1">
      <c r="A291" s="10" t="s">
        <v>21</v>
      </c>
      <c r="B291" s="10" t="s">
        <v>22</v>
      </c>
      <c r="C291" s="10" t="s">
        <v>204</v>
      </c>
      <c r="D291" s="10" t="s">
        <v>141</v>
      </c>
      <c r="E291" s="10" t="s">
        <v>142</v>
      </c>
      <c r="F291" s="10" t="s">
        <v>143</v>
      </c>
      <c r="G291" s="116">
        <v>3270</v>
      </c>
      <c r="H291" s="163" t="s">
        <v>207</v>
      </c>
      <c r="I291" s="158" t="s">
        <v>209</v>
      </c>
      <c r="J291" s="163" t="s">
        <v>207</v>
      </c>
      <c r="K291" s="10" t="s">
        <v>40</v>
      </c>
      <c r="L291" s="10">
        <v>5</v>
      </c>
      <c r="M291" s="10">
        <f t="shared" si="18"/>
        <v>5</v>
      </c>
      <c r="N291" s="10">
        <v>15</v>
      </c>
      <c r="O291" s="17">
        <v>1</v>
      </c>
      <c r="P291" s="116">
        <v>3270</v>
      </c>
      <c r="Q291" s="10" t="s">
        <v>33</v>
      </c>
      <c r="R291" s="4" t="s">
        <v>208</v>
      </c>
      <c r="S291" s="4" t="s">
        <v>1278</v>
      </c>
      <c r="T291" s="4" t="s">
        <v>19</v>
      </c>
      <c r="U291" s="4" t="str">
        <f t="shared" si="17"/>
        <v>NOT AN ADD-ON</v>
      </c>
      <c r="V291" s="4" t="str">
        <f t="shared" si="16"/>
        <v>INTERNAL SERVICE PROVIDERSASSET MANAGEMENT (CORE)AUTHORIZEDNOT AN ADD-ON</v>
      </c>
    </row>
    <row r="292" spans="1:22" ht="15" hidden="1" thickBot="1">
      <c r="A292" s="10" t="s">
        <v>21</v>
      </c>
      <c r="B292" s="10" t="s">
        <v>22</v>
      </c>
      <c r="C292" s="10" t="s">
        <v>204</v>
      </c>
      <c r="D292" s="10" t="s">
        <v>141</v>
      </c>
      <c r="E292" s="10" t="s">
        <v>142</v>
      </c>
      <c r="F292" s="10" t="s">
        <v>143</v>
      </c>
      <c r="G292" s="116">
        <v>1960</v>
      </c>
      <c r="H292" s="163" t="s">
        <v>210</v>
      </c>
      <c r="I292" s="158" t="s">
        <v>211</v>
      </c>
      <c r="J292" s="163" t="s">
        <v>207</v>
      </c>
      <c r="K292" s="10" t="s">
        <v>40</v>
      </c>
      <c r="L292" s="10">
        <v>5</v>
      </c>
      <c r="M292" s="10">
        <f t="shared" si="18"/>
        <v>5</v>
      </c>
      <c r="N292" s="10">
        <v>15</v>
      </c>
      <c r="O292" s="12">
        <v>1</v>
      </c>
      <c r="P292" s="116">
        <v>3270</v>
      </c>
      <c r="Q292" s="10" t="s">
        <v>36</v>
      </c>
      <c r="R292" s="4" t="s">
        <v>208</v>
      </c>
      <c r="S292" s="4" t="s">
        <v>1278</v>
      </c>
      <c r="T292" s="4" t="s">
        <v>19</v>
      </c>
      <c r="U292" s="4" t="str">
        <f t="shared" si="17"/>
        <v>NOT AN ADD-ON</v>
      </c>
      <c r="V292" s="4" t="str">
        <f t="shared" si="16"/>
        <v>INTERNAL SERVICE PROVIDERSASSET MANAGEMENT (CORE)AUTHORIZEDNOT AN ADD-ON</v>
      </c>
    </row>
    <row r="293" spans="1:22" ht="27" hidden="1" thickBot="1">
      <c r="A293" s="10" t="s">
        <v>21</v>
      </c>
      <c r="B293" s="10" t="s">
        <v>22</v>
      </c>
      <c r="C293" s="10" t="s">
        <v>204</v>
      </c>
      <c r="D293" s="10" t="s">
        <v>141</v>
      </c>
      <c r="E293" s="10" t="s">
        <v>142</v>
      </c>
      <c r="F293" s="10" t="s">
        <v>143</v>
      </c>
      <c r="G293" s="116">
        <v>702</v>
      </c>
      <c r="H293" s="163" t="s">
        <v>220</v>
      </c>
      <c r="I293" s="166" t="s">
        <v>221</v>
      </c>
      <c r="J293" s="163" t="s">
        <v>207</v>
      </c>
      <c r="K293" s="10" t="s">
        <v>40</v>
      </c>
      <c r="L293" s="10">
        <v>5</v>
      </c>
      <c r="M293" s="10">
        <f t="shared" si="18"/>
        <v>5</v>
      </c>
      <c r="N293" s="10">
        <v>15</v>
      </c>
      <c r="O293" s="12">
        <v>1</v>
      </c>
      <c r="P293" s="116">
        <v>3270</v>
      </c>
      <c r="Q293" s="10" t="s">
        <v>48</v>
      </c>
      <c r="R293" s="4" t="s">
        <v>208</v>
      </c>
      <c r="S293" s="4" t="s">
        <v>1278</v>
      </c>
      <c r="T293" s="4" t="s">
        <v>19</v>
      </c>
      <c r="U293" s="4" t="str">
        <f t="shared" si="17"/>
        <v>NOT AN ADD-ON</v>
      </c>
      <c r="V293" s="4" t="str">
        <f t="shared" si="16"/>
        <v>INTERNAL SERVICE PROVIDERSASSET MANAGEMENT (CORE)AUTHORIZEDNOT AN ADD-ON</v>
      </c>
    </row>
    <row r="294" spans="1:22" ht="27" hidden="1" thickBot="1">
      <c r="A294" s="10" t="s">
        <v>21</v>
      </c>
      <c r="B294" s="10" t="s">
        <v>22</v>
      </c>
      <c r="C294" s="10" t="s">
        <v>204</v>
      </c>
      <c r="D294" s="10" t="s">
        <v>141</v>
      </c>
      <c r="E294" s="10" t="s">
        <v>142</v>
      </c>
      <c r="F294" s="10" t="s">
        <v>143</v>
      </c>
      <c r="G294" s="116">
        <v>3270</v>
      </c>
      <c r="H294" s="163" t="s">
        <v>214</v>
      </c>
      <c r="I294" s="166" t="s">
        <v>215</v>
      </c>
      <c r="J294" s="163" t="s">
        <v>214</v>
      </c>
      <c r="K294" s="10" t="s">
        <v>40</v>
      </c>
      <c r="L294" s="10">
        <v>5</v>
      </c>
      <c r="M294" s="10">
        <f t="shared" si="18"/>
        <v>5</v>
      </c>
      <c r="N294" s="10">
        <v>15</v>
      </c>
      <c r="O294" s="12">
        <v>1</v>
      </c>
      <c r="P294" s="116">
        <v>3270</v>
      </c>
      <c r="Q294" s="10" t="s">
        <v>33</v>
      </c>
      <c r="R294" s="4" t="s">
        <v>208</v>
      </c>
      <c r="S294" s="4" t="s">
        <v>1278</v>
      </c>
      <c r="T294" s="4" t="s">
        <v>19</v>
      </c>
      <c r="U294" s="4" t="str">
        <f t="shared" si="17"/>
        <v>NOT AN ADD-ON</v>
      </c>
      <c r="V294" s="4" t="str">
        <f t="shared" si="16"/>
        <v>INTERNAL SERVICE PROVIDERSASSET MANAGEMENT (CORE)AUTHORIZEDNOT AN ADD-ON</v>
      </c>
    </row>
    <row r="295" spans="1:22" ht="27" hidden="1" thickBot="1">
      <c r="A295" s="10" t="s">
        <v>21</v>
      </c>
      <c r="B295" s="10" t="s">
        <v>22</v>
      </c>
      <c r="C295" s="10" t="s">
        <v>204</v>
      </c>
      <c r="D295" s="10" t="s">
        <v>141</v>
      </c>
      <c r="E295" s="10" t="s">
        <v>142</v>
      </c>
      <c r="F295" s="10" t="s">
        <v>143</v>
      </c>
      <c r="G295" s="116">
        <v>1960</v>
      </c>
      <c r="H295" s="163" t="s">
        <v>216</v>
      </c>
      <c r="I295" s="166" t="s">
        <v>217</v>
      </c>
      <c r="J295" s="163" t="s">
        <v>214</v>
      </c>
      <c r="K295" s="10" t="s">
        <v>40</v>
      </c>
      <c r="L295" s="10">
        <v>5</v>
      </c>
      <c r="M295" s="10">
        <f t="shared" si="18"/>
        <v>5</v>
      </c>
      <c r="N295" s="10">
        <v>15</v>
      </c>
      <c r="O295" s="12">
        <v>1</v>
      </c>
      <c r="P295" s="116">
        <v>3270</v>
      </c>
      <c r="Q295" s="10" t="s">
        <v>36</v>
      </c>
      <c r="R295" s="4" t="s">
        <v>208</v>
      </c>
      <c r="S295" s="4" t="s">
        <v>1278</v>
      </c>
      <c r="T295" s="4" t="s">
        <v>19</v>
      </c>
      <c r="U295" s="4" t="str">
        <f t="shared" si="17"/>
        <v>NOT AN ADD-ON</v>
      </c>
      <c r="V295" s="4" t="str">
        <f t="shared" si="16"/>
        <v>INTERNAL SERVICE PROVIDERSASSET MANAGEMENT (CORE)AUTHORIZEDNOT AN ADD-ON</v>
      </c>
    </row>
    <row r="296" spans="1:22" ht="29.25" hidden="1" customHeight="1" thickBot="1">
      <c r="A296" s="10" t="s">
        <v>21</v>
      </c>
      <c r="B296" s="10" t="s">
        <v>22</v>
      </c>
      <c r="C296" s="10" t="s">
        <v>204</v>
      </c>
      <c r="D296" s="10" t="s">
        <v>141</v>
      </c>
      <c r="E296" s="10" t="s">
        <v>142</v>
      </c>
      <c r="F296" s="10" t="s">
        <v>143</v>
      </c>
      <c r="G296" s="116">
        <v>702</v>
      </c>
      <c r="H296" s="163" t="s">
        <v>218</v>
      </c>
      <c r="I296" s="166" t="s">
        <v>219</v>
      </c>
      <c r="J296" s="163" t="s">
        <v>214</v>
      </c>
      <c r="K296" s="10" t="s">
        <v>40</v>
      </c>
      <c r="L296" s="10">
        <v>5</v>
      </c>
      <c r="M296" s="10">
        <f t="shared" si="18"/>
        <v>5</v>
      </c>
      <c r="N296" s="10">
        <v>15</v>
      </c>
      <c r="O296" s="12">
        <v>1</v>
      </c>
      <c r="P296" s="116">
        <v>3270</v>
      </c>
      <c r="Q296" s="10" t="s">
        <v>48</v>
      </c>
      <c r="R296" s="4" t="s">
        <v>208</v>
      </c>
      <c r="S296" s="4" t="s">
        <v>1278</v>
      </c>
      <c r="T296" s="4" t="s">
        <v>19</v>
      </c>
      <c r="U296" s="4" t="str">
        <f t="shared" si="17"/>
        <v>NOT AN ADD-ON</v>
      </c>
      <c r="V296" s="4" t="str">
        <f t="shared" si="16"/>
        <v>INTERNAL SERVICE PROVIDERSASSET MANAGEMENT (CORE)AUTHORIZEDNOT AN ADD-ON</v>
      </c>
    </row>
    <row r="297" spans="1:22" ht="15" hidden="1" thickBot="1">
      <c r="A297" s="10" t="s">
        <v>21</v>
      </c>
      <c r="B297" s="10" t="s">
        <v>22</v>
      </c>
      <c r="C297" s="10" t="s">
        <v>1015</v>
      </c>
      <c r="D297" s="10" t="s">
        <v>141</v>
      </c>
      <c r="E297" s="10" t="s">
        <v>142</v>
      </c>
      <c r="F297" s="10" t="s">
        <v>143</v>
      </c>
      <c r="G297" s="116">
        <v>2170</v>
      </c>
      <c r="H297" s="163" t="s">
        <v>1024</v>
      </c>
      <c r="I297" s="158" t="s">
        <v>1025</v>
      </c>
      <c r="J297" s="163" t="s">
        <v>1024</v>
      </c>
      <c r="K297" s="10" t="s">
        <v>40</v>
      </c>
      <c r="L297" s="10">
        <v>0</v>
      </c>
      <c r="M297" s="10">
        <f t="shared" si="18"/>
        <v>0</v>
      </c>
      <c r="N297" s="10">
        <v>5</v>
      </c>
      <c r="O297" s="12">
        <v>1</v>
      </c>
      <c r="P297" s="116">
        <v>2170</v>
      </c>
      <c r="Q297" s="10" t="s">
        <v>33</v>
      </c>
      <c r="R297" s="4" t="s">
        <v>1290</v>
      </c>
      <c r="S297" s="4" t="s">
        <v>507</v>
      </c>
      <c r="T297" s="4" t="s">
        <v>19</v>
      </c>
      <c r="U297" s="4" t="str">
        <f t="shared" si="17"/>
        <v>NOT AN ADD-ON</v>
      </c>
      <c r="V297" s="4" t="str">
        <f t="shared" si="16"/>
        <v>LINEARADD-ONAUTHORIZEDNOT AN ADD-ON</v>
      </c>
    </row>
    <row r="298" spans="1:22" ht="15" hidden="1" thickBot="1">
      <c r="A298" s="10" t="s">
        <v>21</v>
      </c>
      <c r="B298" s="10" t="s">
        <v>22</v>
      </c>
      <c r="C298" s="10" t="s">
        <v>1015</v>
      </c>
      <c r="D298" s="10" t="s">
        <v>141</v>
      </c>
      <c r="E298" s="10" t="s">
        <v>142</v>
      </c>
      <c r="F298" s="10" t="s">
        <v>143</v>
      </c>
      <c r="G298" s="116">
        <v>1310</v>
      </c>
      <c r="H298" s="163" t="s">
        <v>1026</v>
      </c>
      <c r="I298" s="158" t="s">
        <v>1027</v>
      </c>
      <c r="J298" s="163" t="s">
        <v>1024</v>
      </c>
      <c r="K298" s="10" t="s">
        <v>40</v>
      </c>
      <c r="L298" s="10">
        <v>0</v>
      </c>
      <c r="M298" s="10">
        <f t="shared" si="18"/>
        <v>0</v>
      </c>
      <c r="N298" s="10">
        <v>5</v>
      </c>
      <c r="O298" s="12">
        <v>1</v>
      </c>
      <c r="P298" s="116">
        <v>2170</v>
      </c>
      <c r="Q298" s="10" t="s">
        <v>36</v>
      </c>
      <c r="R298" s="4" t="s">
        <v>1290</v>
      </c>
      <c r="S298" s="4" t="s">
        <v>507</v>
      </c>
      <c r="T298" s="4" t="s">
        <v>19</v>
      </c>
      <c r="U298" s="4" t="str">
        <f t="shared" si="17"/>
        <v>NOT AN ADD-ON</v>
      </c>
      <c r="V298" s="4" t="str">
        <f t="shared" si="16"/>
        <v>LINEARADD-ONAUTHORIZEDNOT AN ADD-ON</v>
      </c>
    </row>
    <row r="299" spans="1:22" ht="27" hidden="1" thickBot="1">
      <c r="A299" s="10" t="s">
        <v>21</v>
      </c>
      <c r="B299" s="10" t="s">
        <v>22</v>
      </c>
      <c r="C299" s="10" t="s">
        <v>1015</v>
      </c>
      <c r="D299" s="10" t="s">
        <v>141</v>
      </c>
      <c r="E299" s="10" t="s">
        <v>142</v>
      </c>
      <c r="F299" s="10" t="s">
        <v>143</v>
      </c>
      <c r="G299" s="116">
        <v>467</v>
      </c>
      <c r="H299" s="163" t="s">
        <v>1036</v>
      </c>
      <c r="I299" s="166" t="s">
        <v>1037</v>
      </c>
      <c r="J299" s="163" t="s">
        <v>1024</v>
      </c>
      <c r="K299" s="10" t="s">
        <v>40</v>
      </c>
      <c r="L299" s="10">
        <v>0</v>
      </c>
      <c r="M299" s="10">
        <f t="shared" si="18"/>
        <v>0</v>
      </c>
      <c r="N299" s="10">
        <v>5</v>
      </c>
      <c r="O299" s="12">
        <v>1</v>
      </c>
      <c r="P299" s="116">
        <v>2170</v>
      </c>
      <c r="Q299" s="10" t="s">
        <v>48</v>
      </c>
      <c r="R299" s="4" t="s">
        <v>1290</v>
      </c>
      <c r="S299" s="4" t="s">
        <v>507</v>
      </c>
      <c r="T299" s="4" t="s">
        <v>19</v>
      </c>
      <c r="U299" s="4" t="str">
        <f t="shared" si="17"/>
        <v>NOT AN ADD-ON</v>
      </c>
      <c r="V299" s="4" t="str">
        <f t="shared" si="16"/>
        <v>LINEARADD-ONAUTHORIZEDNOT AN ADD-ON</v>
      </c>
    </row>
    <row r="300" spans="1:22" ht="29.25" hidden="1" customHeight="1" thickBot="1">
      <c r="A300" s="10" t="s">
        <v>21</v>
      </c>
      <c r="B300" s="10" t="s">
        <v>22</v>
      </c>
      <c r="C300" s="10" t="s">
        <v>1015</v>
      </c>
      <c r="D300" s="10" t="s">
        <v>141</v>
      </c>
      <c r="E300" s="10" t="s">
        <v>142</v>
      </c>
      <c r="F300" s="10" t="s">
        <v>143</v>
      </c>
      <c r="G300" s="116">
        <v>2170</v>
      </c>
      <c r="H300" s="163" t="s">
        <v>1030</v>
      </c>
      <c r="I300" s="158" t="s">
        <v>1031</v>
      </c>
      <c r="J300" s="163" t="s">
        <v>1030</v>
      </c>
      <c r="K300" s="10" t="s">
        <v>40</v>
      </c>
      <c r="L300" s="10">
        <v>0</v>
      </c>
      <c r="M300" s="10">
        <f t="shared" si="18"/>
        <v>0</v>
      </c>
      <c r="N300" s="10">
        <v>5</v>
      </c>
      <c r="O300" s="12">
        <v>1</v>
      </c>
      <c r="P300" s="116">
        <v>2170</v>
      </c>
      <c r="Q300" s="10" t="s">
        <v>33</v>
      </c>
      <c r="R300" s="4" t="s">
        <v>1290</v>
      </c>
      <c r="S300" s="4" t="s">
        <v>507</v>
      </c>
      <c r="T300" s="4" t="s">
        <v>19</v>
      </c>
      <c r="U300" s="4" t="str">
        <f t="shared" si="17"/>
        <v>NOT AN ADD-ON</v>
      </c>
      <c r="V300" s="4" t="str">
        <f t="shared" si="16"/>
        <v>LINEARADD-ONAUTHORIZEDNOT AN ADD-ON</v>
      </c>
    </row>
    <row r="301" spans="1:22" ht="29.25" hidden="1" customHeight="1" thickBot="1">
      <c r="A301" s="10" t="s">
        <v>21</v>
      </c>
      <c r="B301" s="10" t="s">
        <v>22</v>
      </c>
      <c r="C301" s="10" t="s">
        <v>1015</v>
      </c>
      <c r="D301" s="10" t="s">
        <v>141</v>
      </c>
      <c r="E301" s="10" t="s">
        <v>142</v>
      </c>
      <c r="F301" s="10" t="s">
        <v>143</v>
      </c>
      <c r="G301" s="116">
        <v>1310</v>
      </c>
      <c r="H301" s="163" t="s">
        <v>1032</v>
      </c>
      <c r="I301" s="158" t="s">
        <v>1033</v>
      </c>
      <c r="J301" s="163" t="s">
        <v>1030</v>
      </c>
      <c r="K301" s="10" t="s">
        <v>40</v>
      </c>
      <c r="L301" s="10">
        <v>0</v>
      </c>
      <c r="M301" s="10">
        <f t="shared" si="18"/>
        <v>0</v>
      </c>
      <c r="N301" s="10">
        <v>5</v>
      </c>
      <c r="O301" s="12">
        <v>1</v>
      </c>
      <c r="P301" s="116">
        <v>2170</v>
      </c>
      <c r="Q301" s="10" t="s">
        <v>36</v>
      </c>
      <c r="R301" s="4" t="s">
        <v>1290</v>
      </c>
      <c r="S301" s="4" t="s">
        <v>507</v>
      </c>
      <c r="T301" s="4" t="s">
        <v>19</v>
      </c>
      <c r="U301" s="4" t="str">
        <f t="shared" si="17"/>
        <v>NOT AN ADD-ON</v>
      </c>
      <c r="V301" s="4" t="str">
        <f t="shared" si="16"/>
        <v>LINEARADD-ONAUTHORIZEDNOT AN ADD-ON</v>
      </c>
    </row>
    <row r="302" spans="1:22" ht="27" hidden="1" thickBot="1">
      <c r="A302" s="10" t="s">
        <v>21</v>
      </c>
      <c r="B302" s="10" t="s">
        <v>22</v>
      </c>
      <c r="C302" s="10" t="s">
        <v>1015</v>
      </c>
      <c r="D302" s="10" t="s">
        <v>141</v>
      </c>
      <c r="E302" s="10" t="s">
        <v>142</v>
      </c>
      <c r="F302" s="10" t="s">
        <v>143</v>
      </c>
      <c r="G302" s="116">
        <v>467</v>
      </c>
      <c r="H302" s="163" t="s">
        <v>1034</v>
      </c>
      <c r="I302" s="166" t="s">
        <v>1035</v>
      </c>
      <c r="J302" s="163" t="s">
        <v>1030</v>
      </c>
      <c r="K302" s="10" t="s">
        <v>40</v>
      </c>
      <c r="L302" s="10">
        <v>0</v>
      </c>
      <c r="M302" s="10">
        <f t="shared" si="18"/>
        <v>0</v>
      </c>
      <c r="N302" s="10">
        <v>5</v>
      </c>
      <c r="O302" s="12">
        <v>1</v>
      </c>
      <c r="P302" s="116">
        <v>2170</v>
      </c>
      <c r="Q302" s="10" t="s">
        <v>48</v>
      </c>
      <c r="R302" s="4" t="s">
        <v>1290</v>
      </c>
      <c r="S302" s="4" t="s">
        <v>507</v>
      </c>
      <c r="T302" s="4" t="s">
        <v>19</v>
      </c>
      <c r="U302" s="4" t="str">
        <f t="shared" si="17"/>
        <v>NOT AN ADD-ON</v>
      </c>
      <c r="V302" s="4" t="str">
        <f t="shared" si="16"/>
        <v>LINEARADD-ONAUTHORIZEDNOT AN ADD-ON</v>
      </c>
    </row>
    <row r="303" spans="1:22" ht="29.25" hidden="1" customHeight="1" thickBot="1">
      <c r="A303" s="10" t="s">
        <v>21</v>
      </c>
      <c r="B303" s="10" t="s">
        <v>22</v>
      </c>
      <c r="C303" s="10" t="s">
        <v>778</v>
      </c>
      <c r="D303" s="10" t="s">
        <v>779</v>
      </c>
      <c r="E303" s="10" t="s">
        <v>780</v>
      </c>
      <c r="F303" s="10" t="s">
        <v>781</v>
      </c>
      <c r="G303" s="116">
        <v>23400</v>
      </c>
      <c r="H303" s="163" t="s">
        <v>818</v>
      </c>
      <c r="I303" s="158" t="s">
        <v>819</v>
      </c>
      <c r="J303" s="163" t="s">
        <v>818</v>
      </c>
      <c r="K303" s="10" t="s">
        <v>40</v>
      </c>
      <c r="L303" s="10">
        <v>15</v>
      </c>
      <c r="M303" s="10">
        <f t="shared" si="18"/>
        <v>15</v>
      </c>
      <c r="N303" s="10">
        <v>15</v>
      </c>
      <c r="O303" s="12">
        <v>1</v>
      </c>
      <c r="P303" s="116">
        <v>23400</v>
      </c>
      <c r="Q303" s="10" t="s">
        <v>33</v>
      </c>
      <c r="R303" s="4" t="s">
        <v>1283</v>
      </c>
      <c r="S303" s="4" t="s">
        <v>1279</v>
      </c>
      <c r="T303" s="4" t="s">
        <v>19</v>
      </c>
      <c r="U303" s="4" t="str">
        <f t="shared" si="17"/>
        <v>NOT AN ADD-ON</v>
      </c>
      <c r="V303" s="4" t="str">
        <f t="shared" si="16"/>
        <v>TRANSPORATIONINDUSTRY SOLUTIONAUTHORIZEDNOT AN ADD-ON</v>
      </c>
    </row>
    <row r="304" spans="1:22" ht="29.25" hidden="1" customHeight="1" thickBot="1">
      <c r="A304" s="10" t="s">
        <v>21</v>
      </c>
      <c r="B304" s="10" t="s">
        <v>22</v>
      </c>
      <c r="C304" s="10" t="s">
        <v>778</v>
      </c>
      <c r="D304" s="10" t="s">
        <v>779</v>
      </c>
      <c r="E304" s="10" t="s">
        <v>780</v>
      </c>
      <c r="F304" s="10" t="s">
        <v>781</v>
      </c>
      <c r="G304" s="116">
        <v>14000</v>
      </c>
      <c r="H304" s="163" t="s">
        <v>820</v>
      </c>
      <c r="I304" s="158" t="s">
        <v>821</v>
      </c>
      <c r="J304" s="163" t="s">
        <v>818</v>
      </c>
      <c r="K304" s="10" t="s">
        <v>40</v>
      </c>
      <c r="L304" s="10">
        <v>15</v>
      </c>
      <c r="M304" s="10">
        <f t="shared" si="18"/>
        <v>15</v>
      </c>
      <c r="N304" s="10">
        <v>15</v>
      </c>
      <c r="O304" s="12">
        <v>1</v>
      </c>
      <c r="P304" s="116">
        <v>23400</v>
      </c>
      <c r="Q304" s="10" t="s">
        <v>36</v>
      </c>
      <c r="R304" s="4" t="s">
        <v>1283</v>
      </c>
      <c r="S304" s="4" t="s">
        <v>1279</v>
      </c>
      <c r="T304" s="4" t="s">
        <v>19</v>
      </c>
      <c r="U304" s="4" t="str">
        <f t="shared" si="17"/>
        <v>NOT AN ADD-ON</v>
      </c>
      <c r="V304" s="4" t="str">
        <f t="shared" si="16"/>
        <v>TRANSPORATIONINDUSTRY SOLUTIONAUTHORIZEDNOT AN ADD-ON</v>
      </c>
    </row>
    <row r="305" spans="1:22" ht="29.25" hidden="1" customHeight="1" thickBot="1">
      <c r="A305" s="10" t="s">
        <v>21</v>
      </c>
      <c r="B305" s="10" t="s">
        <v>22</v>
      </c>
      <c r="C305" s="10" t="s">
        <v>778</v>
      </c>
      <c r="D305" s="10" t="s">
        <v>779</v>
      </c>
      <c r="E305" s="10" t="s">
        <v>780</v>
      </c>
      <c r="F305" s="10" t="s">
        <v>781</v>
      </c>
      <c r="G305" s="116">
        <v>8260</v>
      </c>
      <c r="H305" s="163" t="s">
        <v>834</v>
      </c>
      <c r="I305" s="166" t="s">
        <v>835</v>
      </c>
      <c r="J305" s="163" t="s">
        <v>818</v>
      </c>
      <c r="K305" s="10" t="s">
        <v>40</v>
      </c>
      <c r="L305" s="10">
        <v>15</v>
      </c>
      <c r="M305" s="10">
        <f t="shared" si="18"/>
        <v>15</v>
      </c>
      <c r="N305" s="10">
        <v>15</v>
      </c>
      <c r="O305" s="12">
        <v>1</v>
      </c>
      <c r="P305" s="116">
        <v>23400</v>
      </c>
      <c r="Q305" s="10" t="s">
        <v>48</v>
      </c>
      <c r="R305" s="4" t="s">
        <v>1283</v>
      </c>
      <c r="S305" s="4" t="s">
        <v>1279</v>
      </c>
      <c r="T305" s="4" t="s">
        <v>19</v>
      </c>
      <c r="U305" s="4" t="str">
        <f t="shared" si="17"/>
        <v>NOT AN ADD-ON</v>
      </c>
      <c r="V305" s="4" t="str">
        <f t="shared" si="16"/>
        <v>TRANSPORATIONINDUSTRY SOLUTIONAUTHORIZEDNOT AN ADD-ON</v>
      </c>
    </row>
    <row r="306" spans="1:22" ht="27" hidden="1" thickBot="1">
      <c r="A306" s="10" t="s">
        <v>21</v>
      </c>
      <c r="B306" s="10" t="s">
        <v>22</v>
      </c>
      <c r="C306" s="10" t="s">
        <v>778</v>
      </c>
      <c r="D306" s="10" t="s">
        <v>779</v>
      </c>
      <c r="E306" s="10" t="s">
        <v>780</v>
      </c>
      <c r="F306" s="10" t="s">
        <v>781</v>
      </c>
      <c r="G306" s="116">
        <v>5030</v>
      </c>
      <c r="H306" s="163" t="s">
        <v>832</v>
      </c>
      <c r="I306" s="166" t="s">
        <v>833</v>
      </c>
      <c r="J306" s="163" t="s">
        <v>818</v>
      </c>
      <c r="K306" s="10" t="s">
        <v>40</v>
      </c>
      <c r="L306" s="10">
        <v>15</v>
      </c>
      <c r="M306" s="10">
        <f t="shared" si="18"/>
        <v>15</v>
      </c>
      <c r="N306" s="10">
        <v>15</v>
      </c>
      <c r="O306" s="12">
        <v>1</v>
      </c>
      <c r="P306" s="116">
        <v>23400</v>
      </c>
      <c r="Q306" s="10" t="s">
        <v>48</v>
      </c>
      <c r="R306" s="4" t="s">
        <v>1283</v>
      </c>
      <c r="S306" s="4" t="s">
        <v>1279</v>
      </c>
      <c r="T306" s="4" t="s">
        <v>19</v>
      </c>
      <c r="U306" s="4" t="str">
        <f t="shared" si="17"/>
        <v>NOT AN ADD-ON</v>
      </c>
      <c r="V306" s="4" t="str">
        <f t="shared" si="16"/>
        <v>TRANSPORATIONINDUSTRY SOLUTIONAUTHORIZEDNOT AN ADD-ON</v>
      </c>
    </row>
    <row r="307" spans="1:22" ht="29.25" hidden="1" customHeight="1" thickBot="1">
      <c r="A307" s="10" t="s">
        <v>21</v>
      </c>
      <c r="B307" s="10" t="s">
        <v>22</v>
      </c>
      <c r="C307" s="10" t="s">
        <v>778</v>
      </c>
      <c r="D307" s="10" t="s">
        <v>779</v>
      </c>
      <c r="E307" s="10" t="s">
        <v>780</v>
      </c>
      <c r="F307" s="10" t="s">
        <v>781</v>
      </c>
      <c r="G307" s="116">
        <v>23400</v>
      </c>
      <c r="H307" s="163" t="s">
        <v>824</v>
      </c>
      <c r="I307" s="158" t="s">
        <v>825</v>
      </c>
      <c r="J307" s="163" t="s">
        <v>824</v>
      </c>
      <c r="K307" s="10" t="s">
        <v>40</v>
      </c>
      <c r="L307" s="10">
        <v>15</v>
      </c>
      <c r="M307" s="10">
        <f t="shared" si="18"/>
        <v>15</v>
      </c>
      <c r="N307" s="10">
        <v>15</v>
      </c>
      <c r="O307" s="12">
        <v>1</v>
      </c>
      <c r="P307" s="116">
        <v>23400</v>
      </c>
      <c r="Q307" s="10" t="s">
        <v>33</v>
      </c>
      <c r="R307" s="4" t="s">
        <v>1283</v>
      </c>
      <c r="S307" s="4" t="s">
        <v>1279</v>
      </c>
      <c r="T307" s="4" t="s">
        <v>19</v>
      </c>
      <c r="U307" s="4" t="str">
        <f t="shared" si="17"/>
        <v>NOT AN ADD-ON</v>
      </c>
      <c r="V307" s="4" t="str">
        <f t="shared" si="16"/>
        <v>TRANSPORATIONINDUSTRY SOLUTIONAUTHORIZEDNOT AN ADD-ON</v>
      </c>
    </row>
    <row r="308" spans="1:22" ht="29.25" hidden="1" customHeight="1" thickBot="1">
      <c r="A308" s="10" t="s">
        <v>21</v>
      </c>
      <c r="B308" s="10" t="s">
        <v>22</v>
      </c>
      <c r="C308" s="10" t="s">
        <v>778</v>
      </c>
      <c r="D308" s="10" t="s">
        <v>779</v>
      </c>
      <c r="E308" s="10" t="s">
        <v>780</v>
      </c>
      <c r="F308" s="10" t="s">
        <v>781</v>
      </c>
      <c r="G308" s="116">
        <v>14000</v>
      </c>
      <c r="H308" s="163" t="s">
        <v>826</v>
      </c>
      <c r="I308" s="158" t="s">
        <v>827</v>
      </c>
      <c r="J308" s="163" t="s">
        <v>824</v>
      </c>
      <c r="K308" s="10" t="s">
        <v>40</v>
      </c>
      <c r="L308" s="10">
        <v>15</v>
      </c>
      <c r="M308" s="10">
        <f t="shared" si="18"/>
        <v>15</v>
      </c>
      <c r="N308" s="10">
        <v>15</v>
      </c>
      <c r="O308" s="12">
        <v>1</v>
      </c>
      <c r="P308" s="116">
        <v>23400</v>
      </c>
      <c r="Q308" s="10" t="s">
        <v>36</v>
      </c>
      <c r="R308" s="4" t="s">
        <v>1283</v>
      </c>
      <c r="S308" s="4" t="s">
        <v>1279</v>
      </c>
      <c r="T308" s="4" t="s">
        <v>19</v>
      </c>
      <c r="U308" s="4" t="str">
        <f t="shared" si="17"/>
        <v>NOT AN ADD-ON</v>
      </c>
      <c r="V308" s="4" t="str">
        <f t="shared" si="16"/>
        <v>TRANSPORATIONINDUSTRY SOLUTIONAUTHORIZEDNOT AN ADD-ON</v>
      </c>
    </row>
    <row r="309" spans="1:22" ht="27" hidden="1" thickBot="1">
      <c r="A309" s="10" t="s">
        <v>21</v>
      </c>
      <c r="B309" s="10" t="s">
        <v>22</v>
      </c>
      <c r="C309" s="10" t="s">
        <v>778</v>
      </c>
      <c r="D309" s="10" t="s">
        <v>779</v>
      </c>
      <c r="E309" s="10" t="s">
        <v>780</v>
      </c>
      <c r="F309" s="10" t="s">
        <v>781</v>
      </c>
      <c r="G309" s="116">
        <v>8260</v>
      </c>
      <c r="H309" s="163" t="s">
        <v>830</v>
      </c>
      <c r="I309" s="166" t="s">
        <v>831</v>
      </c>
      <c r="J309" s="163" t="s">
        <v>824</v>
      </c>
      <c r="K309" s="10" t="s">
        <v>40</v>
      </c>
      <c r="L309" s="10">
        <v>15</v>
      </c>
      <c r="M309" s="10">
        <f t="shared" si="18"/>
        <v>15</v>
      </c>
      <c r="N309" s="10">
        <v>15</v>
      </c>
      <c r="O309" s="12">
        <v>1</v>
      </c>
      <c r="P309" s="116">
        <v>23400</v>
      </c>
      <c r="Q309" s="10" t="s">
        <v>48</v>
      </c>
      <c r="R309" s="4" t="s">
        <v>1283</v>
      </c>
      <c r="S309" s="4" t="s">
        <v>1279</v>
      </c>
      <c r="T309" s="4" t="s">
        <v>19</v>
      </c>
      <c r="U309" s="4" t="str">
        <f t="shared" si="17"/>
        <v>NOT AN ADD-ON</v>
      </c>
      <c r="V309" s="4" t="str">
        <f t="shared" si="16"/>
        <v>TRANSPORATIONINDUSTRY SOLUTIONAUTHORIZEDNOT AN ADD-ON</v>
      </c>
    </row>
    <row r="310" spans="1:22" ht="29.25" hidden="1" customHeight="1" thickBot="1">
      <c r="A310" s="10" t="s">
        <v>21</v>
      </c>
      <c r="B310" s="10" t="s">
        <v>22</v>
      </c>
      <c r="C310" s="10" t="s">
        <v>778</v>
      </c>
      <c r="D310" s="10" t="s">
        <v>779</v>
      </c>
      <c r="E310" s="10" t="s">
        <v>780</v>
      </c>
      <c r="F310" s="10" t="s">
        <v>781</v>
      </c>
      <c r="G310" s="116">
        <v>5030</v>
      </c>
      <c r="H310" s="163" t="s">
        <v>828</v>
      </c>
      <c r="I310" s="166" t="s">
        <v>829</v>
      </c>
      <c r="J310" s="163" t="s">
        <v>824</v>
      </c>
      <c r="K310" s="10" t="s">
        <v>40</v>
      </c>
      <c r="L310" s="10">
        <v>15</v>
      </c>
      <c r="M310" s="10">
        <f t="shared" si="18"/>
        <v>15</v>
      </c>
      <c r="N310" s="10">
        <v>15</v>
      </c>
      <c r="O310" s="12">
        <v>1</v>
      </c>
      <c r="P310" s="116">
        <v>23400</v>
      </c>
      <c r="Q310" s="10" t="s">
        <v>48</v>
      </c>
      <c r="R310" s="4" t="s">
        <v>1283</v>
      </c>
      <c r="S310" s="4" t="s">
        <v>1279</v>
      </c>
      <c r="T310" s="4" t="s">
        <v>19</v>
      </c>
      <c r="U310" s="4" t="str">
        <f t="shared" si="17"/>
        <v>NOT AN ADD-ON</v>
      </c>
      <c r="V310" s="4" t="str">
        <f t="shared" si="16"/>
        <v>TRANSPORATIONINDUSTRY SOLUTIONAUTHORIZEDNOT AN ADD-ON</v>
      </c>
    </row>
    <row r="311" spans="1:22" ht="15" hidden="1" thickBot="1">
      <c r="A311" s="10" t="s">
        <v>21</v>
      </c>
      <c r="B311" s="10" t="s">
        <v>22</v>
      </c>
      <c r="C311" s="10" t="s">
        <v>778</v>
      </c>
      <c r="D311" s="10" t="s">
        <v>779</v>
      </c>
      <c r="E311" s="10" t="s">
        <v>780</v>
      </c>
      <c r="F311" s="10" t="s">
        <v>781</v>
      </c>
      <c r="G311" s="116">
        <v>6570</v>
      </c>
      <c r="H311" s="163" t="s">
        <v>790</v>
      </c>
      <c r="I311" s="158" t="s">
        <v>791</v>
      </c>
      <c r="J311" s="163" t="s">
        <v>790</v>
      </c>
      <c r="K311" s="10" t="s">
        <v>40</v>
      </c>
      <c r="L311" s="10">
        <v>5</v>
      </c>
      <c r="M311" s="10">
        <f t="shared" si="18"/>
        <v>5</v>
      </c>
      <c r="N311" s="10">
        <v>15</v>
      </c>
      <c r="O311" s="12">
        <v>1</v>
      </c>
      <c r="P311" s="116">
        <v>6570</v>
      </c>
      <c r="Q311" s="10" t="s">
        <v>33</v>
      </c>
      <c r="R311" s="4" t="s">
        <v>1283</v>
      </c>
      <c r="S311" s="4" t="s">
        <v>1279</v>
      </c>
      <c r="T311" s="4" t="s">
        <v>19</v>
      </c>
      <c r="U311" s="4" t="s">
        <v>507</v>
      </c>
      <c r="V311" s="4" t="str">
        <f t="shared" si="16"/>
        <v>TRANSPORATIONINDUSTRY SOLUTIONAUTHORIZEDADD-ON</v>
      </c>
    </row>
    <row r="312" spans="1:22" ht="15" hidden="1" thickBot="1">
      <c r="A312" s="10" t="s">
        <v>21</v>
      </c>
      <c r="B312" s="10" t="s">
        <v>22</v>
      </c>
      <c r="C312" s="10" t="s">
        <v>778</v>
      </c>
      <c r="D312" s="10" t="s">
        <v>779</v>
      </c>
      <c r="E312" s="10" t="s">
        <v>780</v>
      </c>
      <c r="F312" s="10" t="s">
        <v>781</v>
      </c>
      <c r="G312" s="116">
        <v>3940</v>
      </c>
      <c r="H312" s="163" t="s">
        <v>792</v>
      </c>
      <c r="I312" s="158" t="s">
        <v>793</v>
      </c>
      <c r="J312" s="163" t="s">
        <v>790</v>
      </c>
      <c r="K312" s="10" t="s">
        <v>40</v>
      </c>
      <c r="L312" s="10">
        <v>5</v>
      </c>
      <c r="M312" s="10">
        <f t="shared" si="18"/>
        <v>5</v>
      </c>
      <c r="N312" s="10">
        <v>15</v>
      </c>
      <c r="O312" s="12">
        <v>1</v>
      </c>
      <c r="P312" s="116">
        <v>6570</v>
      </c>
      <c r="Q312" s="10" t="s">
        <v>36</v>
      </c>
      <c r="R312" s="4" t="s">
        <v>1283</v>
      </c>
      <c r="S312" s="4" t="s">
        <v>1279</v>
      </c>
      <c r="T312" s="4" t="s">
        <v>19</v>
      </c>
      <c r="U312" s="4" t="s">
        <v>507</v>
      </c>
      <c r="V312" s="4" t="str">
        <f t="shared" si="16"/>
        <v>TRANSPORATIONINDUSTRY SOLUTIONAUTHORIZEDADD-ON</v>
      </c>
    </row>
    <row r="313" spans="1:22" ht="27" hidden="1" thickBot="1">
      <c r="A313" s="10" t="s">
        <v>21</v>
      </c>
      <c r="B313" s="10" t="s">
        <v>22</v>
      </c>
      <c r="C313" s="10" t="s">
        <v>778</v>
      </c>
      <c r="D313" s="10" t="s">
        <v>779</v>
      </c>
      <c r="E313" s="10" t="s">
        <v>780</v>
      </c>
      <c r="F313" s="10" t="s">
        <v>781</v>
      </c>
      <c r="G313" s="116">
        <v>1410</v>
      </c>
      <c r="H313" s="163" t="s">
        <v>802</v>
      </c>
      <c r="I313" s="166" t="s">
        <v>803</v>
      </c>
      <c r="J313" s="163" t="s">
        <v>790</v>
      </c>
      <c r="K313" s="10" t="s">
        <v>40</v>
      </c>
      <c r="L313" s="10">
        <v>5</v>
      </c>
      <c r="M313" s="10">
        <f t="shared" si="18"/>
        <v>5</v>
      </c>
      <c r="N313" s="10">
        <v>15</v>
      </c>
      <c r="O313" s="12">
        <v>1</v>
      </c>
      <c r="P313" s="116">
        <v>6570</v>
      </c>
      <c r="Q313" s="10" t="s">
        <v>48</v>
      </c>
      <c r="R313" s="4" t="s">
        <v>1283</v>
      </c>
      <c r="S313" s="4" t="s">
        <v>1279</v>
      </c>
      <c r="T313" s="4" t="s">
        <v>19</v>
      </c>
      <c r="U313" s="4" t="s">
        <v>507</v>
      </c>
      <c r="V313" s="4" t="str">
        <f t="shared" si="16"/>
        <v>TRANSPORATIONINDUSTRY SOLUTIONAUTHORIZEDADD-ON</v>
      </c>
    </row>
    <row r="314" spans="1:22" ht="15" hidden="1" thickBot="1">
      <c r="A314" s="10" t="s">
        <v>21</v>
      </c>
      <c r="B314" s="10" t="s">
        <v>22</v>
      </c>
      <c r="C314" s="10" t="s">
        <v>778</v>
      </c>
      <c r="D314" s="10" t="s">
        <v>779</v>
      </c>
      <c r="E314" s="10" t="s">
        <v>780</v>
      </c>
      <c r="F314" s="10" t="s">
        <v>781</v>
      </c>
      <c r="G314" s="116">
        <v>6570</v>
      </c>
      <c r="H314" s="163" t="s">
        <v>796</v>
      </c>
      <c r="I314" s="158" t="s">
        <v>797</v>
      </c>
      <c r="J314" s="163" t="s">
        <v>796</v>
      </c>
      <c r="K314" s="10" t="s">
        <v>40</v>
      </c>
      <c r="L314" s="10">
        <v>5</v>
      </c>
      <c r="M314" s="10">
        <f t="shared" si="18"/>
        <v>5</v>
      </c>
      <c r="N314" s="10">
        <v>15</v>
      </c>
      <c r="O314" s="12">
        <v>1</v>
      </c>
      <c r="P314" s="116">
        <v>6570</v>
      </c>
      <c r="Q314" s="10" t="s">
        <v>33</v>
      </c>
      <c r="R314" s="4" t="s">
        <v>1283</v>
      </c>
      <c r="S314" s="4" t="s">
        <v>1279</v>
      </c>
      <c r="T314" s="4" t="s">
        <v>19</v>
      </c>
      <c r="U314" s="4" t="s">
        <v>507</v>
      </c>
      <c r="V314" s="4" t="str">
        <f t="shared" si="16"/>
        <v>TRANSPORATIONINDUSTRY SOLUTIONAUTHORIZEDADD-ON</v>
      </c>
    </row>
    <row r="315" spans="1:22" ht="15" hidden="1" thickBot="1">
      <c r="A315" s="10" t="s">
        <v>21</v>
      </c>
      <c r="B315" s="10" t="s">
        <v>22</v>
      </c>
      <c r="C315" s="10" t="s">
        <v>778</v>
      </c>
      <c r="D315" s="10" t="s">
        <v>779</v>
      </c>
      <c r="E315" s="10" t="s">
        <v>780</v>
      </c>
      <c r="F315" s="10" t="s">
        <v>781</v>
      </c>
      <c r="G315" s="116">
        <v>3940</v>
      </c>
      <c r="H315" s="163" t="s">
        <v>798</v>
      </c>
      <c r="I315" s="158" t="s">
        <v>799</v>
      </c>
      <c r="J315" s="163" t="s">
        <v>796</v>
      </c>
      <c r="K315" s="10" t="s">
        <v>40</v>
      </c>
      <c r="L315" s="10">
        <v>5</v>
      </c>
      <c r="M315" s="10">
        <f t="shared" si="18"/>
        <v>5</v>
      </c>
      <c r="N315" s="10">
        <v>15</v>
      </c>
      <c r="O315" s="12">
        <v>1</v>
      </c>
      <c r="P315" s="116">
        <v>6570</v>
      </c>
      <c r="Q315" s="10" t="s">
        <v>36</v>
      </c>
      <c r="R315" s="4" t="s">
        <v>1283</v>
      </c>
      <c r="S315" s="4" t="s">
        <v>1279</v>
      </c>
      <c r="T315" s="4" t="s">
        <v>19</v>
      </c>
      <c r="U315" s="4" t="s">
        <v>507</v>
      </c>
      <c r="V315" s="4" t="str">
        <f t="shared" si="16"/>
        <v>TRANSPORATIONINDUSTRY SOLUTIONAUTHORIZEDADD-ON</v>
      </c>
    </row>
    <row r="316" spans="1:22" ht="27" hidden="1" thickBot="1">
      <c r="A316" s="10" t="s">
        <v>21</v>
      </c>
      <c r="B316" s="10" t="s">
        <v>22</v>
      </c>
      <c r="C316" s="10" t="s">
        <v>778</v>
      </c>
      <c r="D316" s="10" t="s">
        <v>779</v>
      </c>
      <c r="E316" s="10" t="s">
        <v>780</v>
      </c>
      <c r="F316" s="10" t="s">
        <v>781</v>
      </c>
      <c r="G316" s="116">
        <v>1410</v>
      </c>
      <c r="H316" s="163" t="s">
        <v>800</v>
      </c>
      <c r="I316" s="166" t="s">
        <v>801</v>
      </c>
      <c r="J316" s="163" t="s">
        <v>796</v>
      </c>
      <c r="K316" s="10" t="s">
        <v>40</v>
      </c>
      <c r="L316" s="10">
        <v>5</v>
      </c>
      <c r="M316" s="10">
        <f t="shared" si="18"/>
        <v>5</v>
      </c>
      <c r="N316" s="10">
        <v>15</v>
      </c>
      <c r="O316" s="12">
        <v>1</v>
      </c>
      <c r="P316" s="116">
        <v>6570</v>
      </c>
      <c r="Q316" s="10" t="s">
        <v>48</v>
      </c>
      <c r="R316" s="4" t="s">
        <v>1283</v>
      </c>
      <c r="S316" s="4" t="s">
        <v>1279</v>
      </c>
      <c r="T316" s="4" t="s">
        <v>19</v>
      </c>
      <c r="U316" s="4" t="s">
        <v>507</v>
      </c>
      <c r="V316" s="4" t="str">
        <f t="shared" si="16"/>
        <v>TRANSPORATIONINDUSTRY SOLUTIONAUTHORIZEDADD-ON</v>
      </c>
    </row>
    <row r="317" spans="1:22" ht="15" hidden="1" thickBot="1">
      <c r="A317" s="10" t="s">
        <v>21</v>
      </c>
      <c r="B317" s="10" t="s">
        <v>22</v>
      </c>
      <c r="C317" s="10" t="s">
        <v>500</v>
      </c>
      <c r="D317" s="10" t="s">
        <v>501</v>
      </c>
      <c r="E317" s="10" t="s">
        <v>502</v>
      </c>
      <c r="F317" s="10" t="s">
        <v>503</v>
      </c>
      <c r="G317" s="116">
        <v>21300</v>
      </c>
      <c r="H317" s="163" t="s">
        <v>541</v>
      </c>
      <c r="I317" s="158" t="s">
        <v>542</v>
      </c>
      <c r="J317" s="163" t="s">
        <v>541</v>
      </c>
      <c r="K317" s="10" t="s">
        <v>40</v>
      </c>
      <c r="L317" s="10">
        <v>10</v>
      </c>
      <c r="M317" s="10">
        <f t="shared" si="18"/>
        <v>10</v>
      </c>
      <c r="N317" s="15">
        <v>5</v>
      </c>
      <c r="O317" s="16">
        <v>1</v>
      </c>
      <c r="P317" s="116">
        <v>21300</v>
      </c>
      <c r="Q317" s="10" t="s">
        <v>33</v>
      </c>
      <c r="R317" s="4" t="s">
        <v>1292</v>
      </c>
      <c r="S317" s="4" t="s">
        <v>1292</v>
      </c>
      <c r="T317" s="4" t="s">
        <v>19</v>
      </c>
      <c r="U317" s="4" t="str">
        <f t="shared" ref="U317:U324" si="19">IF(ISNUMBER(SEARCH("ADD-ON",$I317)),"ADD-ON","NOT AN ADD-ON")</f>
        <v>NOT AN ADD-ON</v>
      </c>
      <c r="V317" s="4" t="str">
        <f t="shared" si="16"/>
        <v>LIFE SCIENCESLIFE SCIENCESAUTHORIZEDNOT AN ADD-ON</v>
      </c>
    </row>
    <row r="318" spans="1:22" ht="15" hidden="1" thickBot="1">
      <c r="A318" s="10" t="s">
        <v>21</v>
      </c>
      <c r="B318" s="10" t="s">
        <v>22</v>
      </c>
      <c r="C318" s="10" t="s">
        <v>500</v>
      </c>
      <c r="D318" s="10" t="s">
        <v>501</v>
      </c>
      <c r="E318" s="10" t="s">
        <v>502</v>
      </c>
      <c r="F318" s="10" t="s">
        <v>503</v>
      </c>
      <c r="G318" s="116">
        <v>12900</v>
      </c>
      <c r="H318" s="163" t="s">
        <v>543</v>
      </c>
      <c r="I318" s="158" t="s">
        <v>544</v>
      </c>
      <c r="J318" s="163" t="s">
        <v>541</v>
      </c>
      <c r="K318" s="10" t="s">
        <v>40</v>
      </c>
      <c r="L318" s="10">
        <v>10</v>
      </c>
      <c r="M318" s="10">
        <f t="shared" si="18"/>
        <v>10</v>
      </c>
      <c r="N318" s="10">
        <v>5</v>
      </c>
      <c r="O318" s="12">
        <v>1</v>
      </c>
      <c r="P318" s="116">
        <v>21300</v>
      </c>
      <c r="Q318" s="10" t="s">
        <v>36</v>
      </c>
      <c r="R318" s="4" t="s">
        <v>1292</v>
      </c>
      <c r="S318" s="4" t="s">
        <v>1292</v>
      </c>
      <c r="T318" s="4" t="s">
        <v>19</v>
      </c>
      <c r="U318" s="4" t="str">
        <f t="shared" si="19"/>
        <v>NOT AN ADD-ON</v>
      </c>
      <c r="V318" s="4" t="str">
        <f t="shared" si="16"/>
        <v>LIFE SCIENCESLIFE SCIENCESAUTHORIZEDNOT AN ADD-ON</v>
      </c>
    </row>
    <row r="319" spans="1:22" ht="27" hidden="1" thickBot="1">
      <c r="A319" s="10" t="s">
        <v>21</v>
      </c>
      <c r="B319" s="10" t="s">
        <v>22</v>
      </c>
      <c r="C319" s="10" t="s">
        <v>500</v>
      </c>
      <c r="D319" s="10" t="s">
        <v>501</v>
      </c>
      <c r="E319" s="10" t="s">
        <v>502</v>
      </c>
      <c r="F319" s="10" t="s">
        <v>503</v>
      </c>
      <c r="G319" s="116">
        <v>5940</v>
      </c>
      <c r="H319" s="163" t="s">
        <v>557</v>
      </c>
      <c r="I319" s="166" t="s">
        <v>558</v>
      </c>
      <c r="J319" s="163" t="s">
        <v>541</v>
      </c>
      <c r="K319" s="10" t="s">
        <v>40</v>
      </c>
      <c r="L319" s="10">
        <v>10</v>
      </c>
      <c r="M319" s="10">
        <f t="shared" si="18"/>
        <v>10</v>
      </c>
      <c r="N319" s="10">
        <v>5</v>
      </c>
      <c r="O319" s="12">
        <v>1</v>
      </c>
      <c r="P319" s="116">
        <v>21300</v>
      </c>
      <c r="Q319" s="10" t="s">
        <v>48</v>
      </c>
      <c r="R319" s="4" t="s">
        <v>1292</v>
      </c>
      <c r="S319" s="4" t="s">
        <v>1292</v>
      </c>
      <c r="T319" s="4" t="s">
        <v>19</v>
      </c>
      <c r="U319" s="4" t="str">
        <f t="shared" si="19"/>
        <v>NOT AN ADD-ON</v>
      </c>
      <c r="V319" s="4" t="str">
        <f t="shared" si="16"/>
        <v>LIFE SCIENCESLIFE SCIENCESAUTHORIZEDNOT AN ADD-ON</v>
      </c>
    </row>
    <row r="320" spans="1:22" ht="27" hidden="1" thickBot="1">
      <c r="A320" s="10" t="s">
        <v>21</v>
      </c>
      <c r="B320" s="10" t="s">
        <v>22</v>
      </c>
      <c r="C320" s="10" t="s">
        <v>500</v>
      </c>
      <c r="D320" s="10" t="s">
        <v>501</v>
      </c>
      <c r="E320" s="10" t="s">
        <v>502</v>
      </c>
      <c r="F320" s="10" t="s">
        <v>503</v>
      </c>
      <c r="G320" s="116">
        <v>4580</v>
      </c>
      <c r="H320" s="163" t="s">
        <v>555</v>
      </c>
      <c r="I320" s="166" t="s">
        <v>556</v>
      </c>
      <c r="J320" s="163" t="s">
        <v>541</v>
      </c>
      <c r="K320" s="10" t="s">
        <v>40</v>
      </c>
      <c r="L320" s="10">
        <v>10</v>
      </c>
      <c r="M320" s="10">
        <f t="shared" si="18"/>
        <v>10</v>
      </c>
      <c r="N320" s="10">
        <v>5</v>
      </c>
      <c r="O320" s="12">
        <v>1</v>
      </c>
      <c r="P320" s="116">
        <v>21300</v>
      </c>
      <c r="Q320" s="10" t="s">
        <v>48</v>
      </c>
      <c r="R320" s="4" t="s">
        <v>1292</v>
      </c>
      <c r="S320" s="4" t="s">
        <v>1292</v>
      </c>
      <c r="T320" s="4" t="s">
        <v>19</v>
      </c>
      <c r="U320" s="4" t="str">
        <f t="shared" si="19"/>
        <v>NOT AN ADD-ON</v>
      </c>
      <c r="V320" s="4" t="str">
        <f t="shared" si="16"/>
        <v>LIFE SCIENCESLIFE SCIENCESAUTHORIZEDNOT AN ADD-ON</v>
      </c>
    </row>
    <row r="321" spans="1:22" ht="15" hidden="1" thickBot="1">
      <c r="A321" s="10" t="s">
        <v>21</v>
      </c>
      <c r="B321" s="10" t="s">
        <v>22</v>
      </c>
      <c r="C321" s="10" t="s">
        <v>500</v>
      </c>
      <c r="D321" s="10" t="s">
        <v>501</v>
      </c>
      <c r="E321" s="10" t="s">
        <v>502</v>
      </c>
      <c r="F321" s="10" t="s">
        <v>503</v>
      </c>
      <c r="G321" s="116">
        <v>21300</v>
      </c>
      <c r="H321" s="163" t="s">
        <v>547</v>
      </c>
      <c r="I321" s="158" t="s">
        <v>548</v>
      </c>
      <c r="J321" s="163" t="s">
        <v>547</v>
      </c>
      <c r="K321" s="10" t="s">
        <v>40</v>
      </c>
      <c r="L321" s="10">
        <v>10</v>
      </c>
      <c r="M321" s="10">
        <f t="shared" si="18"/>
        <v>10</v>
      </c>
      <c r="N321" s="10">
        <v>5</v>
      </c>
      <c r="O321" s="12">
        <v>1</v>
      </c>
      <c r="P321" s="116">
        <v>21300</v>
      </c>
      <c r="Q321" s="10" t="s">
        <v>33</v>
      </c>
      <c r="R321" s="4" t="s">
        <v>1292</v>
      </c>
      <c r="S321" s="4" t="s">
        <v>1292</v>
      </c>
      <c r="T321" s="4" t="s">
        <v>19</v>
      </c>
      <c r="U321" s="4" t="str">
        <f t="shared" si="19"/>
        <v>NOT AN ADD-ON</v>
      </c>
      <c r="V321" s="4" t="str">
        <f t="shared" si="16"/>
        <v>LIFE SCIENCESLIFE SCIENCESAUTHORIZEDNOT AN ADD-ON</v>
      </c>
    </row>
    <row r="322" spans="1:22" ht="15" hidden="1" thickBot="1">
      <c r="A322" s="10" t="s">
        <v>21</v>
      </c>
      <c r="B322" s="10" t="s">
        <v>22</v>
      </c>
      <c r="C322" s="10" t="s">
        <v>500</v>
      </c>
      <c r="D322" s="10" t="s">
        <v>501</v>
      </c>
      <c r="E322" s="10" t="s">
        <v>502</v>
      </c>
      <c r="F322" s="10" t="s">
        <v>503</v>
      </c>
      <c r="G322" s="116">
        <v>12900</v>
      </c>
      <c r="H322" s="163" t="s">
        <v>549</v>
      </c>
      <c r="I322" s="158" t="s">
        <v>550</v>
      </c>
      <c r="J322" s="163" t="s">
        <v>547</v>
      </c>
      <c r="K322" s="10" t="s">
        <v>40</v>
      </c>
      <c r="L322" s="10">
        <v>10</v>
      </c>
      <c r="M322" s="10">
        <f t="shared" si="18"/>
        <v>10</v>
      </c>
      <c r="N322" s="10">
        <v>5</v>
      </c>
      <c r="O322" s="12">
        <v>1</v>
      </c>
      <c r="P322" s="116">
        <v>21300</v>
      </c>
      <c r="Q322" s="10" t="s">
        <v>36</v>
      </c>
      <c r="R322" s="4" t="s">
        <v>1292</v>
      </c>
      <c r="S322" s="4" t="s">
        <v>1292</v>
      </c>
      <c r="T322" s="4" t="s">
        <v>19</v>
      </c>
      <c r="U322" s="4" t="str">
        <f t="shared" si="19"/>
        <v>NOT AN ADD-ON</v>
      </c>
      <c r="V322" s="4" t="str">
        <f t="shared" si="16"/>
        <v>LIFE SCIENCESLIFE SCIENCESAUTHORIZEDNOT AN ADD-ON</v>
      </c>
    </row>
    <row r="323" spans="1:22" ht="27" hidden="1" thickBot="1">
      <c r="A323" s="10" t="s">
        <v>21</v>
      </c>
      <c r="B323" s="10" t="s">
        <v>22</v>
      </c>
      <c r="C323" s="10" t="s">
        <v>500</v>
      </c>
      <c r="D323" s="10" t="s">
        <v>501</v>
      </c>
      <c r="E323" s="10" t="s">
        <v>502</v>
      </c>
      <c r="F323" s="10" t="s">
        <v>503</v>
      </c>
      <c r="G323" s="116">
        <v>5940</v>
      </c>
      <c r="H323" s="163" t="s">
        <v>553</v>
      </c>
      <c r="I323" s="166" t="s">
        <v>554</v>
      </c>
      <c r="J323" s="163" t="s">
        <v>547</v>
      </c>
      <c r="K323" s="10" t="s">
        <v>40</v>
      </c>
      <c r="L323" s="10">
        <v>10</v>
      </c>
      <c r="M323" s="10">
        <f t="shared" si="18"/>
        <v>10</v>
      </c>
      <c r="N323" s="10">
        <v>5</v>
      </c>
      <c r="O323" s="12">
        <v>1</v>
      </c>
      <c r="P323" s="116">
        <v>21300</v>
      </c>
      <c r="Q323" s="10" t="s">
        <v>48</v>
      </c>
      <c r="R323" s="4" t="s">
        <v>1292</v>
      </c>
      <c r="S323" s="4" t="s">
        <v>1292</v>
      </c>
      <c r="T323" s="4" t="s">
        <v>19</v>
      </c>
      <c r="U323" s="4" t="str">
        <f t="shared" si="19"/>
        <v>NOT AN ADD-ON</v>
      </c>
      <c r="V323" s="4" t="str">
        <f t="shared" ref="V323:V386" si="20">CONCATENATE(R323,S323,T323,U323)</f>
        <v>LIFE SCIENCESLIFE SCIENCESAUTHORIZEDNOT AN ADD-ON</v>
      </c>
    </row>
    <row r="324" spans="1:22" ht="27" hidden="1" thickBot="1">
      <c r="A324" s="10" t="s">
        <v>21</v>
      </c>
      <c r="B324" s="10" t="s">
        <v>22</v>
      </c>
      <c r="C324" s="10" t="s">
        <v>500</v>
      </c>
      <c r="D324" s="10" t="s">
        <v>501</v>
      </c>
      <c r="E324" s="10" t="s">
        <v>502</v>
      </c>
      <c r="F324" s="10" t="s">
        <v>503</v>
      </c>
      <c r="G324" s="116">
        <v>4580</v>
      </c>
      <c r="H324" s="163" t="s">
        <v>551</v>
      </c>
      <c r="I324" s="166" t="s">
        <v>552</v>
      </c>
      <c r="J324" s="163" t="s">
        <v>547</v>
      </c>
      <c r="K324" s="10" t="s">
        <v>40</v>
      </c>
      <c r="L324" s="10">
        <v>10</v>
      </c>
      <c r="M324" s="10">
        <f t="shared" si="18"/>
        <v>10</v>
      </c>
      <c r="N324" s="10">
        <v>5</v>
      </c>
      <c r="O324" s="12">
        <v>1</v>
      </c>
      <c r="P324" s="116">
        <v>21300</v>
      </c>
      <c r="Q324" s="10" t="s">
        <v>48</v>
      </c>
      <c r="R324" s="4" t="s">
        <v>1292</v>
      </c>
      <c r="S324" s="4" t="s">
        <v>1292</v>
      </c>
      <c r="T324" s="4" t="s">
        <v>19</v>
      </c>
      <c r="U324" s="4" t="str">
        <f t="shared" si="19"/>
        <v>NOT AN ADD-ON</v>
      </c>
      <c r="V324" s="4" t="str">
        <f t="shared" si="20"/>
        <v>LIFE SCIENCESLIFE SCIENCESAUTHORIZEDNOT AN ADD-ON</v>
      </c>
    </row>
    <row r="325" spans="1:22" ht="15" hidden="1" thickBot="1">
      <c r="A325" s="10" t="s">
        <v>21</v>
      </c>
      <c r="B325" s="10" t="s">
        <v>22</v>
      </c>
      <c r="C325" s="10" t="s">
        <v>500</v>
      </c>
      <c r="D325" s="10" t="s">
        <v>501</v>
      </c>
      <c r="E325" s="10" t="s">
        <v>502</v>
      </c>
      <c r="F325" s="10" t="s">
        <v>503</v>
      </c>
      <c r="G325" s="116">
        <v>2170</v>
      </c>
      <c r="H325" s="163" t="s">
        <v>513</v>
      </c>
      <c r="I325" s="158" t="s">
        <v>514</v>
      </c>
      <c r="J325" s="163" t="s">
        <v>513</v>
      </c>
      <c r="K325" s="10" t="s">
        <v>40</v>
      </c>
      <c r="L325" s="10">
        <v>0</v>
      </c>
      <c r="M325" s="10">
        <f t="shared" si="18"/>
        <v>0</v>
      </c>
      <c r="N325" s="10">
        <v>5</v>
      </c>
      <c r="O325" s="12">
        <v>1</v>
      </c>
      <c r="P325" s="116">
        <v>2170</v>
      </c>
      <c r="Q325" s="10" t="s">
        <v>33</v>
      </c>
      <c r="R325" s="4" t="s">
        <v>1292</v>
      </c>
      <c r="S325" s="4" t="s">
        <v>1292</v>
      </c>
      <c r="T325" s="4" t="s">
        <v>19</v>
      </c>
      <c r="U325" s="4" t="s">
        <v>507</v>
      </c>
      <c r="V325" s="4" t="str">
        <f t="shared" si="20"/>
        <v>LIFE SCIENCESLIFE SCIENCESAUTHORIZEDADD-ON</v>
      </c>
    </row>
    <row r="326" spans="1:22" ht="15" hidden="1" thickBot="1">
      <c r="A326" s="10" t="s">
        <v>21</v>
      </c>
      <c r="B326" s="10" t="s">
        <v>22</v>
      </c>
      <c r="C326" s="10" t="s">
        <v>500</v>
      </c>
      <c r="D326" s="10" t="s">
        <v>501</v>
      </c>
      <c r="E326" s="10" t="s">
        <v>502</v>
      </c>
      <c r="F326" s="10" t="s">
        <v>503</v>
      </c>
      <c r="G326" s="116">
        <v>1310</v>
      </c>
      <c r="H326" s="163" t="s">
        <v>515</v>
      </c>
      <c r="I326" s="158" t="s">
        <v>516</v>
      </c>
      <c r="J326" s="163" t="s">
        <v>513</v>
      </c>
      <c r="K326" s="10" t="s">
        <v>40</v>
      </c>
      <c r="L326" s="10">
        <v>0</v>
      </c>
      <c r="M326" s="10">
        <f t="shared" si="18"/>
        <v>0</v>
      </c>
      <c r="N326" s="10">
        <v>5</v>
      </c>
      <c r="O326" s="12">
        <v>1</v>
      </c>
      <c r="P326" s="116">
        <v>2170</v>
      </c>
      <c r="Q326" s="10" t="s">
        <v>36</v>
      </c>
      <c r="R326" s="4" t="s">
        <v>1292</v>
      </c>
      <c r="S326" s="4" t="s">
        <v>1292</v>
      </c>
      <c r="T326" s="4" t="s">
        <v>19</v>
      </c>
      <c r="U326" s="4" t="s">
        <v>507</v>
      </c>
      <c r="V326" s="4" t="str">
        <f t="shared" si="20"/>
        <v>LIFE SCIENCESLIFE SCIENCESAUTHORIZEDADD-ON</v>
      </c>
    </row>
    <row r="327" spans="1:22" ht="27" hidden="1" thickBot="1">
      <c r="A327" s="10" t="s">
        <v>21</v>
      </c>
      <c r="B327" s="10" t="s">
        <v>22</v>
      </c>
      <c r="C327" s="10" t="s">
        <v>500</v>
      </c>
      <c r="D327" s="10" t="s">
        <v>501</v>
      </c>
      <c r="E327" s="10" t="s">
        <v>502</v>
      </c>
      <c r="F327" s="10" t="s">
        <v>503</v>
      </c>
      <c r="G327" s="116">
        <v>467</v>
      </c>
      <c r="H327" s="163" t="s">
        <v>525</v>
      </c>
      <c r="I327" s="166" t="s">
        <v>526</v>
      </c>
      <c r="J327" s="163" t="s">
        <v>513</v>
      </c>
      <c r="K327" s="10" t="s">
        <v>40</v>
      </c>
      <c r="L327" s="10">
        <v>0</v>
      </c>
      <c r="M327" s="10">
        <f t="shared" si="18"/>
        <v>0</v>
      </c>
      <c r="N327" s="10">
        <v>5</v>
      </c>
      <c r="O327" s="12">
        <v>1</v>
      </c>
      <c r="P327" s="116">
        <v>2170</v>
      </c>
      <c r="Q327" s="10" t="s">
        <v>48</v>
      </c>
      <c r="R327" s="4" t="s">
        <v>1292</v>
      </c>
      <c r="S327" s="4" t="s">
        <v>1292</v>
      </c>
      <c r="T327" s="4" t="s">
        <v>19</v>
      </c>
      <c r="U327" s="4" t="s">
        <v>507</v>
      </c>
      <c r="V327" s="4" t="str">
        <f t="shared" si="20"/>
        <v>LIFE SCIENCESLIFE SCIENCESAUTHORIZEDADD-ON</v>
      </c>
    </row>
    <row r="328" spans="1:22" ht="15" hidden="1" thickBot="1">
      <c r="A328" s="10" t="s">
        <v>21</v>
      </c>
      <c r="B328" s="10" t="s">
        <v>22</v>
      </c>
      <c r="C328" s="10" t="s">
        <v>500</v>
      </c>
      <c r="D328" s="10" t="s">
        <v>501</v>
      </c>
      <c r="E328" s="10" t="s">
        <v>502</v>
      </c>
      <c r="F328" s="10" t="s">
        <v>503</v>
      </c>
      <c r="G328" s="116">
        <v>2170</v>
      </c>
      <c r="H328" s="163" t="s">
        <v>519</v>
      </c>
      <c r="I328" s="158" t="s">
        <v>520</v>
      </c>
      <c r="J328" s="163" t="s">
        <v>519</v>
      </c>
      <c r="K328" s="10" t="s">
        <v>40</v>
      </c>
      <c r="L328" s="10">
        <v>0</v>
      </c>
      <c r="M328" s="10">
        <f t="shared" si="18"/>
        <v>0</v>
      </c>
      <c r="N328" s="10">
        <v>5</v>
      </c>
      <c r="O328" s="12">
        <v>1</v>
      </c>
      <c r="P328" s="116">
        <v>2170</v>
      </c>
      <c r="Q328" s="10" t="s">
        <v>33</v>
      </c>
      <c r="R328" s="4" t="s">
        <v>1292</v>
      </c>
      <c r="S328" s="4" t="s">
        <v>1292</v>
      </c>
      <c r="T328" s="4" t="s">
        <v>19</v>
      </c>
      <c r="U328" s="4" t="s">
        <v>507</v>
      </c>
      <c r="V328" s="4" t="str">
        <f t="shared" si="20"/>
        <v>LIFE SCIENCESLIFE SCIENCESAUTHORIZEDADD-ON</v>
      </c>
    </row>
    <row r="329" spans="1:22" ht="15" hidden="1" thickBot="1">
      <c r="A329" s="10" t="s">
        <v>21</v>
      </c>
      <c r="B329" s="10" t="s">
        <v>22</v>
      </c>
      <c r="C329" s="10" t="s">
        <v>500</v>
      </c>
      <c r="D329" s="10" t="s">
        <v>501</v>
      </c>
      <c r="E329" s="10" t="s">
        <v>502</v>
      </c>
      <c r="F329" s="10" t="s">
        <v>503</v>
      </c>
      <c r="G329" s="116">
        <v>1310</v>
      </c>
      <c r="H329" s="163" t="s">
        <v>521</v>
      </c>
      <c r="I329" s="158" t="s">
        <v>522</v>
      </c>
      <c r="J329" s="163" t="s">
        <v>519</v>
      </c>
      <c r="K329" s="10" t="s">
        <v>40</v>
      </c>
      <c r="L329" s="10">
        <v>0</v>
      </c>
      <c r="M329" s="10">
        <f t="shared" si="18"/>
        <v>0</v>
      </c>
      <c r="N329" s="10">
        <v>5</v>
      </c>
      <c r="O329" s="12">
        <v>1</v>
      </c>
      <c r="P329" s="116">
        <v>2170</v>
      </c>
      <c r="Q329" s="10" t="s">
        <v>36</v>
      </c>
      <c r="R329" s="4" t="s">
        <v>1292</v>
      </c>
      <c r="S329" s="4" t="s">
        <v>1292</v>
      </c>
      <c r="T329" s="4" t="s">
        <v>19</v>
      </c>
      <c r="U329" s="4" t="s">
        <v>507</v>
      </c>
      <c r="V329" s="4" t="str">
        <f t="shared" si="20"/>
        <v>LIFE SCIENCESLIFE SCIENCESAUTHORIZEDADD-ON</v>
      </c>
    </row>
    <row r="330" spans="1:22" ht="27" hidden="1" thickBot="1">
      <c r="A330" s="10" t="s">
        <v>21</v>
      </c>
      <c r="B330" s="10" t="s">
        <v>22</v>
      </c>
      <c r="C330" s="10" t="s">
        <v>500</v>
      </c>
      <c r="D330" s="10" t="s">
        <v>501</v>
      </c>
      <c r="E330" s="10" t="s">
        <v>502</v>
      </c>
      <c r="F330" s="10" t="s">
        <v>503</v>
      </c>
      <c r="G330" s="116">
        <v>467</v>
      </c>
      <c r="H330" s="163" t="s">
        <v>523</v>
      </c>
      <c r="I330" s="166" t="s">
        <v>524</v>
      </c>
      <c r="J330" s="163" t="s">
        <v>519</v>
      </c>
      <c r="K330" s="10" t="s">
        <v>40</v>
      </c>
      <c r="L330" s="10">
        <v>0</v>
      </c>
      <c r="M330" s="10">
        <f t="shared" si="18"/>
        <v>0</v>
      </c>
      <c r="N330" s="10">
        <v>5</v>
      </c>
      <c r="O330" s="12">
        <v>1</v>
      </c>
      <c r="P330" s="116">
        <v>2170</v>
      </c>
      <c r="Q330" s="10" t="s">
        <v>48</v>
      </c>
      <c r="R330" s="4" t="s">
        <v>1292</v>
      </c>
      <c r="S330" s="4" t="s">
        <v>1292</v>
      </c>
      <c r="T330" s="4" t="s">
        <v>19</v>
      </c>
      <c r="U330" s="4" t="s">
        <v>507</v>
      </c>
      <c r="V330" s="4" t="str">
        <f t="shared" si="20"/>
        <v>LIFE SCIENCESLIFE SCIENCESAUTHORIZEDADD-ON</v>
      </c>
    </row>
    <row r="331" spans="1:22" ht="15" hidden="1" thickBot="1">
      <c r="A331" s="10" t="s">
        <v>21</v>
      </c>
      <c r="B331" s="10" t="s">
        <v>22</v>
      </c>
      <c r="C331" s="10" t="s">
        <v>385</v>
      </c>
      <c r="D331" s="10" t="s">
        <v>386</v>
      </c>
      <c r="E331" s="10" t="s">
        <v>387</v>
      </c>
      <c r="F331" s="10" t="s">
        <v>388</v>
      </c>
      <c r="G331" s="116">
        <v>1780</v>
      </c>
      <c r="H331" s="163" t="s">
        <v>397</v>
      </c>
      <c r="I331" s="158" t="s">
        <v>398</v>
      </c>
      <c r="J331" s="163" t="s">
        <v>397</v>
      </c>
      <c r="K331" s="10" t="s">
        <v>40</v>
      </c>
      <c r="L331" s="10">
        <v>0</v>
      </c>
      <c r="M331" s="10">
        <f t="shared" si="18"/>
        <v>0</v>
      </c>
      <c r="N331" s="10">
        <v>5</v>
      </c>
      <c r="O331" s="12">
        <v>1</v>
      </c>
      <c r="P331" s="116">
        <v>1780</v>
      </c>
      <c r="Q331" s="10" t="s">
        <v>33</v>
      </c>
      <c r="R331" s="4" t="s">
        <v>1288</v>
      </c>
      <c r="S331" s="4" t="s">
        <v>507</v>
      </c>
      <c r="T331" s="4" t="s">
        <v>19</v>
      </c>
      <c r="U331" s="4" t="str">
        <f t="shared" ref="U331:U350" si="21">IF(ISNUMBER(SEARCH("ADD-ON",$I331)),"ADD-ON","NOT AN ADD-ON")</f>
        <v>NOT AN ADD-ON</v>
      </c>
      <c r="V331" s="4" t="str">
        <f t="shared" si="20"/>
        <v>CALIBRATIONADD-ONAUTHORIZEDNOT AN ADD-ON</v>
      </c>
    </row>
    <row r="332" spans="1:22" ht="15" hidden="1" thickBot="1">
      <c r="A332" s="10" t="s">
        <v>21</v>
      </c>
      <c r="B332" s="10" t="s">
        <v>22</v>
      </c>
      <c r="C332" s="10" t="s">
        <v>385</v>
      </c>
      <c r="D332" s="10" t="s">
        <v>386</v>
      </c>
      <c r="E332" s="10" t="s">
        <v>387</v>
      </c>
      <c r="F332" s="10" t="s">
        <v>388</v>
      </c>
      <c r="G332" s="116">
        <v>1070</v>
      </c>
      <c r="H332" s="163" t="s">
        <v>399</v>
      </c>
      <c r="I332" s="158" t="s">
        <v>400</v>
      </c>
      <c r="J332" s="163" t="s">
        <v>397</v>
      </c>
      <c r="K332" s="10" t="s">
        <v>40</v>
      </c>
      <c r="L332" s="10">
        <v>0</v>
      </c>
      <c r="M332" s="10">
        <f t="shared" si="18"/>
        <v>0</v>
      </c>
      <c r="N332" s="10">
        <v>5</v>
      </c>
      <c r="O332" s="12">
        <v>1</v>
      </c>
      <c r="P332" s="116">
        <v>1780</v>
      </c>
      <c r="Q332" s="10" t="s">
        <v>36</v>
      </c>
      <c r="R332" s="4" t="s">
        <v>1288</v>
      </c>
      <c r="S332" s="4" t="s">
        <v>507</v>
      </c>
      <c r="T332" s="4" t="s">
        <v>19</v>
      </c>
      <c r="U332" s="4" t="str">
        <f t="shared" si="21"/>
        <v>NOT AN ADD-ON</v>
      </c>
      <c r="V332" s="4" t="str">
        <f t="shared" si="20"/>
        <v>CALIBRATIONADD-ONAUTHORIZEDNOT AN ADD-ON</v>
      </c>
    </row>
    <row r="333" spans="1:22" ht="15" hidden="1" thickBot="1">
      <c r="A333" s="10" t="s">
        <v>21</v>
      </c>
      <c r="B333" s="10" t="s">
        <v>22</v>
      </c>
      <c r="C333" s="10" t="s">
        <v>385</v>
      </c>
      <c r="D333" s="10" t="s">
        <v>386</v>
      </c>
      <c r="E333" s="10" t="s">
        <v>387</v>
      </c>
      <c r="F333" s="10" t="s">
        <v>388</v>
      </c>
      <c r="G333" s="116">
        <v>383</v>
      </c>
      <c r="H333" s="163" t="s">
        <v>409</v>
      </c>
      <c r="I333" s="158" t="s">
        <v>410</v>
      </c>
      <c r="J333" s="163" t="s">
        <v>397</v>
      </c>
      <c r="K333" s="10" t="s">
        <v>40</v>
      </c>
      <c r="L333" s="10">
        <v>0</v>
      </c>
      <c r="M333" s="10">
        <f t="shared" si="18"/>
        <v>0</v>
      </c>
      <c r="N333" s="10">
        <v>5</v>
      </c>
      <c r="O333" s="12">
        <v>1</v>
      </c>
      <c r="P333" s="116">
        <v>1780</v>
      </c>
      <c r="Q333" s="10" t="s">
        <v>48</v>
      </c>
      <c r="R333" s="4" t="s">
        <v>1288</v>
      </c>
      <c r="S333" s="4" t="s">
        <v>507</v>
      </c>
      <c r="T333" s="4" t="s">
        <v>19</v>
      </c>
      <c r="U333" s="4" t="str">
        <f t="shared" si="21"/>
        <v>NOT AN ADD-ON</v>
      </c>
      <c r="V333" s="4" t="str">
        <f t="shared" si="20"/>
        <v>CALIBRATIONADD-ONAUTHORIZEDNOT AN ADD-ON</v>
      </c>
    </row>
    <row r="334" spans="1:22" ht="15" hidden="1" thickBot="1">
      <c r="A334" s="10" t="s">
        <v>21</v>
      </c>
      <c r="B334" s="10" t="s">
        <v>22</v>
      </c>
      <c r="C334" s="10" t="s">
        <v>385</v>
      </c>
      <c r="D334" s="10" t="s">
        <v>386</v>
      </c>
      <c r="E334" s="10" t="s">
        <v>387</v>
      </c>
      <c r="F334" s="10" t="s">
        <v>388</v>
      </c>
      <c r="G334" s="116">
        <v>1780</v>
      </c>
      <c r="H334" s="163" t="s">
        <v>403</v>
      </c>
      <c r="I334" s="158" t="s">
        <v>404</v>
      </c>
      <c r="J334" s="163" t="s">
        <v>403</v>
      </c>
      <c r="K334" s="10" t="s">
        <v>40</v>
      </c>
      <c r="L334" s="10">
        <v>0</v>
      </c>
      <c r="M334" s="10">
        <f t="shared" si="18"/>
        <v>0</v>
      </c>
      <c r="N334" s="10">
        <v>5</v>
      </c>
      <c r="O334" s="12">
        <v>1</v>
      </c>
      <c r="P334" s="116">
        <v>1780</v>
      </c>
      <c r="Q334" s="10" t="s">
        <v>33</v>
      </c>
      <c r="R334" s="4" t="s">
        <v>1288</v>
      </c>
      <c r="S334" s="4" t="s">
        <v>507</v>
      </c>
      <c r="T334" s="4" t="s">
        <v>19</v>
      </c>
      <c r="U334" s="4" t="str">
        <f t="shared" si="21"/>
        <v>NOT AN ADD-ON</v>
      </c>
      <c r="V334" s="4" t="str">
        <f t="shared" si="20"/>
        <v>CALIBRATIONADD-ONAUTHORIZEDNOT AN ADD-ON</v>
      </c>
    </row>
    <row r="335" spans="1:22" ht="15" hidden="1" thickBot="1">
      <c r="A335" s="10" t="s">
        <v>21</v>
      </c>
      <c r="B335" s="10" t="s">
        <v>22</v>
      </c>
      <c r="C335" s="10" t="s">
        <v>385</v>
      </c>
      <c r="D335" s="10" t="s">
        <v>386</v>
      </c>
      <c r="E335" s="10" t="s">
        <v>387</v>
      </c>
      <c r="F335" s="10" t="s">
        <v>388</v>
      </c>
      <c r="G335" s="116">
        <v>1070</v>
      </c>
      <c r="H335" s="163" t="s">
        <v>405</v>
      </c>
      <c r="I335" s="158" t="s">
        <v>406</v>
      </c>
      <c r="J335" s="163" t="s">
        <v>403</v>
      </c>
      <c r="K335" s="10" t="s">
        <v>40</v>
      </c>
      <c r="L335" s="10">
        <v>0</v>
      </c>
      <c r="M335" s="10">
        <f t="shared" si="18"/>
        <v>0</v>
      </c>
      <c r="N335" s="10">
        <v>5</v>
      </c>
      <c r="O335" s="12">
        <v>1</v>
      </c>
      <c r="P335" s="116">
        <v>1780</v>
      </c>
      <c r="Q335" s="10" t="s">
        <v>36</v>
      </c>
      <c r="R335" s="4" t="s">
        <v>1288</v>
      </c>
      <c r="S335" s="4" t="s">
        <v>507</v>
      </c>
      <c r="T335" s="4" t="s">
        <v>19</v>
      </c>
      <c r="U335" s="4" t="str">
        <f t="shared" si="21"/>
        <v>NOT AN ADD-ON</v>
      </c>
      <c r="V335" s="4" t="str">
        <f t="shared" si="20"/>
        <v>CALIBRATIONADD-ONAUTHORIZEDNOT AN ADD-ON</v>
      </c>
    </row>
    <row r="336" spans="1:22" ht="27" hidden="1" thickBot="1">
      <c r="A336" s="10" t="s">
        <v>21</v>
      </c>
      <c r="B336" s="10" t="s">
        <v>22</v>
      </c>
      <c r="C336" s="10" t="s">
        <v>385</v>
      </c>
      <c r="D336" s="10" t="s">
        <v>386</v>
      </c>
      <c r="E336" s="10" t="s">
        <v>387</v>
      </c>
      <c r="F336" s="10" t="s">
        <v>388</v>
      </c>
      <c r="G336" s="116">
        <v>383</v>
      </c>
      <c r="H336" s="163" t="s">
        <v>407</v>
      </c>
      <c r="I336" s="166" t="s">
        <v>408</v>
      </c>
      <c r="J336" s="163" t="s">
        <v>403</v>
      </c>
      <c r="K336" s="10" t="s">
        <v>40</v>
      </c>
      <c r="L336" s="10">
        <v>0</v>
      </c>
      <c r="M336" s="10">
        <f t="shared" si="18"/>
        <v>0</v>
      </c>
      <c r="N336" s="10">
        <v>5</v>
      </c>
      <c r="O336" s="12">
        <v>1</v>
      </c>
      <c r="P336" s="116">
        <v>1780</v>
      </c>
      <c r="Q336" s="10" t="s">
        <v>48</v>
      </c>
      <c r="R336" s="4" t="s">
        <v>1288</v>
      </c>
      <c r="S336" s="4" t="s">
        <v>507</v>
      </c>
      <c r="T336" s="4" t="s">
        <v>19</v>
      </c>
      <c r="U336" s="4" t="str">
        <f t="shared" si="21"/>
        <v>NOT AN ADD-ON</v>
      </c>
      <c r="V336" s="4" t="str">
        <f t="shared" si="20"/>
        <v>CALIBRATIONADD-ONAUTHORIZEDNOT AN ADD-ON</v>
      </c>
    </row>
    <row r="337" spans="1:22" ht="15" hidden="1" thickBot="1">
      <c r="A337" s="10" t="s">
        <v>21</v>
      </c>
      <c r="B337" s="10" t="s">
        <v>22</v>
      </c>
      <c r="C337" s="10" t="s">
        <v>1044</v>
      </c>
      <c r="D337" s="10" t="s">
        <v>1045</v>
      </c>
      <c r="E337" s="10" t="s">
        <v>1046</v>
      </c>
      <c r="F337" s="10" t="s">
        <v>1047</v>
      </c>
      <c r="G337" s="116">
        <v>657</v>
      </c>
      <c r="H337" s="163" t="s">
        <v>1056</v>
      </c>
      <c r="I337" s="158" t="s">
        <v>1057</v>
      </c>
      <c r="J337" s="163" t="s">
        <v>1056</v>
      </c>
      <c r="K337" s="10" t="s">
        <v>40</v>
      </c>
      <c r="L337" s="10">
        <v>0</v>
      </c>
      <c r="M337" s="10">
        <f t="shared" ref="M337:M378" si="22">ROUND(IF(K337="Authorized User",L337/3,L337),2)</f>
        <v>0</v>
      </c>
      <c r="N337" s="10">
        <v>5</v>
      </c>
      <c r="O337" s="12">
        <v>1</v>
      </c>
      <c r="P337" s="116">
        <v>657</v>
      </c>
      <c r="Q337" s="10" t="s">
        <v>33</v>
      </c>
      <c r="R337" s="4" t="s">
        <v>1291</v>
      </c>
      <c r="S337" s="4" t="s">
        <v>507</v>
      </c>
      <c r="T337" s="4" t="s">
        <v>19</v>
      </c>
      <c r="U337" s="4" t="str">
        <f t="shared" si="21"/>
        <v>NOT AN ADD-ON</v>
      </c>
      <c r="V337" s="4" t="str">
        <f t="shared" si="20"/>
        <v>SPATIALADD-ONAUTHORIZEDNOT AN ADD-ON</v>
      </c>
    </row>
    <row r="338" spans="1:22" ht="15" hidden="1" thickBot="1">
      <c r="A338" s="10" t="s">
        <v>21</v>
      </c>
      <c r="B338" s="10" t="s">
        <v>22</v>
      </c>
      <c r="C338" s="10" t="s">
        <v>1044</v>
      </c>
      <c r="D338" s="10" t="s">
        <v>1045</v>
      </c>
      <c r="E338" s="10" t="s">
        <v>1046</v>
      </c>
      <c r="F338" s="10" t="s">
        <v>1047</v>
      </c>
      <c r="G338" s="116">
        <v>394</v>
      </c>
      <c r="H338" s="163" t="s">
        <v>1058</v>
      </c>
      <c r="I338" s="158" t="s">
        <v>1059</v>
      </c>
      <c r="J338" s="163" t="s">
        <v>1056</v>
      </c>
      <c r="K338" s="10" t="s">
        <v>40</v>
      </c>
      <c r="L338" s="10">
        <v>0</v>
      </c>
      <c r="M338" s="10">
        <f t="shared" si="22"/>
        <v>0</v>
      </c>
      <c r="N338" s="10">
        <v>5</v>
      </c>
      <c r="O338" s="12">
        <v>1</v>
      </c>
      <c r="P338" s="116">
        <v>657</v>
      </c>
      <c r="Q338" s="10" t="s">
        <v>36</v>
      </c>
      <c r="R338" s="4" t="s">
        <v>1291</v>
      </c>
      <c r="S338" s="4" t="s">
        <v>507</v>
      </c>
      <c r="T338" s="4" t="s">
        <v>19</v>
      </c>
      <c r="U338" s="4" t="str">
        <f t="shared" si="21"/>
        <v>NOT AN ADD-ON</v>
      </c>
      <c r="V338" s="4" t="str">
        <f t="shared" si="20"/>
        <v>SPATIALADD-ONAUTHORIZEDNOT AN ADD-ON</v>
      </c>
    </row>
    <row r="339" spans="1:22" ht="27" hidden="1" thickBot="1">
      <c r="A339" s="10" t="s">
        <v>21</v>
      </c>
      <c r="B339" s="10" t="s">
        <v>22</v>
      </c>
      <c r="C339" s="10" t="s">
        <v>1044</v>
      </c>
      <c r="D339" s="10" t="s">
        <v>1045</v>
      </c>
      <c r="E339" s="10" t="s">
        <v>1046</v>
      </c>
      <c r="F339" s="10" t="s">
        <v>1047</v>
      </c>
      <c r="G339" s="116">
        <v>141</v>
      </c>
      <c r="H339" s="163" t="s">
        <v>1068</v>
      </c>
      <c r="I339" s="166" t="s">
        <v>1069</v>
      </c>
      <c r="J339" s="163" t="s">
        <v>1056</v>
      </c>
      <c r="K339" s="10" t="s">
        <v>40</v>
      </c>
      <c r="L339" s="10">
        <v>0</v>
      </c>
      <c r="M339" s="10">
        <f t="shared" si="22"/>
        <v>0</v>
      </c>
      <c r="N339" s="10">
        <v>5</v>
      </c>
      <c r="O339" s="12">
        <v>1</v>
      </c>
      <c r="P339" s="116">
        <v>657</v>
      </c>
      <c r="Q339" s="10" t="s">
        <v>48</v>
      </c>
      <c r="R339" s="4" t="s">
        <v>1291</v>
      </c>
      <c r="S339" s="4" t="s">
        <v>507</v>
      </c>
      <c r="T339" s="4" t="s">
        <v>19</v>
      </c>
      <c r="U339" s="4" t="str">
        <f t="shared" si="21"/>
        <v>NOT AN ADD-ON</v>
      </c>
      <c r="V339" s="4" t="str">
        <f t="shared" si="20"/>
        <v>SPATIALADD-ONAUTHORIZEDNOT AN ADD-ON</v>
      </c>
    </row>
    <row r="340" spans="1:22" ht="15" hidden="1" thickBot="1">
      <c r="A340" s="10" t="s">
        <v>21</v>
      </c>
      <c r="B340" s="10" t="s">
        <v>22</v>
      </c>
      <c r="C340" s="10" t="s">
        <v>1044</v>
      </c>
      <c r="D340" s="10" t="s">
        <v>1045</v>
      </c>
      <c r="E340" s="10" t="s">
        <v>1046</v>
      </c>
      <c r="F340" s="10" t="s">
        <v>1047</v>
      </c>
      <c r="G340" s="116">
        <v>657</v>
      </c>
      <c r="H340" s="163" t="s">
        <v>1062</v>
      </c>
      <c r="I340" s="158" t="s">
        <v>1063</v>
      </c>
      <c r="J340" s="163" t="s">
        <v>1062</v>
      </c>
      <c r="K340" s="10" t="s">
        <v>40</v>
      </c>
      <c r="L340" s="10">
        <v>0</v>
      </c>
      <c r="M340" s="10">
        <f t="shared" si="22"/>
        <v>0</v>
      </c>
      <c r="N340" s="10">
        <v>5</v>
      </c>
      <c r="O340" s="12">
        <v>1</v>
      </c>
      <c r="P340" s="116">
        <v>657</v>
      </c>
      <c r="Q340" s="10" t="s">
        <v>33</v>
      </c>
      <c r="R340" s="4" t="s">
        <v>1291</v>
      </c>
      <c r="S340" s="4" t="s">
        <v>507</v>
      </c>
      <c r="T340" s="4" t="s">
        <v>19</v>
      </c>
      <c r="U340" s="4" t="str">
        <f t="shared" si="21"/>
        <v>NOT AN ADD-ON</v>
      </c>
      <c r="V340" s="4" t="str">
        <f t="shared" si="20"/>
        <v>SPATIALADD-ONAUTHORIZEDNOT AN ADD-ON</v>
      </c>
    </row>
    <row r="341" spans="1:22" ht="15" hidden="1" thickBot="1">
      <c r="A341" s="10" t="s">
        <v>21</v>
      </c>
      <c r="B341" s="10" t="s">
        <v>22</v>
      </c>
      <c r="C341" s="10" t="s">
        <v>1044</v>
      </c>
      <c r="D341" s="10" t="s">
        <v>1045</v>
      </c>
      <c r="E341" s="10" t="s">
        <v>1046</v>
      </c>
      <c r="F341" s="10" t="s">
        <v>1047</v>
      </c>
      <c r="G341" s="116">
        <v>394</v>
      </c>
      <c r="H341" s="163" t="s">
        <v>1064</v>
      </c>
      <c r="I341" s="158" t="s">
        <v>1065</v>
      </c>
      <c r="J341" s="163" t="s">
        <v>1062</v>
      </c>
      <c r="K341" s="10" t="s">
        <v>40</v>
      </c>
      <c r="L341" s="10">
        <v>0</v>
      </c>
      <c r="M341" s="10">
        <f t="shared" si="22"/>
        <v>0</v>
      </c>
      <c r="N341" s="10">
        <v>5</v>
      </c>
      <c r="O341" s="12">
        <v>1</v>
      </c>
      <c r="P341" s="116">
        <v>657</v>
      </c>
      <c r="Q341" s="10" t="s">
        <v>36</v>
      </c>
      <c r="R341" s="4" t="s">
        <v>1291</v>
      </c>
      <c r="S341" s="4" t="s">
        <v>507</v>
      </c>
      <c r="T341" s="4" t="s">
        <v>19</v>
      </c>
      <c r="U341" s="4" t="str">
        <f t="shared" si="21"/>
        <v>NOT AN ADD-ON</v>
      </c>
      <c r="V341" s="4" t="str">
        <f t="shared" si="20"/>
        <v>SPATIALADD-ONAUTHORIZEDNOT AN ADD-ON</v>
      </c>
    </row>
    <row r="342" spans="1:22" ht="27" hidden="1" thickBot="1">
      <c r="A342" s="10" t="s">
        <v>21</v>
      </c>
      <c r="B342" s="10" t="s">
        <v>22</v>
      </c>
      <c r="C342" s="10" t="s">
        <v>1044</v>
      </c>
      <c r="D342" s="10" t="s">
        <v>1045</v>
      </c>
      <c r="E342" s="10" t="s">
        <v>1046</v>
      </c>
      <c r="F342" s="10" t="s">
        <v>1047</v>
      </c>
      <c r="G342" s="116">
        <v>141</v>
      </c>
      <c r="H342" s="163" t="s">
        <v>1066</v>
      </c>
      <c r="I342" s="166" t="s">
        <v>1067</v>
      </c>
      <c r="J342" s="163" t="s">
        <v>1062</v>
      </c>
      <c r="K342" s="10" t="s">
        <v>40</v>
      </c>
      <c r="L342" s="10">
        <v>0</v>
      </c>
      <c r="M342" s="10">
        <f t="shared" si="22"/>
        <v>0</v>
      </c>
      <c r="N342" s="10">
        <v>5</v>
      </c>
      <c r="O342" s="12">
        <v>1</v>
      </c>
      <c r="P342" s="116">
        <v>657</v>
      </c>
      <c r="Q342" s="10" t="s">
        <v>48</v>
      </c>
      <c r="R342" s="4" t="s">
        <v>1291</v>
      </c>
      <c r="S342" s="4" t="s">
        <v>507</v>
      </c>
      <c r="T342" s="4" t="s">
        <v>19</v>
      </c>
      <c r="U342" s="4" t="str">
        <f t="shared" si="21"/>
        <v>NOT AN ADD-ON</v>
      </c>
      <c r="V342" s="4" t="str">
        <f t="shared" si="20"/>
        <v>SPATIALADD-ONAUTHORIZEDNOT AN ADD-ON</v>
      </c>
    </row>
    <row r="343" spans="1:22" ht="15" hidden="1" thickBot="1">
      <c r="A343" s="10" t="s">
        <v>21</v>
      </c>
      <c r="B343" s="10" t="s">
        <v>22</v>
      </c>
      <c r="C343" s="10" t="s">
        <v>593</v>
      </c>
      <c r="D343" s="10" t="s">
        <v>594</v>
      </c>
      <c r="E343" s="10" t="s">
        <v>595</v>
      </c>
      <c r="F343" s="10" t="s">
        <v>596</v>
      </c>
      <c r="G343" s="116">
        <v>23400</v>
      </c>
      <c r="H343" s="163" t="s">
        <v>639</v>
      </c>
      <c r="I343" s="158" t="s">
        <v>648</v>
      </c>
      <c r="J343" s="163" t="s">
        <v>639</v>
      </c>
      <c r="K343" s="10" t="s">
        <v>40</v>
      </c>
      <c r="L343" s="10">
        <v>15</v>
      </c>
      <c r="M343" s="10">
        <f t="shared" si="22"/>
        <v>15</v>
      </c>
      <c r="N343" s="10">
        <v>15</v>
      </c>
      <c r="O343" s="12">
        <v>1</v>
      </c>
      <c r="P343" s="116">
        <v>23400</v>
      </c>
      <c r="Q343" s="10" t="s">
        <v>33</v>
      </c>
      <c r="R343" s="4" t="s">
        <v>1281</v>
      </c>
      <c r="S343" s="4" t="s">
        <v>1279</v>
      </c>
      <c r="T343" s="4" t="s">
        <v>19</v>
      </c>
      <c r="U343" s="4" t="str">
        <f t="shared" si="21"/>
        <v>NOT AN ADD-ON</v>
      </c>
      <c r="V343" s="4" t="str">
        <f t="shared" si="20"/>
        <v>NUCLEAR POWERINDUSTRY SOLUTIONAUTHORIZEDNOT AN ADD-ON</v>
      </c>
    </row>
    <row r="344" spans="1:22" ht="15" hidden="1" thickBot="1">
      <c r="A344" s="10" t="s">
        <v>21</v>
      </c>
      <c r="B344" s="10" t="s">
        <v>22</v>
      </c>
      <c r="C344" s="10" t="s">
        <v>593</v>
      </c>
      <c r="D344" s="10" t="s">
        <v>594</v>
      </c>
      <c r="E344" s="10" t="s">
        <v>595</v>
      </c>
      <c r="F344" s="10" t="s">
        <v>596</v>
      </c>
      <c r="G344" s="116">
        <v>14000</v>
      </c>
      <c r="H344" s="163" t="s">
        <v>649</v>
      </c>
      <c r="I344" s="158" t="s">
        <v>650</v>
      </c>
      <c r="J344" s="163" t="s">
        <v>639</v>
      </c>
      <c r="K344" s="10" t="s">
        <v>40</v>
      </c>
      <c r="L344" s="10">
        <v>15</v>
      </c>
      <c r="M344" s="10">
        <f t="shared" si="22"/>
        <v>15</v>
      </c>
      <c r="N344" s="10">
        <v>15</v>
      </c>
      <c r="O344" s="12">
        <v>1</v>
      </c>
      <c r="P344" s="116">
        <v>23400</v>
      </c>
      <c r="Q344" s="10" t="s">
        <v>36</v>
      </c>
      <c r="R344" s="4" t="s">
        <v>1281</v>
      </c>
      <c r="S344" s="4" t="s">
        <v>1279</v>
      </c>
      <c r="T344" s="4" t="s">
        <v>19</v>
      </c>
      <c r="U344" s="4" t="str">
        <f t="shared" si="21"/>
        <v>NOT AN ADD-ON</v>
      </c>
      <c r="V344" s="4" t="str">
        <f t="shared" si="20"/>
        <v>NUCLEAR POWERINDUSTRY SOLUTIONAUTHORIZEDNOT AN ADD-ON</v>
      </c>
    </row>
    <row r="345" spans="1:22" ht="27" hidden="1" thickBot="1">
      <c r="A345" s="10" t="s">
        <v>21</v>
      </c>
      <c r="B345" s="10" t="s">
        <v>22</v>
      </c>
      <c r="C345" s="10" t="s">
        <v>593</v>
      </c>
      <c r="D345" s="10" t="s">
        <v>594</v>
      </c>
      <c r="E345" s="10" t="s">
        <v>595</v>
      </c>
      <c r="F345" s="10" t="s">
        <v>596</v>
      </c>
      <c r="G345" s="116">
        <v>8260</v>
      </c>
      <c r="H345" s="163" t="s">
        <v>640</v>
      </c>
      <c r="I345" s="166" t="s">
        <v>641</v>
      </c>
      <c r="J345" s="163" t="s">
        <v>639</v>
      </c>
      <c r="K345" s="10" t="s">
        <v>40</v>
      </c>
      <c r="L345" s="10">
        <v>15</v>
      </c>
      <c r="M345" s="10">
        <f t="shared" si="22"/>
        <v>15</v>
      </c>
      <c r="N345" s="10">
        <v>15</v>
      </c>
      <c r="O345" s="12">
        <v>1</v>
      </c>
      <c r="P345" s="116">
        <v>23400</v>
      </c>
      <c r="Q345" s="10" t="s">
        <v>48</v>
      </c>
      <c r="R345" s="4" t="s">
        <v>1281</v>
      </c>
      <c r="S345" s="4" t="s">
        <v>1279</v>
      </c>
      <c r="T345" s="4" t="s">
        <v>19</v>
      </c>
      <c r="U345" s="4" t="str">
        <f t="shared" si="21"/>
        <v>NOT AN ADD-ON</v>
      </c>
      <c r="V345" s="4" t="str">
        <f t="shared" si="20"/>
        <v>NUCLEAR POWERINDUSTRY SOLUTIONAUTHORIZEDNOT AN ADD-ON</v>
      </c>
    </row>
    <row r="346" spans="1:22" ht="27" hidden="1" thickBot="1">
      <c r="A346" s="10" t="s">
        <v>21</v>
      </c>
      <c r="B346" s="10" t="s">
        <v>22</v>
      </c>
      <c r="C346" s="10" t="s">
        <v>593</v>
      </c>
      <c r="D346" s="10" t="s">
        <v>594</v>
      </c>
      <c r="E346" s="10" t="s">
        <v>595</v>
      </c>
      <c r="F346" s="10" t="s">
        <v>596</v>
      </c>
      <c r="G346" s="116">
        <v>5030</v>
      </c>
      <c r="H346" s="163" t="s">
        <v>637</v>
      </c>
      <c r="I346" s="166" t="s">
        <v>638</v>
      </c>
      <c r="J346" s="163" t="s">
        <v>639</v>
      </c>
      <c r="K346" s="10" t="s">
        <v>40</v>
      </c>
      <c r="L346" s="10">
        <v>15</v>
      </c>
      <c r="M346" s="10">
        <f t="shared" si="22"/>
        <v>15</v>
      </c>
      <c r="N346" s="10">
        <v>15</v>
      </c>
      <c r="O346" s="12">
        <v>1</v>
      </c>
      <c r="P346" s="116">
        <v>23400</v>
      </c>
      <c r="Q346" s="10" t="s">
        <v>48</v>
      </c>
      <c r="R346" s="4" t="s">
        <v>1281</v>
      </c>
      <c r="S346" s="4" t="s">
        <v>1279</v>
      </c>
      <c r="T346" s="4" t="s">
        <v>19</v>
      </c>
      <c r="U346" s="4" t="str">
        <f t="shared" si="21"/>
        <v>NOT AN ADD-ON</v>
      </c>
      <c r="V346" s="4" t="str">
        <f t="shared" si="20"/>
        <v>NUCLEAR POWERINDUSTRY SOLUTIONAUTHORIZEDNOT AN ADD-ON</v>
      </c>
    </row>
    <row r="347" spans="1:22" ht="15" hidden="1" thickBot="1">
      <c r="A347" s="10" t="s">
        <v>21</v>
      </c>
      <c r="B347" s="10" t="s">
        <v>22</v>
      </c>
      <c r="C347" s="10" t="s">
        <v>593</v>
      </c>
      <c r="D347" s="10" t="s">
        <v>594</v>
      </c>
      <c r="E347" s="10" t="s">
        <v>595</v>
      </c>
      <c r="F347" s="10" t="s">
        <v>596</v>
      </c>
      <c r="G347" s="116">
        <v>23400</v>
      </c>
      <c r="H347" s="163" t="s">
        <v>633</v>
      </c>
      <c r="I347" s="158" t="s">
        <v>634</v>
      </c>
      <c r="J347" s="163" t="s">
        <v>633</v>
      </c>
      <c r="K347" s="10" t="s">
        <v>40</v>
      </c>
      <c r="L347" s="10">
        <v>15</v>
      </c>
      <c r="M347" s="10">
        <f t="shared" si="22"/>
        <v>15</v>
      </c>
      <c r="N347" s="10">
        <v>15</v>
      </c>
      <c r="O347" s="12">
        <v>1</v>
      </c>
      <c r="P347" s="116">
        <v>23400</v>
      </c>
      <c r="Q347" s="10" t="s">
        <v>33</v>
      </c>
      <c r="R347" s="4" t="s">
        <v>1281</v>
      </c>
      <c r="S347" s="4" t="s">
        <v>1279</v>
      </c>
      <c r="T347" s="4" t="s">
        <v>19</v>
      </c>
      <c r="U347" s="4" t="str">
        <f t="shared" si="21"/>
        <v>NOT AN ADD-ON</v>
      </c>
      <c r="V347" s="4" t="str">
        <f t="shared" si="20"/>
        <v>NUCLEAR POWERINDUSTRY SOLUTIONAUTHORIZEDNOT AN ADD-ON</v>
      </c>
    </row>
    <row r="348" spans="1:22" ht="15" hidden="1" thickBot="1">
      <c r="A348" s="10" t="s">
        <v>21</v>
      </c>
      <c r="B348" s="10" t="s">
        <v>22</v>
      </c>
      <c r="C348" s="10" t="s">
        <v>593</v>
      </c>
      <c r="D348" s="10" t="s">
        <v>594</v>
      </c>
      <c r="E348" s="10" t="s">
        <v>595</v>
      </c>
      <c r="F348" s="10" t="s">
        <v>596</v>
      </c>
      <c r="G348" s="116">
        <v>14000</v>
      </c>
      <c r="H348" s="163" t="s">
        <v>635</v>
      </c>
      <c r="I348" s="158" t="s">
        <v>636</v>
      </c>
      <c r="J348" s="163" t="s">
        <v>633</v>
      </c>
      <c r="K348" s="10" t="s">
        <v>40</v>
      </c>
      <c r="L348" s="10">
        <v>15</v>
      </c>
      <c r="M348" s="10">
        <f t="shared" si="22"/>
        <v>15</v>
      </c>
      <c r="N348" s="10">
        <v>15</v>
      </c>
      <c r="O348" s="12">
        <v>1</v>
      </c>
      <c r="P348" s="116">
        <v>23400</v>
      </c>
      <c r="Q348" s="10" t="s">
        <v>36</v>
      </c>
      <c r="R348" s="4" t="s">
        <v>1281</v>
      </c>
      <c r="S348" s="4" t="s">
        <v>1279</v>
      </c>
      <c r="T348" s="4" t="s">
        <v>19</v>
      </c>
      <c r="U348" s="4" t="str">
        <f t="shared" si="21"/>
        <v>NOT AN ADD-ON</v>
      </c>
      <c r="V348" s="4" t="str">
        <f t="shared" si="20"/>
        <v>NUCLEAR POWERINDUSTRY SOLUTIONAUTHORIZEDNOT AN ADD-ON</v>
      </c>
    </row>
    <row r="349" spans="1:22" ht="27" hidden="1" thickBot="1">
      <c r="A349" s="10" t="s">
        <v>21</v>
      </c>
      <c r="B349" s="10" t="s">
        <v>22</v>
      </c>
      <c r="C349" s="10" t="s">
        <v>593</v>
      </c>
      <c r="D349" s="10" t="s">
        <v>594</v>
      </c>
      <c r="E349" s="10" t="s">
        <v>595</v>
      </c>
      <c r="F349" s="10" t="s">
        <v>596</v>
      </c>
      <c r="G349" s="116">
        <v>8260</v>
      </c>
      <c r="H349" s="163" t="s">
        <v>644</v>
      </c>
      <c r="I349" s="166" t="s">
        <v>645</v>
      </c>
      <c r="J349" s="163" t="s">
        <v>633</v>
      </c>
      <c r="K349" s="10" t="s">
        <v>40</v>
      </c>
      <c r="L349" s="10">
        <v>15</v>
      </c>
      <c r="M349" s="10">
        <f t="shared" si="22"/>
        <v>15</v>
      </c>
      <c r="N349" s="10">
        <v>15</v>
      </c>
      <c r="O349" s="12">
        <v>1</v>
      </c>
      <c r="P349" s="116">
        <v>23400</v>
      </c>
      <c r="Q349" s="10" t="s">
        <v>48</v>
      </c>
      <c r="R349" s="4" t="s">
        <v>1281</v>
      </c>
      <c r="S349" s="4" t="s">
        <v>1279</v>
      </c>
      <c r="T349" s="4" t="s">
        <v>19</v>
      </c>
      <c r="U349" s="4" t="str">
        <f t="shared" si="21"/>
        <v>NOT AN ADD-ON</v>
      </c>
      <c r="V349" s="4" t="str">
        <f t="shared" si="20"/>
        <v>NUCLEAR POWERINDUSTRY SOLUTIONAUTHORIZEDNOT AN ADD-ON</v>
      </c>
    </row>
    <row r="350" spans="1:22" ht="27" hidden="1" thickBot="1">
      <c r="A350" s="10" t="s">
        <v>21</v>
      </c>
      <c r="B350" s="10" t="s">
        <v>22</v>
      </c>
      <c r="C350" s="10" t="s">
        <v>593</v>
      </c>
      <c r="D350" s="10" t="s">
        <v>594</v>
      </c>
      <c r="E350" s="10" t="s">
        <v>595</v>
      </c>
      <c r="F350" s="10" t="s">
        <v>596</v>
      </c>
      <c r="G350" s="116">
        <v>5030</v>
      </c>
      <c r="H350" s="163" t="s">
        <v>642</v>
      </c>
      <c r="I350" s="166" t="s">
        <v>643</v>
      </c>
      <c r="J350" s="163" t="s">
        <v>633</v>
      </c>
      <c r="K350" s="10" t="s">
        <v>40</v>
      </c>
      <c r="L350" s="10">
        <v>15</v>
      </c>
      <c r="M350" s="10">
        <f t="shared" si="22"/>
        <v>15</v>
      </c>
      <c r="N350" s="10">
        <v>15</v>
      </c>
      <c r="O350" s="12">
        <v>1</v>
      </c>
      <c r="P350" s="116">
        <v>23400</v>
      </c>
      <c r="Q350" s="10" t="s">
        <v>48</v>
      </c>
      <c r="R350" s="4" t="s">
        <v>1281</v>
      </c>
      <c r="S350" s="4" t="s">
        <v>1279</v>
      </c>
      <c r="T350" s="4" t="s">
        <v>19</v>
      </c>
      <c r="U350" s="4" t="str">
        <f t="shared" si="21"/>
        <v>NOT AN ADD-ON</v>
      </c>
      <c r="V350" s="4" t="str">
        <f t="shared" si="20"/>
        <v>NUCLEAR POWERINDUSTRY SOLUTIONAUTHORIZEDNOT AN ADD-ON</v>
      </c>
    </row>
    <row r="351" spans="1:22" ht="15" hidden="1" thickBot="1">
      <c r="A351" s="10" t="s">
        <v>21</v>
      </c>
      <c r="B351" s="10" t="s">
        <v>22</v>
      </c>
      <c r="C351" s="10" t="s">
        <v>593</v>
      </c>
      <c r="D351" s="10" t="s">
        <v>594</v>
      </c>
      <c r="E351" s="10" t="s">
        <v>595</v>
      </c>
      <c r="F351" s="10" t="s">
        <v>596</v>
      </c>
      <c r="G351" s="116">
        <v>6570</v>
      </c>
      <c r="H351" s="163" t="s">
        <v>611</v>
      </c>
      <c r="I351" s="158" t="s">
        <v>616</v>
      </c>
      <c r="J351" s="163" t="s">
        <v>611</v>
      </c>
      <c r="K351" s="10" t="s">
        <v>40</v>
      </c>
      <c r="L351" s="10">
        <v>5</v>
      </c>
      <c r="M351" s="10">
        <f t="shared" si="22"/>
        <v>5</v>
      </c>
      <c r="N351" s="10">
        <v>15</v>
      </c>
      <c r="O351" s="12">
        <v>1</v>
      </c>
      <c r="P351" s="116">
        <v>6570</v>
      </c>
      <c r="Q351" s="10" t="s">
        <v>33</v>
      </c>
      <c r="R351" s="4" t="s">
        <v>1281</v>
      </c>
      <c r="S351" s="4" t="s">
        <v>1279</v>
      </c>
      <c r="T351" s="4" t="s">
        <v>19</v>
      </c>
      <c r="U351" s="4" t="s">
        <v>507</v>
      </c>
      <c r="V351" s="4" t="str">
        <f t="shared" si="20"/>
        <v>NUCLEAR POWERINDUSTRY SOLUTIONAUTHORIZEDADD-ON</v>
      </c>
    </row>
    <row r="352" spans="1:22" ht="15" hidden="1" thickBot="1">
      <c r="A352" s="10" t="s">
        <v>21</v>
      </c>
      <c r="B352" s="10" t="s">
        <v>22</v>
      </c>
      <c r="C352" s="10" t="s">
        <v>593</v>
      </c>
      <c r="D352" s="10" t="s">
        <v>594</v>
      </c>
      <c r="E352" s="10" t="s">
        <v>595</v>
      </c>
      <c r="F352" s="10" t="s">
        <v>596</v>
      </c>
      <c r="G352" s="116">
        <v>3940</v>
      </c>
      <c r="H352" s="163" t="s">
        <v>617</v>
      </c>
      <c r="I352" s="158" t="s">
        <v>618</v>
      </c>
      <c r="J352" s="163" t="s">
        <v>611</v>
      </c>
      <c r="K352" s="10" t="s">
        <v>40</v>
      </c>
      <c r="L352" s="10">
        <v>5</v>
      </c>
      <c r="M352" s="10">
        <f t="shared" si="22"/>
        <v>5</v>
      </c>
      <c r="N352" s="10">
        <v>15</v>
      </c>
      <c r="O352" s="12">
        <v>1</v>
      </c>
      <c r="P352" s="116">
        <v>6570</v>
      </c>
      <c r="Q352" s="10" t="s">
        <v>36</v>
      </c>
      <c r="R352" s="4" t="s">
        <v>1281</v>
      </c>
      <c r="S352" s="4" t="s">
        <v>1279</v>
      </c>
      <c r="T352" s="4" t="s">
        <v>19</v>
      </c>
      <c r="U352" s="4" t="s">
        <v>507</v>
      </c>
      <c r="V352" s="4" t="str">
        <f t="shared" si="20"/>
        <v>NUCLEAR POWERINDUSTRY SOLUTIONAUTHORIZEDADD-ON</v>
      </c>
    </row>
    <row r="353" spans="1:22" ht="29.25" hidden="1" customHeight="1" thickBot="1">
      <c r="A353" s="10" t="s">
        <v>21</v>
      </c>
      <c r="B353" s="10" t="s">
        <v>22</v>
      </c>
      <c r="C353" s="10" t="s">
        <v>593</v>
      </c>
      <c r="D353" s="10" t="s">
        <v>594</v>
      </c>
      <c r="E353" s="10" t="s">
        <v>595</v>
      </c>
      <c r="F353" s="10" t="s">
        <v>596</v>
      </c>
      <c r="G353" s="116">
        <v>1410</v>
      </c>
      <c r="H353" s="163" t="s">
        <v>609</v>
      </c>
      <c r="I353" s="166" t="s">
        <v>610</v>
      </c>
      <c r="J353" s="163" t="s">
        <v>611</v>
      </c>
      <c r="K353" s="10" t="s">
        <v>40</v>
      </c>
      <c r="L353" s="10">
        <v>5</v>
      </c>
      <c r="M353" s="10">
        <f t="shared" si="22"/>
        <v>5</v>
      </c>
      <c r="N353" s="10">
        <v>15</v>
      </c>
      <c r="O353" s="12">
        <v>1</v>
      </c>
      <c r="P353" s="116">
        <v>6570</v>
      </c>
      <c r="Q353" s="10" t="s">
        <v>48</v>
      </c>
      <c r="R353" s="4" t="s">
        <v>1281</v>
      </c>
      <c r="S353" s="4" t="s">
        <v>1279</v>
      </c>
      <c r="T353" s="4" t="s">
        <v>19</v>
      </c>
      <c r="U353" s="4" t="s">
        <v>507</v>
      </c>
      <c r="V353" s="4" t="str">
        <f t="shared" si="20"/>
        <v>NUCLEAR POWERINDUSTRY SOLUTIONAUTHORIZEDADD-ON</v>
      </c>
    </row>
    <row r="354" spans="1:22" ht="15" hidden="1" thickBot="1">
      <c r="A354" s="10" t="s">
        <v>21</v>
      </c>
      <c r="B354" s="10" t="s">
        <v>22</v>
      </c>
      <c r="C354" s="10" t="s">
        <v>593</v>
      </c>
      <c r="D354" s="10" t="s">
        <v>594</v>
      </c>
      <c r="E354" s="10" t="s">
        <v>595</v>
      </c>
      <c r="F354" s="10" t="s">
        <v>596</v>
      </c>
      <c r="G354" s="116">
        <v>6570</v>
      </c>
      <c r="H354" s="163" t="s">
        <v>605</v>
      </c>
      <c r="I354" s="158" t="s">
        <v>606</v>
      </c>
      <c r="J354" s="163" t="s">
        <v>605</v>
      </c>
      <c r="K354" s="10" t="s">
        <v>40</v>
      </c>
      <c r="L354" s="10">
        <v>5</v>
      </c>
      <c r="M354" s="10">
        <f t="shared" si="22"/>
        <v>5</v>
      </c>
      <c r="N354" s="10">
        <v>15</v>
      </c>
      <c r="O354" s="12">
        <v>1</v>
      </c>
      <c r="P354" s="116">
        <v>6570</v>
      </c>
      <c r="Q354" s="10" t="s">
        <v>33</v>
      </c>
      <c r="R354" s="4" t="s">
        <v>1281</v>
      </c>
      <c r="S354" s="4" t="s">
        <v>1279</v>
      </c>
      <c r="T354" s="4" t="s">
        <v>19</v>
      </c>
      <c r="U354" s="4" t="s">
        <v>507</v>
      </c>
      <c r="V354" s="4" t="str">
        <f t="shared" si="20"/>
        <v>NUCLEAR POWERINDUSTRY SOLUTIONAUTHORIZEDADD-ON</v>
      </c>
    </row>
    <row r="355" spans="1:22" ht="15" hidden="1" thickBot="1">
      <c r="A355" s="10" t="s">
        <v>21</v>
      </c>
      <c r="B355" s="10" t="s">
        <v>22</v>
      </c>
      <c r="C355" s="10" t="s">
        <v>593</v>
      </c>
      <c r="D355" s="10" t="s">
        <v>594</v>
      </c>
      <c r="E355" s="10" t="s">
        <v>595</v>
      </c>
      <c r="F355" s="10" t="s">
        <v>596</v>
      </c>
      <c r="G355" s="116">
        <v>3940</v>
      </c>
      <c r="H355" s="163" t="s">
        <v>607</v>
      </c>
      <c r="I355" s="158" t="s">
        <v>608</v>
      </c>
      <c r="J355" s="163" t="s">
        <v>605</v>
      </c>
      <c r="K355" s="10" t="s">
        <v>40</v>
      </c>
      <c r="L355" s="10">
        <v>5</v>
      </c>
      <c r="M355" s="10">
        <f t="shared" si="22"/>
        <v>5</v>
      </c>
      <c r="N355" s="10">
        <v>15</v>
      </c>
      <c r="O355" s="12">
        <v>1</v>
      </c>
      <c r="P355" s="116">
        <v>6570</v>
      </c>
      <c r="Q355" s="10" t="s">
        <v>36</v>
      </c>
      <c r="R355" s="4" t="s">
        <v>1281</v>
      </c>
      <c r="S355" s="4" t="s">
        <v>1279</v>
      </c>
      <c r="T355" s="4" t="s">
        <v>19</v>
      </c>
      <c r="U355" s="4" t="s">
        <v>507</v>
      </c>
      <c r="V355" s="4" t="str">
        <f t="shared" si="20"/>
        <v>NUCLEAR POWERINDUSTRY SOLUTIONAUTHORIZEDADD-ON</v>
      </c>
    </row>
    <row r="356" spans="1:22" ht="27" hidden="1" thickBot="1">
      <c r="A356" s="10" t="s">
        <v>21</v>
      </c>
      <c r="B356" s="10" t="s">
        <v>22</v>
      </c>
      <c r="C356" s="10" t="s">
        <v>593</v>
      </c>
      <c r="D356" s="10" t="s">
        <v>594</v>
      </c>
      <c r="E356" s="10" t="s">
        <v>595</v>
      </c>
      <c r="F356" s="10" t="s">
        <v>596</v>
      </c>
      <c r="G356" s="116">
        <v>1410</v>
      </c>
      <c r="H356" s="163" t="s">
        <v>612</v>
      </c>
      <c r="I356" s="166" t="s">
        <v>613</v>
      </c>
      <c r="J356" s="163" t="s">
        <v>605</v>
      </c>
      <c r="K356" s="10" t="s">
        <v>40</v>
      </c>
      <c r="L356" s="10">
        <v>5</v>
      </c>
      <c r="M356" s="10">
        <f t="shared" si="22"/>
        <v>5</v>
      </c>
      <c r="N356" s="10">
        <v>15</v>
      </c>
      <c r="O356" s="12">
        <v>1</v>
      </c>
      <c r="P356" s="116">
        <v>6570</v>
      </c>
      <c r="Q356" s="10" t="s">
        <v>48</v>
      </c>
      <c r="R356" s="4" t="s">
        <v>1281</v>
      </c>
      <c r="S356" s="4" t="s">
        <v>1279</v>
      </c>
      <c r="T356" s="4" t="s">
        <v>19</v>
      </c>
      <c r="U356" s="4" t="s">
        <v>507</v>
      </c>
      <c r="V356" s="4" t="str">
        <f t="shared" si="20"/>
        <v>NUCLEAR POWERINDUSTRY SOLUTIONAUTHORIZEDADD-ON</v>
      </c>
    </row>
    <row r="357" spans="1:22" ht="15" hidden="1" thickBot="1">
      <c r="A357" s="10" t="s">
        <v>21</v>
      </c>
      <c r="B357" s="10" t="s">
        <v>22</v>
      </c>
      <c r="C357" s="10" t="s">
        <v>140</v>
      </c>
      <c r="D357" s="10" t="s">
        <v>141</v>
      </c>
      <c r="E357" s="10" t="s">
        <v>142</v>
      </c>
      <c r="F357" s="10" t="s">
        <v>143</v>
      </c>
      <c r="G357" s="116">
        <v>13000</v>
      </c>
      <c r="H357" s="163" t="s">
        <v>172</v>
      </c>
      <c r="I357" s="158" t="s">
        <v>173</v>
      </c>
      <c r="J357" s="163" t="s">
        <v>154</v>
      </c>
      <c r="K357" s="10" t="s">
        <v>40</v>
      </c>
      <c r="L357" s="10">
        <v>10</v>
      </c>
      <c r="M357" s="10">
        <f t="shared" si="22"/>
        <v>10</v>
      </c>
      <c r="N357" s="10">
        <v>10</v>
      </c>
      <c r="O357" s="12">
        <v>1</v>
      </c>
      <c r="P357" s="116">
        <v>19400</v>
      </c>
      <c r="Q357" s="10" t="s">
        <v>48</v>
      </c>
      <c r="R357" s="4" t="s">
        <v>1278</v>
      </c>
      <c r="S357" s="4" t="s">
        <v>1278</v>
      </c>
      <c r="T357" s="4" t="s">
        <v>19</v>
      </c>
      <c r="U357" s="4" t="str">
        <f t="shared" ref="U357:U410" si="23">IF(ISNUMBER(SEARCH("ADD-ON",$I357)),"ADD-ON","NOT AN ADD-ON")</f>
        <v>NOT AN ADD-ON</v>
      </c>
      <c r="V357" s="4" t="str">
        <f t="shared" si="20"/>
        <v>ASSET MANAGEMENT (CORE)ASSET MANAGEMENT (CORE)AUTHORIZEDNOT AN ADD-ON</v>
      </c>
    </row>
    <row r="358" spans="1:22" ht="15" hidden="1" thickBot="1">
      <c r="A358" s="10" t="s">
        <v>21</v>
      </c>
      <c r="B358" s="10" t="s">
        <v>22</v>
      </c>
      <c r="C358" s="10" t="s">
        <v>140</v>
      </c>
      <c r="D358" s="10" t="s">
        <v>141</v>
      </c>
      <c r="E358" s="10" t="s">
        <v>142</v>
      </c>
      <c r="F358" s="10" t="s">
        <v>143</v>
      </c>
      <c r="G358" s="116">
        <v>13000</v>
      </c>
      <c r="H358" s="163" t="s">
        <v>158</v>
      </c>
      <c r="I358" s="158" t="s">
        <v>159</v>
      </c>
      <c r="J358" s="163" t="s">
        <v>160</v>
      </c>
      <c r="K358" s="10" t="s">
        <v>40</v>
      </c>
      <c r="L358" s="10">
        <v>10</v>
      </c>
      <c r="M358" s="10">
        <f t="shared" si="22"/>
        <v>10</v>
      </c>
      <c r="N358" s="10">
        <v>10</v>
      </c>
      <c r="O358" s="12">
        <v>1</v>
      </c>
      <c r="P358" s="116">
        <v>19400</v>
      </c>
      <c r="Q358" s="10" t="s">
        <v>48</v>
      </c>
      <c r="R358" s="4" t="s">
        <v>1278</v>
      </c>
      <c r="S358" s="4" t="s">
        <v>1278</v>
      </c>
      <c r="T358" s="4" t="s">
        <v>19</v>
      </c>
      <c r="U358" s="4" t="str">
        <f t="shared" si="23"/>
        <v>NOT AN ADD-ON</v>
      </c>
      <c r="V358" s="4" t="str">
        <f t="shared" si="20"/>
        <v>ASSET MANAGEMENT (CORE)ASSET MANAGEMENT (CORE)AUTHORIZEDNOT AN ADD-ON</v>
      </c>
    </row>
    <row r="359" spans="1:22" ht="15" hidden="1" thickBot="1">
      <c r="A359" s="10" t="s">
        <v>21</v>
      </c>
      <c r="B359" s="10" t="s">
        <v>22</v>
      </c>
      <c r="C359" s="10" t="s">
        <v>338</v>
      </c>
      <c r="D359" s="10" t="s">
        <v>141</v>
      </c>
      <c r="E359" s="10" t="s">
        <v>142</v>
      </c>
      <c r="F359" s="10" t="s">
        <v>339</v>
      </c>
      <c r="G359" s="116">
        <v>4020</v>
      </c>
      <c r="H359" s="163" t="s">
        <v>342</v>
      </c>
      <c r="I359" s="158" t="s">
        <v>343</v>
      </c>
      <c r="J359" s="163" t="s">
        <v>342</v>
      </c>
      <c r="K359" s="10" t="s">
        <v>30</v>
      </c>
      <c r="L359" s="10">
        <v>0</v>
      </c>
      <c r="M359" s="10">
        <f t="shared" si="22"/>
        <v>0</v>
      </c>
      <c r="N359" s="10">
        <v>10</v>
      </c>
      <c r="O359" s="12">
        <v>3.3333333333333335</v>
      </c>
      <c r="P359" s="116">
        <v>4020</v>
      </c>
      <c r="Q359" s="10" t="s">
        <v>33</v>
      </c>
      <c r="R359" s="4" t="s">
        <v>1286</v>
      </c>
      <c r="S359" s="4" t="s">
        <v>507</v>
      </c>
      <c r="T359" s="4" t="s">
        <v>19</v>
      </c>
      <c r="U359" s="4" t="str">
        <f t="shared" si="23"/>
        <v>NOT AN ADD-ON</v>
      </c>
      <c r="V359" s="4" t="str">
        <f t="shared" si="20"/>
        <v>SCHEDULER PLUSADD-ONAUTHORIZEDNOT AN ADD-ON</v>
      </c>
    </row>
    <row r="360" spans="1:22" ht="15" hidden="1" thickBot="1">
      <c r="A360" s="10" t="s">
        <v>21</v>
      </c>
      <c r="B360" s="10" t="s">
        <v>22</v>
      </c>
      <c r="C360" s="10" t="s">
        <v>338</v>
      </c>
      <c r="D360" s="10" t="s">
        <v>141</v>
      </c>
      <c r="E360" s="10" t="s">
        <v>142</v>
      </c>
      <c r="F360" s="10" t="s">
        <v>339</v>
      </c>
      <c r="G360" s="116">
        <v>2420</v>
      </c>
      <c r="H360" s="163" t="s">
        <v>344</v>
      </c>
      <c r="I360" s="158" t="s">
        <v>345</v>
      </c>
      <c r="J360" s="163" t="s">
        <v>342</v>
      </c>
      <c r="K360" s="10" t="s">
        <v>30</v>
      </c>
      <c r="L360" s="10">
        <v>0</v>
      </c>
      <c r="M360" s="10">
        <f t="shared" si="22"/>
        <v>0</v>
      </c>
      <c r="N360" s="10">
        <v>10</v>
      </c>
      <c r="O360" s="12">
        <v>3.3333333333333335</v>
      </c>
      <c r="P360" s="116">
        <v>4020</v>
      </c>
      <c r="Q360" s="10" t="s">
        <v>36</v>
      </c>
      <c r="R360" s="4" t="s">
        <v>1286</v>
      </c>
      <c r="S360" s="4" t="s">
        <v>507</v>
      </c>
      <c r="T360" s="4" t="s">
        <v>19</v>
      </c>
      <c r="U360" s="4" t="str">
        <f t="shared" si="23"/>
        <v>NOT AN ADD-ON</v>
      </c>
      <c r="V360" s="4" t="str">
        <f t="shared" si="20"/>
        <v>SCHEDULER PLUSADD-ONAUTHORIZEDNOT AN ADD-ON</v>
      </c>
    </row>
    <row r="361" spans="1:22" ht="27" hidden="1" thickBot="1">
      <c r="A361" s="10" t="s">
        <v>21</v>
      </c>
      <c r="B361" s="10" t="s">
        <v>22</v>
      </c>
      <c r="C361" s="10" t="s">
        <v>338</v>
      </c>
      <c r="D361" s="10" t="s">
        <v>141</v>
      </c>
      <c r="E361" s="10" t="s">
        <v>142</v>
      </c>
      <c r="F361" s="10" t="s">
        <v>339</v>
      </c>
      <c r="G361" s="116">
        <v>2660</v>
      </c>
      <c r="H361" s="163" t="s">
        <v>354</v>
      </c>
      <c r="I361" s="166" t="s">
        <v>355</v>
      </c>
      <c r="J361" s="163" t="s">
        <v>342</v>
      </c>
      <c r="K361" s="10" t="s">
        <v>30</v>
      </c>
      <c r="L361" s="10">
        <v>0</v>
      </c>
      <c r="M361" s="10">
        <f t="shared" si="22"/>
        <v>0</v>
      </c>
      <c r="N361" s="10">
        <v>10</v>
      </c>
      <c r="O361" s="12">
        <v>3.3333333333333335</v>
      </c>
      <c r="P361" s="116">
        <v>4020</v>
      </c>
      <c r="Q361" s="10" t="s">
        <v>48</v>
      </c>
      <c r="R361" s="4" t="s">
        <v>1286</v>
      </c>
      <c r="S361" s="4" t="s">
        <v>507</v>
      </c>
      <c r="T361" s="4" t="s">
        <v>19</v>
      </c>
      <c r="U361" s="4" t="str">
        <f t="shared" si="23"/>
        <v>NOT AN ADD-ON</v>
      </c>
      <c r="V361" s="4" t="str">
        <f t="shared" si="20"/>
        <v>SCHEDULER PLUSADD-ONAUTHORIZEDNOT AN ADD-ON</v>
      </c>
    </row>
    <row r="362" spans="1:22" ht="15" hidden="1" thickBot="1">
      <c r="A362" s="10" t="s">
        <v>21</v>
      </c>
      <c r="B362" s="10" t="s">
        <v>22</v>
      </c>
      <c r="C362" s="10" t="s">
        <v>338</v>
      </c>
      <c r="D362" s="10" t="s">
        <v>141</v>
      </c>
      <c r="E362" s="10" t="s">
        <v>142</v>
      </c>
      <c r="F362" s="10" t="s">
        <v>339</v>
      </c>
      <c r="G362" s="116">
        <v>11900</v>
      </c>
      <c r="H362" s="163" t="s">
        <v>358</v>
      </c>
      <c r="I362" s="158" t="s">
        <v>359</v>
      </c>
      <c r="J362" s="163" t="s">
        <v>358</v>
      </c>
      <c r="K362" s="10" t="s">
        <v>40</v>
      </c>
      <c r="L362" s="10">
        <v>0</v>
      </c>
      <c r="M362" s="10">
        <f t="shared" si="22"/>
        <v>0</v>
      </c>
      <c r="N362" s="10">
        <v>10</v>
      </c>
      <c r="O362" s="12">
        <v>1</v>
      </c>
      <c r="P362" s="116">
        <v>11900</v>
      </c>
      <c r="Q362" s="10" t="s">
        <v>33</v>
      </c>
      <c r="R362" s="4" t="s">
        <v>1286</v>
      </c>
      <c r="S362" s="4" t="s">
        <v>507</v>
      </c>
      <c r="T362" s="4" t="s">
        <v>19</v>
      </c>
      <c r="U362" s="4" t="str">
        <f t="shared" si="23"/>
        <v>NOT AN ADD-ON</v>
      </c>
      <c r="V362" s="4" t="str">
        <f t="shared" si="20"/>
        <v>SCHEDULER PLUSADD-ONAUTHORIZEDNOT AN ADD-ON</v>
      </c>
    </row>
    <row r="363" spans="1:22" ht="15" hidden="1" thickBot="1">
      <c r="A363" s="10" t="s">
        <v>21</v>
      </c>
      <c r="B363" s="10" t="s">
        <v>22</v>
      </c>
      <c r="C363" s="10" t="s">
        <v>338</v>
      </c>
      <c r="D363" s="10" t="s">
        <v>141</v>
      </c>
      <c r="E363" s="10" t="s">
        <v>142</v>
      </c>
      <c r="F363" s="10" t="s">
        <v>339</v>
      </c>
      <c r="G363" s="116">
        <v>7230</v>
      </c>
      <c r="H363" s="163" t="s">
        <v>360</v>
      </c>
      <c r="I363" s="158" t="s">
        <v>361</v>
      </c>
      <c r="J363" s="163" t="s">
        <v>358</v>
      </c>
      <c r="K363" s="10" t="s">
        <v>40</v>
      </c>
      <c r="L363" s="10">
        <v>0</v>
      </c>
      <c r="M363" s="10">
        <f t="shared" si="22"/>
        <v>0</v>
      </c>
      <c r="N363" s="10">
        <v>10</v>
      </c>
      <c r="O363" s="12">
        <v>1</v>
      </c>
      <c r="P363" s="116">
        <v>11900</v>
      </c>
      <c r="Q363" s="10" t="s">
        <v>36</v>
      </c>
      <c r="R363" s="4" t="s">
        <v>1286</v>
      </c>
      <c r="S363" s="4" t="s">
        <v>507</v>
      </c>
      <c r="T363" s="4" t="s">
        <v>19</v>
      </c>
      <c r="U363" s="4" t="str">
        <f t="shared" si="23"/>
        <v>NOT AN ADD-ON</v>
      </c>
      <c r="V363" s="4" t="str">
        <f t="shared" si="20"/>
        <v>SCHEDULER PLUSADD-ONAUTHORIZEDNOT AN ADD-ON</v>
      </c>
    </row>
    <row r="364" spans="1:22" ht="27" hidden="1" thickBot="1">
      <c r="A364" s="10" t="s">
        <v>21</v>
      </c>
      <c r="B364" s="10" t="s">
        <v>22</v>
      </c>
      <c r="C364" s="10" t="s">
        <v>338</v>
      </c>
      <c r="D364" s="10" t="s">
        <v>141</v>
      </c>
      <c r="E364" s="10" t="s">
        <v>142</v>
      </c>
      <c r="F364" s="10" t="s">
        <v>339</v>
      </c>
      <c r="G364" s="116">
        <v>7870</v>
      </c>
      <c r="H364" s="163" t="s">
        <v>370</v>
      </c>
      <c r="I364" s="166" t="s">
        <v>371</v>
      </c>
      <c r="J364" s="163" t="s">
        <v>358</v>
      </c>
      <c r="K364" s="10" t="s">
        <v>40</v>
      </c>
      <c r="L364" s="10">
        <v>0</v>
      </c>
      <c r="M364" s="10">
        <f t="shared" si="22"/>
        <v>0</v>
      </c>
      <c r="N364" s="10">
        <v>10</v>
      </c>
      <c r="O364" s="12">
        <v>1</v>
      </c>
      <c r="P364" s="116">
        <v>11900</v>
      </c>
      <c r="Q364" s="10" t="s">
        <v>48</v>
      </c>
      <c r="R364" s="4" t="s">
        <v>1286</v>
      </c>
      <c r="S364" s="4" t="s">
        <v>507</v>
      </c>
      <c r="T364" s="4" t="s">
        <v>19</v>
      </c>
      <c r="U364" s="4" t="str">
        <f t="shared" si="23"/>
        <v>NOT AN ADD-ON</v>
      </c>
      <c r="V364" s="4" t="str">
        <f t="shared" si="20"/>
        <v>SCHEDULER PLUSADD-ONAUTHORIZEDNOT AN ADD-ON</v>
      </c>
    </row>
    <row r="365" spans="1:22" ht="15" hidden="1" thickBot="1">
      <c r="A365" s="10" t="s">
        <v>21</v>
      </c>
      <c r="B365" s="10" t="s">
        <v>22</v>
      </c>
      <c r="C365" s="10" t="s">
        <v>338</v>
      </c>
      <c r="D365" s="10" t="s">
        <v>141</v>
      </c>
      <c r="E365" s="10" t="s">
        <v>142</v>
      </c>
      <c r="F365" s="10" t="s">
        <v>339</v>
      </c>
      <c r="G365" s="116">
        <v>4020</v>
      </c>
      <c r="H365" s="163" t="s">
        <v>348</v>
      </c>
      <c r="I365" s="158" t="s">
        <v>349</v>
      </c>
      <c r="J365" s="163" t="s">
        <v>348</v>
      </c>
      <c r="K365" s="10" t="s">
        <v>30</v>
      </c>
      <c r="L365" s="10">
        <v>0</v>
      </c>
      <c r="M365" s="10">
        <f t="shared" si="22"/>
        <v>0</v>
      </c>
      <c r="N365" s="10">
        <v>10</v>
      </c>
      <c r="O365" s="12">
        <v>3.3333333333333335</v>
      </c>
      <c r="P365" s="116">
        <v>4020</v>
      </c>
      <c r="Q365" s="10" t="s">
        <v>33</v>
      </c>
      <c r="R365" s="4" t="s">
        <v>1286</v>
      </c>
      <c r="S365" s="4" t="s">
        <v>507</v>
      </c>
      <c r="T365" s="4" t="s">
        <v>19</v>
      </c>
      <c r="U365" s="4" t="str">
        <f t="shared" si="23"/>
        <v>NOT AN ADD-ON</v>
      </c>
      <c r="V365" s="4" t="str">
        <f t="shared" si="20"/>
        <v>SCHEDULER PLUSADD-ONAUTHORIZEDNOT AN ADD-ON</v>
      </c>
    </row>
    <row r="366" spans="1:22" ht="15" hidden="1" thickBot="1">
      <c r="A366" s="10" t="s">
        <v>21</v>
      </c>
      <c r="B366" s="10" t="s">
        <v>22</v>
      </c>
      <c r="C366" s="10" t="s">
        <v>338</v>
      </c>
      <c r="D366" s="10" t="s">
        <v>141</v>
      </c>
      <c r="E366" s="10" t="s">
        <v>142</v>
      </c>
      <c r="F366" s="10" t="s">
        <v>339</v>
      </c>
      <c r="G366" s="116">
        <v>2420</v>
      </c>
      <c r="H366" s="163" t="s">
        <v>350</v>
      </c>
      <c r="I366" s="158" t="s">
        <v>351</v>
      </c>
      <c r="J366" s="163" t="s">
        <v>348</v>
      </c>
      <c r="K366" s="10" t="s">
        <v>30</v>
      </c>
      <c r="L366" s="10">
        <v>0</v>
      </c>
      <c r="M366" s="10">
        <f t="shared" si="22"/>
        <v>0</v>
      </c>
      <c r="N366" s="10">
        <v>10</v>
      </c>
      <c r="O366" s="12">
        <v>3.3333333333333335</v>
      </c>
      <c r="P366" s="116">
        <v>4020</v>
      </c>
      <c r="Q366" s="10" t="s">
        <v>36</v>
      </c>
      <c r="R366" s="4" t="s">
        <v>1286</v>
      </c>
      <c r="S366" s="4" t="s">
        <v>507</v>
      </c>
      <c r="T366" s="4" t="s">
        <v>19</v>
      </c>
      <c r="U366" s="4" t="str">
        <f t="shared" si="23"/>
        <v>NOT AN ADD-ON</v>
      </c>
      <c r="V366" s="4" t="str">
        <f t="shared" si="20"/>
        <v>SCHEDULER PLUSADD-ONAUTHORIZEDNOT AN ADD-ON</v>
      </c>
    </row>
    <row r="367" spans="1:22" ht="27" hidden="1" thickBot="1">
      <c r="A367" s="10" t="s">
        <v>21</v>
      </c>
      <c r="B367" s="10" t="s">
        <v>22</v>
      </c>
      <c r="C367" s="10" t="s">
        <v>338</v>
      </c>
      <c r="D367" s="10" t="s">
        <v>141</v>
      </c>
      <c r="E367" s="10" t="s">
        <v>142</v>
      </c>
      <c r="F367" s="10" t="s">
        <v>339</v>
      </c>
      <c r="G367" s="116">
        <v>2660</v>
      </c>
      <c r="H367" s="163" t="s">
        <v>352</v>
      </c>
      <c r="I367" s="166" t="s">
        <v>353</v>
      </c>
      <c r="J367" s="163" t="s">
        <v>348</v>
      </c>
      <c r="K367" s="10" t="s">
        <v>30</v>
      </c>
      <c r="L367" s="10">
        <v>0</v>
      </c>
      <c r="M367" s="10">
        <f t="shared" si="22"/>
        <v>0</v>
      </c>
      <c r="N367" s="10">
        <v>10</v>
      </c>
      <c r="O367" s="12">
        <v>3.3333333333333335</v>
      </c>
      <c r="P367" s="116">
        <v>4020</v>
      </c>
      <c r="Q367" s="10" t="s">
        <v>48</v>
      </c>
      <c r="R367" s="4" t="s">
        <v>1286</v>
      </c>
      <c r="S367" s="4" t="s">
        <v>507</v>
      </c>
      <c r="T367" s="4" t="s">
        <v>19</v>
      </c>
      <c r="U367" s="4" t="str">
        <f t="shared" si="23"/>
        <v>NOT AN ADD-ON</v>
      </c>
      <c r="V367" s="4" t="str">
        <f t="shared" si="20"/>
        <v>SCHEDULER PLUSADD-ONAUTHORIZEDNOT AN ADD-ON</v>
      </c>
    </row>
    <row r="368" spans="1:22" ht="29.25" hidden="1" customHeight="1" thickBot="1">
      <c r="A368" s="10" t="s">
        <v>21</v>
      </c>
      <c r="B368" s="10" t="s">
        <v>22</v>
      </c>
      <c r="C368" s="10" t="s">
        <v>338</v>
      </c>
      <c r="D368" s="10" t="s">
        <v>141</v>
      </c>
      <c r="E368" s="10" t="s">
        <v>142</v>
      </c>
      <c r="F368" s="10" t="s">
        <v>339</v>
      </c>
      <c r="G368" s="116">
        <v>11900</v>
      </c>
      <c r="H368" s="163" t="s">
        <v>364</v>
      </c>
      <c r="I368" s="158" t="s">
        <v>365</v>
      </c>
      <c r="J368" s="163" t="s">
        <v>364</v>
      </c>
      <c r="K368" s="10" t="s">
        <v>40</v>
      </c>
      <c r="L368" s="10">
        <v>0</v>
      </c>
      <c r="M368" s="10">
        <f t="shared" si="22"/>
        <v>0</v>
      </c>
      <c r="N368" s="10">
        <v>10</v>
      </c>
      <c r="O368" s="12">
        <v>1</v>
      </c>
      <c r="P368" s="116">
        <v>11900</v>
      </c>
      <c r="Q368" s="10" t="s">
        <v>33</v>
      </c>
      <c r="R368" s="4" t="s">
        <v>1286</v>
      </c>
      <c r="S368" s="4" t="s">
        <v>507</v>
      </c>
      <c r="T368" s="4" t="s">
        <v>19</v>
      </c>
      <c r="U368" s="4" t="str">
        <f t="shared" si="23"/>
        <v>NOT AN ADD-ON</v>
      </c>
      <c r="V368" s="4" t="str">
        <f t="shared" si="20"/>
        <v>SCHEDULER PLUSADD-ONAUTHORIZEDNOT AN ADD-ON</v>
      </c>
    </row>
    <row r="369" spans="1:22" ht="15" hidden="1" thickBot="1">
      <c r="A369" s="10" t="s">
        <v>21</v>
      </c>
      <c r="B369" s="10" t="s">
        <v>22</v>
      </c>
      <c r="C369" s="10" t="s">
        <v>338</v>
      </c>
      <c r="D369" s="10" t="s">
        <v>141</v>
      </c>
      <c r="E369" s="10" t="s">
        <v>142</v>
      </c>
      <c r="F369" s="10" t="s">
        <v>339</v>
      </c>
      <c r="G369" s="116">
        <v>7230</v>
      </c>
      <c r="H369" s="163" t="s">
        <v>366</v>
      </c>
      <c r="I369" s="158" t="s">
        <v>367</v>
      </c>
      <c r="J369" s="163" t="s">
        <v>364</v>
      </c>
      <c r="K369" s="10" t="s">
        <v>40</v>
      </c>
      <c r="L369" s="10">
        <v>0</v>
      </c>
      <c r="M369" s="10">
        <f t="shared" si="22"/>
        <v>0</v>
      </c>
      <c r="N369" s="10">
        <v>10</v>
      </c>
      <c r="O369" s="12">
        <v>1</v>
      </c>
      <c r="P369" s="116">
        <v>11900</v>
      </c>
      <c r="Q369" s="10" t="s">
        <v>36</v>
      </c>
      <c r="R369" s="4" t="s">
        <v>1286</v>
      </c>
      <c r="S369" s="4" t="s">
        <v>507</v>
      </c>
      <c r="T369" s="4" t="s">
        <v>19</v>
      </c>
      <c r="U369" s="4" t="str">
        <f t="shared" si="23"/>
        <v>NOT AN ADD-ON</v>
      </c>
      <c r="V369" s="4" t="str">
        <f t="shared" si="20"/>
        <v>SCHEDULER PLUSADD-ONAUTHORIZEDNOT AN ADD-ON</v>
      </c>
    </row>
    <row r="370" spans="1:22" ht="27" hidden="1" thickBot="1">
      <c r="A370" s="10" t="s">
        <v>21</v>
      </c>
      <c r="B370" s="10" t="s">
        <v>22</v>
      </c>
      <c r="C370" s="10" t="s">
        <v>338</v>
      </c>
      <c r="D370" s="10" t="s">
        <v>141</v>
      </c>
      <c r="E370" s="10" t="s">
        <v>142</v>
      </c>
      <c r="F370" s="10" t="s">
        <v>339</v>
      </c>
      <c r="G370" s="116">
        <v>7870</v>
      </c>
      <c r="H370" s="163" t="s">
        <v>368</v>
      </c>
      <c r="I370" s="166" t="s">
        <v>369</v>
      </c>
      <c r="J370" s="163" t="s">
        <v>364</v>
      </c>
      <c r="K370" s="10" t="s">
        <v>40</v>
      </c>
      <c r="L370" s="10">
        <v>0</v>
      </c>
      <c r="M370" s="10">
        <f t="shared" si="22"/>
        <v>0</v>
      </c>
      <c r="N370" s="10">
        <v>10</v>
      </c>
      <c r="O370" s="12">
        <v>1</v>
      </c>
      <c r="P370" s="116">
        <v>11900</v>
      </c>
      <c r="Q370" s="10" t="s">
        <v>48</v>
      </c>
      <c r="R370" s="4" t="s">
        <v>1286</v>
      </c>
      <c r="S370" s="4" t="s">
        <v>507</v>
      </c>
      <c r="T370" s="4" t="s">
        <v>19</v>
      </c>
      <c r="U370" s="4" t="str">
        <f t="shared" si="23"/>
        <v>NOT AN ADD-ON</v>
      </c>
      <c r="V370" s="4" t="str">
        <f t="shared" si="20"/>
        <v>SCHEDULER PLUSADD-ONAUTHORIZEDNOT AN ADD-ON</v>
      </c>
    </row>
    <row r="371" spans="1:22" ht="15" hidden="1" thickBot="1">
      <c r="A371" s="10" t="s">
        <v>21</v>
      </c>
      <c r="B371" s="10" t="s">
        <v>22</v>
      </c>
      <c r="C371" s="10" t="s">
        <v>338</v>
      </c>
      <c r="D371" s="10" t="s">
        <v>141</v>
      </c>
      <c r="E371" s="10" t="s">
        <v>142</v>
      </c>
      <c r="F371" s="10" t="s">
        <v>339</v>
      </c>
      <c r="G371" s="116">
        <v>820</v>
      </c>
      <c r="H371" s="163" t="s">
        <v>964</v>
      </c>
      <c r="I371" s="158" t="s">
        <v>965</v>
      </c>
      <c r="J371" s="163" t="s">
        <v>964</v>
      </c>
      <c r="K371" s="10" t="s">
        <v>30</v>
      </c>
      <c r="L371" s="10">
        <v>0</v>
      </c>
      <c r="M371" s="10">
        <f t="shared" si="22"/>
        <v>0</v>
      </c>
      <c r="N371" s="10">
        <v>10</v>
      </c>
      <c r="O371" s="12">
        <v>3.3333333333333335</v>
      </c>
      <c r="P371" s="116">
        <v>820</v>
      </c>
      <c r="Q371" s="10" t="s">
        <v>33</v>
      </c>
      <c r="R371" s="4" t="s">
        <v>1287</v>
      </c>
      <c r="S371" s="4" t="s">
        <v>507</v>
      </c>
      <c r="T371" s="4" t="s">
        <v>19</v>
      </c>
      <c r="U371" s="4" t="str">
        <f t="shared" si="23"/>
        <v>NOT AN ADD-ON</v>
      </c>
      <c r="V371" s="4" t="str">
        <f t="shared" si="20"/>
        <v>GRAPHICAL APPOINTMENT BOOKADD-ONAUTHORIZEDNOT AN ADD-ON</v>
      </c>
    </row>
    <row r="372" spans="1:22" ht="15" hidden="1" thickBot="1">
      <c r="A372" s="10" t="s">
        <v>21</v>
      </c>
      <c r="B372" s="10" t="s">
        <v>22</v>
      </c>
      <c r="C372" s="10" t="s">
        <v>338</v>
      </c>
      <c r="D372" s="10" t="s">
        <v>141</v>
      </c>
      <c r="E372" s="10" t="s">
        <v>142</v>
      </c>
      <c r="F372" s="10" t="s">
        <v>339</v>
      </c>
      <c r="G372" s="116">
        <v>492</v>
      </c>
      <c r="H372" s="163" t="s">
        <v>966</v>
      </c>
      <c r="I372" s="158" t="s">
        <v>967</v>
      </c>
      <c r="J372" s="163" t="s">
        <v>964</v>
      </c>
      <c r="K372" s="10" t="s">
        <v>30</v>
      </c>
      <c r="L372" s="10">
        <v>0</v>
      </c>
      <c r="M372" s="10">
        <f t="shared" si="22"/>
        <v>0</v>
      </c>
      <c r="N372" s="10">
        <v>10</v>
      </c>
      <c r="O372" s="12">
        <v>3.3333333333333335</v>
      </c>
      <c r="P372" s="116">
        <v>820</v>
      </c>
      <c r="Q372" s="10" t="s">
        <v>36</v>
      </c>
      <c r="R372" s="4" t="s">
        <v>1287</v>
      </c>
      <c r="S372" s="4" t="s">
        <v>507</v>
      </c>
      <c r="T372" s="4" t="s">
        <v>19</v>
      </c>
      <c r="U372" s="4" t="str">
        <f t="shared" si="23"/>
        <v>NOT AN ADD-ON</v>
      </c>
      <c r="V372" s="4" t="str">
        <f t="shared" si="20"/>
        <v>GRAPHICAL APPOINTMENT BOOKADD-ONAUTHORIZEDNOT AN ADD-ON</v>
      </c>
    </row>
    <row r="373" spans="1:22" ht="15" hidden="1" thickBot="1">
      <c r="A373" s="10" t="s">
        <v>21</v>
      </c>
      <c r="B373" s="10" t="s">
        <v>22</v>
      </c>
      <c r="C373" s="10" t="s">
        <v>338</v>
      </c>
      <c r="D373" s="10" t="s">
        <v>141</v>
      </c>
      <c r="E373" s="10" t="s">
        <v>142</v>
      </c>
      <c r="F373" s="10" t="s">
        <v>339</v>
      </c>
      <c r="G373" s="116">
        <v>2460</v>
      </c>
      <c r="H373" s="163" t="s">
        <v>976</v>
      </c>
      <c r="I373" s="158" t="s">
        <v>977</v>
      </c>
      <c r="J373" s="163" t="s">
        <v>976</v>
      </c>
      <c r="K373" s="10" t="s">
        <v>40</v>
      </c>
      <c r="L373" s="10">
        <v>0</v>
      </c>
      <c r="M373" s="10">
        <f t="shared" si="22"/>
        <v>0</v>
      </c>
      <c r="N373" s="15">
        <v>10</v>
      </c>
      <c r="O373" s="16">
        <v>1</v>
      </c>
      <c r="P373" s="116">
        <v>2460</v>
      </c>
      <c r="Q373" s="10" t="s">
        <v>33</v>
      </c>
      <c r="R373" s="4" t="s">
        <v>1287</v>
      </c>
      <c r="S373" s="4" t="s">
        <v>507</v>
      </c>
      <c r="T373" s="4" t="s">
        <v>19</v>
      </c>
      <c r="U373" s="4" t="str">
        <f t="shared" si="23"/>
        <v>NOT AN ADD-ON</v>
      </c>
      <c r="V373" s="4" t="str">
        <f t="shared" si="20"/>
        <v>GRAPHICAL APPOINTMENT BOOKADD-ONAUTHORIZEDNOT AN ADD-ON</v>
      </c>
    </row>
    <row r="374" spans="1:22" ht="15" hidden="1" thickBot="1">
      <c r="A374" s="10" t="s">
        <v>21</v>
      </c>
      <c r="B374" s="10" t="s">
        <v>22</v>
      </c>
      <c r="C374" s="10" t="s">
        <v>338</v>
      </c>
      <c r="D374" s="10" t="s">
        <v>141</v>
      </c>
      <c r="E374" s="10" t="s">
        <v>142</v>
      </c>
      <c r="F374" s="10" t="s">
        <v>339</v>
      </c>
      <c r="G374" s="116">
        <v>1470</v>
      </c>
      <c r="H374" s="163" t="s">
        <v>978</v>
      </c>
      <c r="I374" s="158" t="s">
        <v>979</v>
      </c>
      <c r="J374" s="163" t="s">
        <v>976</v>
      </c>
      <c r="K374" s="10" t="s">
        <v>40</v>
      </c>
      <c r="L374" s="10">
        <v>0</v>
      </c>
      <c r="M374" s="10">
        <f t="shared" si="22"/>
        <v>0</v>
      </c>
      <c r="N374" s="15">
        <v>10</v>
      </c>
      <c r="O374" s="16">
        <v>1</v>
      </c>
      <c r="P374" s="116">
        <v>2460</v>
      </c>
      <c r="Q374" s="10" t="s">
        <v>36</v>
      </c>
      <c r="R374" s="4" t="s">
        <v>1287</v>
      </c>
      <c r="S374" s="4" t="s">
        <v>507</v>
      </c>
      <c r="T374" s="4" t="s">
        <v>19</v>
      </c>
      <c r="U374" s="4" t="str">
        <f t="shared" si="23"/>
        <v>NOT AN ADD-ON</v>
      </c>
      <c r="V374" s="4" t="str">
        <f t="shared" si="20"/>
        <v>GRAPHICAL APPOINTMENT BOOKADD-ONAUTHORIZEDNOT AN ADD-ON</v>
      </c>
    </row>
    <row r="375" spans="1:22" ht="27" hidden="1" thickBot="1">
      <c r="A375" s="10" t="s">
        <v>21</v>
      </c>
      <c r="B375" s="10" t="s">
        <v>22</v>
      </c>
      <c r="C375" s="10" t="s">
        <v>338</v>
      </c>
      <c r="D375" s="10" t="s">
        <v>141</v>
      </c>
      <c r="E375" s="10" t="s">
        <v>142</v>
      </c>
      <c r="F375" s="10" t="s">
        <v>339</v>
      </c>
      <c r="G375" s="116">
        <v>820</v>
      </c>
      <c r="H375" s="163" t="s">
        <v>970</v>
      </c>
      <c r="I375" s="166" t="s">
        <v>971</v>
      </c>
      <c r="J375" s="163" t="s">
        <v>970</v>
      </c>
      <c r="K375" s="10" t="s">
        <v>30</v>
      </c>
      <c r="L375" s="10">
        <v>0</v>
      </c>
      <c r="M375" s="10">
        <f t="shared" si="22"/>
        <v>0</v>
      </c>
      <c r="N375" s="10">
        <v>10</v>
      </c>
      <c r="O375" s="12">
        <v>3.3333333333333335</v>
      </c>
      <c r="P375" s="116">
        <v>820</v>
      </c>
      <c r="Q375" s="10" t="s">
        <v>33</v>
      </c>
      <c r="R375" s="4" t="s">
        <v>1287</v>
      </c>
      <c r="S375" s="4" t="s">
        <v>507</v>
      </c>
      <c r="T375" s="4" t="s">
        <v>19</v>
      </c>
      <c r="U375" s="4" t="str">
        <f t="shared" si="23"/>
        <v>NOT AN ADD-ON</v>
      </c>
      <c r="V375" s="4" t="str">
        <f t="shared" si="20"/>
        <v>GRAPHICAL APPOINTMENT BOOKADD-ONAUTHORIZEDNOT AN ADD-ON</v>
      </c>
    </row>
    <row r="376" spans="1:22" ht="27" hidden="1" thickBot="1">
      <c r="A376" s="10" t="s">
        <v>21</v>
      </c>
      <c r="B376" s="10" t="s">
        <v>22</v>
      </c>
      <c r="C376" s="10" t="s">
        <v>338</v>
      </c>
      <c r="D376" s="10" t="s">
        <v>141</v>
      </c>
      <c r="E376" s="10" t="s">
        <v>142</v>
      </c>
      <c r="F376" s="10" t="s">
        <v>339</v>
      </c>
      <c r="G376" s="116">
        <v>492</v>
      </c>
      <c r="H376" s="163" t="s">
        <v>972</v>
      </c>
      <c r="I376" s="166" t="s">
        <v>973</v>
      </c>
      <c r="J376" s="163" t="s">
        <v>970</v>
      </c>
      <c r="K376" s="10" t="s">
        <v>30</v>
      </c>
      <c r="L376" s="10">
        <v>0</v>
      </c>
      <c r="M376" s="10">
        <f t="shared" si="22"/>
        <v>0</v>
      </c>
      <c r="N376" s="10">
        <v>10</v>
      </c>
      <c r="O376" s="12">
        <v>3.3333333333333335</v>
      </c>
      <c r="P376" s="116">
        <v>820</v>
      </c>
      <c r="Q376" s="10" t="s">
        <v>36</v>
      </c>
      <c r="R376" s="4" t="s">
        <v>1287</v>
      </c>
      <c r="S376" s="4" t="s">
        <v>507</v>
      </c>
      <c r="T376" s="4" t="s">
        <v>19</v>
      </c>
      <c r="U376" s="4" t="str">
        <f t="shared" si="23"/>
        <v>NOT AN ADD-ON</v>
      </c>
      <c r="V376" s="4" t="str">
        <f t="shared" si="20"/>
        <v>GRAPHICAL APPOINTMENT BOOKADD-ONAUTHORIZEDNOT AN ADD-ON</v>
      </c>
    </row>
    <row r="377" spans="1:22" ht="27" hidden="1" thickBot="1">
      <c r="A377" s="10" t="s">
        <v>21</v>
      </c>
      <c r="B377" s="10" t="s">
        <v>22</v>
      </c>
      <c r="C377" s="10" t="s">
        <v>338</v>
      </c>
      <c r="D377" s="10" t="s">
        <v>141</v>
      </c>
      <c r="E377" s="10" t="s">
        <v>142</v>
      </c>
      <c r="F377" s="10" t="s">
        <v>339</v>
      </c>
      <c r="G377" s="116">
        <v>2460</v>
      </c>
      <c r="H377" s="163" t="s">
        <v>982</v>
      </c>
      <c r="I377" s="166" t="s">
        <v>983</v>
      </c>
      <c r="J377" s="163" t="s">
        <v>982</v>
      </c>
      <c r="K377" s="10" t="s">
        <v>40</v>
      </c>
      <c r="L377" s="10">
        <v>0</v>
      </c>
      <c r="M377" s="10">
        <f t="shared" si="22"/>
        <v>0</v>
      </c>
      <c r="N377" s="15">
        <v>10</v>
      </c>
      <c r="O377" s="16">
        <v>1</v>
      </c>
      <c r="P377" s="116">
        <v>2460</v>
      </c>
      <c r="Q377" s="10" t="s">
        <v>33</v>
      </c>
      <c r="R377" s="4" t="s">
        <v>1287</v>
      </c>
      <c r="S377" s="4" t="s">
        <v>507</v>
      </c>
      <c r="T377" s="4" t="s">
        <v>19</v>
      </c>
      <c r="U377" s="4" t="str">
        <f t="shared" si="23"/>
        <v>NOT AN ADD-ON</v>
      </c>
      <c r="V377" s="4" t="str">
        <f t="shared" si="20"/>
        <v>GRAPHICAL APPOINTMENT BOOKADD-ONAUTHORIZEDNOT AN ADD-ON</v>
      </c>
    </row>
    <row r="378" spans="1:22" ht="27" hidden="1" thickBot="1">
      <c r="A378" s="10" t="s">
        <v>21</v>
      </c>
      <c r="B378" s="10" t="s">
        <v>22</v>
      </c>
      <c r="C378" s="10" t="s">
        <v>338</v>
      </c>
      <c r="D378" s="10" t="s">
        <v>141</v>
      </c>
      <c r="E378" s="10" t="s">
        <v>142</v>
      </c>
      <c r="F378" s="10" t="s">
        <v>339</v>
      </c>
      <c r="G378" s="116">
        <v>1470</v>
      </c>
      <c r="H378" s="163" t="s">
        <v>984</v>
      </c>
      <c r="I378" s="166" t="s">
        <v>985</v>
      </c>
      <c r="J378" s="163" t="s">
        <v>982</v>
      </c>
      <c r="K378" s="10" t="s">
        <v>40</v>
      </c>
      <c r="L378" s="10">
        <v>0</v>
      </c>
      <c r="M378" s="10">
        <f t="shared" si="22"/>
        <v>0</v>
      </c>
      <c r="N378" s="15">
        <v>10</v>
      </c>
      <c r="O378" s="16">
        <v>1</v>
      </c>
      <c r="P378" s="116">
        <v>2460</v>
      </c>
      <c r="Q378" s="10" t="s">
        <v>36</v>
      </c>
      <c r="R378" s="4" t="s">
        <v>1287</v>
      </c>
      <c r="S378" s="4" t="s">
        <v>507</v>
      </c>
      <c r="T378" s="4" t="s">
        <v>19</v>
      </c>
      <c r="U378" s="4" t="str">
        <f t="shared" si="23"/>
        <v>NOT AN ADD-ON</v>
      </c>
      <c r="V378" s="4" t="str">
        <f t="shared" si="20"/>
        <v>GRAPHICAL APPOINTMENT BOOKADD-ONAUTHORIZEDNOT AN ADD-ON</v>
      </c>
    </row>
    <row r="379" spans="1:22" ht="15" hidden="1" thickBot="1">
      <c r="A379" s="10" t="s">
        <v>1089</v>
      </c>
      <c r="B379" s="10" t="s">
        <v>1090</v>
      </c>
      <c r="C379" s="10" t="s">
        <v>1091</v>
      </c>
      <c r="D379" s="10" t="s">
        <v>1092</v>
      </c>
      <c r="E379" s="10" t="s">
        <v>1093</v>
      </c>
      <c r="F379" s="10" t="s">
        <v>1094</v>
      </c>
      <c r="G379" s="116">
        <v>36100</v>
      </c>
      <c r="H379" s="163" t="s">
        <v>1116</v>
      </c>
      <c r="I379" s="158" t="s">
        <v>1117</v>
      </c>
      <c r="J379" s="163" t="s">
        <v>1116</v>
      </c>
      <c r="K379" s="10" t="s">
        <v>40</v>
      </c>
      <c r="L379" s="207">
        <v>15</v>
      </c>
      <c r="M379" s="10">
        <v>15</v>
      </c>
      <c r="N379" s="207">
        <v>15</v>
      </c>
      <c r="O379" s="12">
        <v>1</v>
      </c>
      <c r="P379" s="116">
        <v>36100</v>
      </c>
      <c r="Q379" s="10" t="s">
        <v>33</v>
      </c>
      <c r="R379" s="4" t="s">
        <v>1385</v>
      </c>
      <c r="S379" s="4" t="s">
        <v>1385</v>
      </c>
      <c r="T379" s="4" t="s">
        <v>19</v>
      </c>
      <c r="U379" s="4" t="str">
        <f t="shared" si="23"/>
        <v>NOT AN ADD-ON</v>
      </c>
      <c r="V379" s="4" t="str">
        <f t="shared" si="20"/>
        <v>APM FOR E&amp;UAPM FOR E&amp;UAUTHORIZEDNOT AN ADD-ON</v>
      </c>
    </row>
    <row r="380" spans="1:22" ht="29.25" hidden="1" customHeight="1" thickBot="1">
      <c r="A380" s="10" t="s">
        <v>1089</v>
      </c>
      <c r="B380" s="10" t="s">
        <v>1090</v>
      </c>
      <c r="C380" s="10" t="s">
        <v>1091</v>
      </c>
      <c r="D380" s="10" t="s">
        <v>1092</v>
      </c>
      <c r="E380" s="10" t="s">
        <v>1093</v>
      </c>
      <c r="F380" s="10" t="s">
        <v>1094</v>
      </c>
      <c r="G380" s="116">
        <v>21600</v>
      </c>
      <c r="H380" s="163" t="s">
        <v>1118</v>
      </c>
      <c r="I380" s="158" t="s">
        <v>1119</v>
      </c>
      <c r="J380" s="163" t="s">
        <v>1116</v>
      </c>
      <c r="K380" s="10" t="s">
        <v>40</v>
      </c>
      <c r="L380" s="207">
        <v>15</v>
      </c>
      <c r="M380" s="10">
        <v>15</v>
      </c>
      <c r="N380" s="207">
        <v>15</v>
      </c>
      <c r="O380" s="12">
        <v>1</v>
      </c>
      <c r="P380" s="116">
        <v>36100</v>
      </c>
      <c r="Q380" s="10" t="s">
        <v>36</v>
      </c>
      <c r="R380" s="4" t="s">
        <v>1385</v>
      </c>
      <c r="S380" s="4" t="s">
        <v>1385</v>
      </c>
      <c r="T380" s="4" t="s">
        <v>19</v>
      </c>
      <c r="U380" s="4" t="str">
        <f t="shared" si="23"/>
        <v>NOT AN ADD-ON</v>
      </c>
      <c r="V380" s="4" t="str">
        <f t="shared" si="20"/>
        <v>APM FOR E&amp;UAPM FOR E&amp;UAUTHORIZEDNOT AN ADD-ON</v>
      </c>
    </row>
    <row r="381" spans="1:22" ht="15" hidden="1" thickBot="1">
      <c r="A381" s="10" t="s">
        <v>1448</v>
      </c>
      <c r="B381" s="10" t="s">
        <v>1448</v>
      </c>
      <c r="C381" s="10" t="s">
        <v>1449</v>
      </c>
      <c r="D381" s="10"/>
      <c r="E381" s="10" t="s">
        <v>1445</v>
      </c>
      <c r="F381" s="10" t="s">
        <v>1443</v>
      </c>
      <c r="G381" s="252">
        <v>500000</v>
      </c>
      <c r="H381" s="163" t="s">
        <v>1444</v>
      </c>
      <c r="I381" s="158" t="s">
        <v>1464</v>
      </c>
      <c r="J381" s="163" t="s">
        <v>1444</v>
      </c>
      <c r="K381" s="10" t="s">
        <v>1446</v>
      </c>
      <c r="L381" s="10">
        <v>175</v>
      </c>
      <c r="M381" s="10">
        <v>1</v>
      </c>
      <c r="N381" s="10">
        <v>175</v>
      </c>
      <c r="O381" s="12">
        <v>1</v>
      </c>
      <c r="P381" s="252">
        <v>500000</v>
      </c>
      <c r="Q381" s="10" t="s">
        <v>33</v>
      </c>
      <c r="R381" s="4" t="s">
        <v>1447</v>
      </c>
      <c r="S381" s="4" t="s">
        <v>1447</v>
      </c>
      <c r="T381" s="4" t="s">
        <v>1446</v>
      </c>
      <c r="U381" s="4" t="str">
        <f t="shared" si="23"/>
        <v>NOT AN ADD-ON</v>
      </c>
      <c r="V381" s="4" t="str">
        <f t="shared" si="20"/>
        <v>Visual InspectionsVisual Inspectionsper vServerNOT AN ADD-ON</v>
      </c>
    </row>
    <row r="382" spans="1:22" ht="27" hidden="1" customHeight="1" thickBot="1">
      <c r="A382" s="10" t="s">
        <v>1488</v>
      </c>
      <c r="B382" s="10" t="s">
        <v>1488</v>
      </c>
      <c r="C382" s="10" t="s">
        <v>1489</v>
      </c>
      <c r="D382" s="10"/>
      <c r="E382" s="10" t="s">
        <v>1487</v>
      </c>
      <c r="F382" s="10" t="s">
        <v>1486</v>
      </c>
      <c r="G382" s="116"/>
      <c r="H382" s="203" t="s">
        <v>1195</v>
      </c>
      <c r="I382" s="205" t="s">
        <v>1196</v>
      </c>
      <c r="J382" s="203" t="s">
        <v>1195</v>
      </c>
      <c r="K382" s="10" t="s">
        <v>1437</v>
      </c>
      <c r="L382" s="207">
        <v>5</v>
      </c>
      <c r="M382" s="10">
        <v>5</v>
      </c>
      <c r="N382" s="208">
        <v>5</v>
      </c>
      <c r="O382" s="12">
        <v>1</v>
      </c>
      <c r="P382" s="116"/>
      <c r="Q382" s="209" t="s">
        <v>33</v>
      </c>
      <c r="R382" s="4" t="s">
        <v>1489</v>
      </c>
      <c r="S382" s="4" t="s">
        <v>1489</v>
      </c>
      <c r="T382" s="4" t="s">
        <v>1437</v>
      </c>
      <c r="U382" s="4" t="str">
        <f t="shared" si="23"/>
        <v>NOT AN ADD-ON</v>
      </c>
      <c r="V382" s="4" t="str">
        <f t="shared" si="20"/>
        <v>EMAEMAVPCNOT AN ADD-ON</v>
      </c>
    </row>
    <row r="383" spans="1:22" ht="27" hidden="1" customHeight="1" thickBot="1">
      <c r="A383" s="10" t="s">
        <v>1488</v>
      </c>
      <c r="B383" s="10" t="s">
        <v>1488</v>
      </c>
      <c r="C383" s="10" t="s">
        <v>1489</v>
      </c>
      <c r="D383" s="10"/>
      <c r="E383" s="10" t="s">
        <v>1487</v>
      </c>
      <c r="F383" s="10" t="s">
        <v>1486</v>
      </c>
      <c r="G383" s="116"/>
      <c r="H383" s="203" t="s">
        <v>1214</v>
      </c>
      <c r="I383" s="205" t="s">
        <v>1215</v>
      </c>
      <c r="J383" s="203" t="s">
        <v>1214</v>
      </c>
      <c r="K383" s="10" t="s">
        <v>1490</v>
      </c>
      <c r="L383" s="207">
        <v>150</v>
      </c>
      <c r="M383" s="10">
        <v>1</v>
      </c>
      <c r="N383" s="208">
        <v>150</v>
      </c>
      <c r="O383" s="12">
        <v>1</v>
      </c>
      <c r="P383" s="116"/>
      <c r="Q383" s="209" t="s">
        <v>33</v>
      </c>
      <c r="R383" s="4" t="s">
        <v>1489</v>
      </c>
      <c r="S383" s="4" t="s">
        <v>1489</v>
      </c>
      <c r="T383" s="4" t="s">
        <v>1490</v>
      </c>
      <c r="U383" s="4" t="str">
        <f t="shared" si="23"/>
        <v>NOT AN ADD-ON</v>
      </c>
      <c r="V383" s="4" t="str">
        <f t="shared" si="20"/>
        <v>EMAEMARVUNOT AN ADD-ON</v>
      </c>
    </row>
    <row r="384" spans="1:22" ht="15" hidden="1" thickBot="1">
      <c r="A384" s="10" t="s">
        <v>21</v>
      </c>
      <c r="B384" s="10" t="s">
        <v>22</v>
      </c>
      <c r="C384" s="10" t="s">
        <v>428</v>
      </c>
      <c r="D384" s="10" t="s">
        <v>418</v>
      </c>
      <c r="E384" s="10" t="s">
        <v>419</v>
      </c>
      <c r="F384" s="10" t="s">
        <v>420</v>
      </c>
      <c r="G384" s="116">
        <v>161000</v>
      </c>
      <c r="H384" s="163" t="s">
        <v>431</v>
      </c>
      <c r="I384" s="158" t="s">
        <v>432</v>
      </c>
      <c r="J384" s="163" t="s">
        <v>431</v>
      </c>
      <c r="K384" s="10" t="s">
        <v>424</v>
      </c>
      <c r="L384" s="10">
        <v>80</v>
      </c>
      <c r="M384" s="10">
        <f t="shared" ref="M384:M433" si="24">ROUND(IF(K384="Authorized User",L384/3,L384),2)</f>
        <v>80</v>
      </c>
      <c r="N384" s="10">
        <v>80</v>
      </c>
      <c r="O384" s="12">
        <v>1</v>
      </c>
      <c r="P384" s="116">
        <v>161000</v>
      </c>
      <c r="Q384" s="10" t="s">
        <v>33</v>
      </c>
      <c r="R384" s="4" t="s">
        <v>1296</v>
      </c>
      <c r="S384" s="4" t="s">
        <v>1295</v>
      </c>
      <c r="T384" s="4" t="s">
        <v>1295</v>
      </c>
      <c r="U384" s="4" t="str">
        <f t="shared" si="23"/>
        <v>NOT AN ADD-ON</v>
      </c>
      <c r="V384" s="4" t="str">
        <f t="shared" si="20"/>
        <v>ADAPTER FOR ORACLEADAPTERADAPTERNOT AN ADD-ON</v>
      </c>
    </row>
    <row r="385" spans="1:22" ht="15" hidden="1" thickBot="1">
      <c r="A385" s="10" t="s">
        <v>21</v>
      </c>
      <c r="B385" s="10" t="s">
        <v>22</v>
      </c>
      <c r="C385" s="10" t="s">
        <v>428</v>
      </c>
      <c r="D385" s="10" t="s">
        <v>418</v>
      </c>
      <c r="E385" s="10" t="s">
        <v>419</v>
      </c>
      <c r="F385" s="10" t="s">
        <v>420</v>
      </c>
      <c r="G385" s="116">
        <v>96300</v>
      </c>
      <c r="H385" s="163" t="s">
        <v>433</v>
      </c>
      <c r="I385" s="158" t="s">
        <v>434</v>
      </c>
      <c r="J385" s="163" t="s">
        <v>431</v>
      </c>
      <c r="K385" s="10" t="s">
        <v>424</v>
      </c>
      <c r="L385" s="10">
        <v>80</v>
      </c>
      <c r="M385" s="10">
        <f t="shared" si="24"/>
        <v>80</v>
      </c>
      <c r="N385" s="10">
        <v>80</v>
      </c>
      <c r="O385" s="12">
        <v>1</v>
      </c>
      <c r="P385" s="116">
        <v>161000</v>
      </c>
      <c r="Q385" s="10" t="s">
        <v>36</v>
      </c>
      <c r="R385" s="4" t="s">
        <v>1296</v>
      </c>
      <c r="S385" s="4" t="s">
        <v>1295</v>
      </c>
      <c r="T385" s="4" t="s">
        <v>1295</v>
      </c>
      <c r="U385" s="4" t="str">
        <f t="shared" si="23"/>
        <v>NOT AN ADD-ON</v>
      </c>
      <c r="V385" s="4" t="str">
        <f t="shared" si="20"/>
        <v>ADAPTER FOR ORACLEADAPTERADAPTERNOT AN ADD-ON</v>
      </c>
    </row>
    <row r="386" spans="1:22" ht="15" hidden="1" thickBot="1">
      <c r="A386" s="10" t="s">
        <v>21</v>
      </c>
      <c r="B386" s="10" t="s">
        <v>22</v>
      </c>
      <c r="C386" s="10" t="s">
        <v>428</v>
      </c>
      <c r="D386" s="10" t="s">
        <v>418</v>
      </c>
      <c r="E386" s="10" t="s">
        <v>419</v>
      </c>
      <c r="F386" s="10" t="s">
        <v>420</v>
      </c>
      <c r="G386" s="116">
        <v>32100</v>
      </c>
      <c r="H386" s="163" t="s">
        <v>429</v>
      </c>
      <c r="I386" s="158" t="s">
        <v>430</v>
      </c>
      <c r="J386" s="163" t="s">
        <v>431</v>
      </c>
      <c r="K386" s="10" t="s">
        <v>424</v>
      </c>
      <c r="L386" s="10">
        <v>80</v>
      </c>
      <c r="M386" s="10">
        <f t="shared" si="24"/>
        <v>80</v>
      </c>
      <c r="N386" s="10">
        <v>80</v>
      </c>
      <c r="O386" s="12">
        <v>1</v>
      </c>
      <c r="P386" s="116">
        <v>161000</v>
      </c>
      <c r="Q386" s="10" t="s">
        <v>31</v>
      </c>
      <c r="R386" s="4" t="s">
        <v>1296</v>
      </c>
      <c r="S386" s="4" t="s">
        <v>1295</v>
      </c>
      <c r="T386" s="4" t="s">
        <v>1295</v>
      </c>
      <c r="U386" s="4" t="str">
        <f t="shared" si="23"/>
        <v>NOT AN ADD-ON</v>
      </c>
      <c r="V386" s="4" t="str">
        <f t="shared" si="20"/>
        <v>ADAPTER FOR ORACLEADAPTERADAPTERNOT AN ADD-ON</v>
      </c>
    </row>
    <row r="387" spans="1:22" ht="15" hidden="1" thickBot="1">
      <c r="A387" s="10" t="s">
        <v>21</v>
      </c>
      <c r="B387" s="10" t="s">
        <v>22</v>
      </c>
      <c r="C387" s="10" t="s">
        <v>94</v>
      </c>
      <c r="D387" s="10" t="s">
        <v>95</v>
      </c>
      <c r="E387" s="10" t="s">
        <v>96</v>
      </c>
      <c r="F387" s="10" t="s">
        <v>97</v>
      </c>
      <c r="G387" s="116">
        <v>1790</v>
      </c>
      <c r="H387" s="163" t="s">
        <v>98</v>
      </c>
      <c r="I387" s="158" t="s">
        <v>99</v>
      </c>
      <c r="J387" s="163" t="s">
        <v>100</v>
      </c>
      <c r="K387" s="10" t="s">
        <v>101</v>
      </c>
      <c r="L387" s="10" t="s">
        <v>102</v>
      </c>
      <c r="M387" s="10" t="e">
        <f t="shared" si="24"/>
        <v>#VALUE!</v>
      </c>
      <c r="N387" s="10">
        <v>15</v>
      </c>
      <c r="O387" s="12">
        <v>5</v>
      </c>
      <c r="P387" s="116">
        <v>8980</v>
      </c>
      <c r="Q387" s="10" t="s">
        <v>31</v>
      </c>
      <c r="R387" s="4" t="s">
        <v>1294</v>
      </c>
      <c r="S387" s="4" t="s">
        <v>1379</v>
      </c>
      <c r="T387" s="4" t="s">
        <v>1380</v>
      </c>
      <c r="U387" s="4" t="str">
        <f t="shared" si="23"/>
        <v>NOT AN ADD-ON</v>
      </c>
      <c r="V387" s="4" t="str">
        <f t="shared" ref="V387:V450" si="25">CONCATENATE(R387,S387,T387,U387)</f>
        <v>ASSET CONFIGURATION MANAGERACMASSETNOT AN ADD-ON</v>
      </c>
    </row>
    <row r="388" spans="1:22" ht="15" hidden="1" thickBot="1">
      <c r="A388" s="10" t="s">
        <v>21</v>
      </c>
      <c r="B388" s="10" t="s">
        <v>22</v>
      </c>
      <c r="C388" s="10" t="s">
        <v>94</v>
      </c>
      <c r="D388" s="10" t="s">
        <v>95</v>
      </c>
      <c r="E388" s="10" t="s">
        <v>96</v>
      </c>
      <c r="F388" s="10" t="s">
        <v>97</v>
      </c>
      <c r="G388" s="116">
        <v>1140</v>
      </c>
      <c r="H388" s="163" t="s">
        <v>106</v>
      </c>
      <c r="I388" s="158" t="s">
        <v>107</v>
      </c>
      <c r="J388" s="163" t="s">
        <v>108</v>
      </c>
      <c r="K388" s="10" t="s">
        <v>30</v>
      </c>
      <c r="L388" s="249">
        <v>2</v>
      </c>
      <c r="M388" s="250">
        <v>1</v>
      </c>
      <c r="N388" s="250">
        <v>2</v>
      </c>
      <c r="O388" s="251">
        <v>1</v>
      </c>
      <c r="P388" s="116">
        <v>5740</v>
      </c>
      <c r="Q388" s="10" t="s">
        <v>31</v>
      </c>
      <c r="R388" s="4" t="s">
        <v>1294</v>
      </c>
      <c r="S388" s="4" t="s">
        <v>1379</v>
      </c>
      <c r="T388" s="4" t="s">
        <v>19</v>
      </c>
      <c r="U388" s="4" t="str">
        <f t="shared" si="23"/>
        <v>NOT AN ADD-ON</v>
      </c>
      <c r="V388" s="4" t="str">
        <f t="shared" si="25"/>
        <v>ASSET CONFIGURATION MANAGERACMAUTHORIZEDNOT AN ADD-ON</v>
      </c>
    </row>
    <row r="389" spans="1:22" ht="15" hidden="1" thickBot="1">
      <c r="A389" s="10" t="s">
        <v>21</v>
      </c>
      <c r="B389" s="10" t="s">
        <v>22</v>
      </c>
      <c r="C389" s="10" t="s">
        <v>385</v>
      </c>
      <c r="D389" s="10" t="s">
        <v>386</v>
      </c>
      <c r="E389" s="10" t="s">
        <v>387</v>
      </c>
      <c r="F389" s="10" t="s">
        <v>388</v>
      </c>
      <c r="G389" s="116">
        <v>116</v>
      </c>
      <c r="H389" s="163" t="s">
        <v>389</v>
      </c>
      <c r="I389" s="158" t="s">
        <v>390</v>
      </c>
      <c r="J389" s="163" t="s">
        <v>391</v>
      </c>
      <c r="K389" s="10" t="s">
        <v>30</v>
      </c>
      <c r="L389" s="10">
        <v>0</v>
      </c>
      <c r="M389" s="10">
        <f t="shared" si="24"/>
        <v>0</v>
      </c>
      <c r="N389" s="10">
        <v>5</v>
      </c>
      <c r="O389" s="12">
        <v>1.6666666666666667</v>
      </c>
      <c r="P389" s="116">
        <v>584</v>
      </c>
      <c r="Q389" s="10" t="s">
        <v>31</v>
      </c>
      <c r="R389" s="4" t="s">
        <v>1288</v>
      </c>
      <c r="S389" s="4" t="s">
        <v>507</v>
      </c>
      <c r="T389" s="4" t="s">
        <v>19</v>
      </c>
      <c r="U389" s="4" t="str">
        <f t="shared" si="23"/>
        <v>NOT AN ADD-ON</v>
      </c>
      <c r="V389" s="4" t="str">
        <f t="shared" si="25"/>
        <v>CALIBRATIONADD-ONAUTHORIZEDNOT AN ADD-ON</v>
      </c>
    </row>
    <row r="390" spans="1:22" ht="15" hidden="1" thickBot="1">
      <c r="A390" s="10" t="s">
        <v>21</v>
      </c>
      <c r="B390" s="10" t="s">
        <v>22</v>
      </c>
      <c r="C390" s="10" t="s">
        <v>1015</v>
      </c>
      <c r="D390" s="10" t="s">
        <v>141</v>
      </c>
      <c r="E390" s="10" t="s">
        <v>142</v>
      </c>
      <c r="F390" s="10" t="s">
        <v>143</v>
      </c>
      <c r="G390" s="116">
        <v>142</v>
      </c>
      <c r="H390" s="163" t="s">
        <v>1016</v>
      </c>
      <c r="I390" s="158" t="s">
        <v>1017</v>
      </c>
      <c r="J390" s="163" t="s">
        <v>1018</v>
      </c>
      <c r="K390" s="10" t="s">
        <v>30</v>
      </c>
      <c r="L390" s="10">
        <v>0</v>
      </c>
      <c r="M390" s="10">
        <f t="shared" si="24"/>
        <v>0</v>
      </c>
      <c r="N390" s="10">
        <v>5</v>
      </c>
      <c r="O390" s="12">
        <v>1.6666666666666667</v>
      </c>
      <c r="P390" s="116">
        <v>712</v>
      </c>
      <c r="Q390" s="10" t="s">
        <v>31</v>
      </c>
      <c r="R390" s="4" t="s">
        <v>1290</v>
      </c>
      <c r="S390" s="4" t="s">
        <v>507</v>
      </c>
      <c r="T390" s="4" t="s">
        <v>19</v>
      </c>
      <c r="U390" s="4" t="str">
        <f t="shared" si="23"/>
        <v>NOT AN ADD-ON</v>
      </c>
      <c r="V390" s="4" t="str">
        <f t="shared" si="25"/>
        <v>LINEARADD-ONAUTHORIZEDNOT AN ADD-ON</v>
      </c>
    </row>
    <row r="391" spans="1:22" ht="29.25" hidden="1" customHeight="1" thickBot="1">
      <c r="A391" s="10" t="s">
        <v>21</v>
      </c>
      <c r="B391" s="10" t="s">
        <v>22</v>
      </c>
      <c r="C391" s="10" t="s">
        <v>435</v>
      </c>
      <c r="D391" s="10" t="s">
        <v>418</v>
      </c>
      <c r="E391" s="10" t="s">
        <v>419</v>
      </c>
      <c r="F391" s="10" t="s">
        <v>420</v>
      </c>
      <c r="G391" s="116">
        <v>32100</v>
      </c>
      <c r="H391" s="163" t="s">
        <v>442</v>
      </c>
      <c r="I391" s="158" t="s">
        <v>443</v>
      </c>
      <c r="J391" s="163" t="s">
        <v>444</v>
      </c>
      <c r="K391" s="10" t="s">
        <v>424</v>
      </c>
      <c r="L391" s="10">
        <v>80</v>
      </c>
      <c r="M391" s="10">
        <f t="shared" si="24"/>
        <v>80</v>
      </c>
      <c r="N391" s="10">
        <v>80</v>
      </c>
      <c r="O391" s="12">
        <v>1</v>
      </c>
      <c r="P391" s="116">
        <v>161000</v>
      </c>
      <c r="Q391" s="10" t="s">
        <v>31</v>
      </c>
      <c r="R391" s="4" t="s">
        <v>1297</v>
      </c>
      <c r="S391" s="4" t="s">
        <v>1295</v>
      </c>
      <c r="T391" s="4" t="s">
        <v>1295</v>
      </c>
      <c r="U391" s="4" t="str">
        <f t="shared" si="23"/>
        <v>NOT AN ADD-ON</v>
      </c>
      <c r="V391" s="4" t="str">
        <f t="shared" si="25"/>
        <v>ADAPTER FOR SAPADAPTERADAPTERNOT AN ADD-ON</v>
      </c>
    </row>
    <row r="392" spans="1:22" ht="15" hidden="1" thickBot="1">
      <c r="A392" s="10" t="s">
        <v>21</v>
      </c>
      <c r="B392" s="10" t="s">
        <v>22</v>
      </c>
      <c r="C392" s="10" t="s">
        <v>230</v>
      </c>
      <c r="D392" s="10" t="s">
        <v>141</v>
      </c>
      <c r="E392" s="10" t="s">
        <v>142</v>
      </c>
      <c r="F392" s="10" t="s">
        <v>143</v>
      </c>
      <c r="G392" s="116">
        <v>356</v>
      </c>
      <c r="H392" s="163" t="s">
        <v>289</v>
      </c>
      <c r="I392" s="158" t="s">
        <v>290</v>
      </c>
      <c r="J392" s="163" t="s">
        <v>291</v>
      </c>
      <c r="K392" s="10" t="s">
        <v>30</v>
      </c>
      <c r="L392" s="10">
        <v>0</v>
      </c>
      <c r="M392" s="10">
        <f t="shared" si="24"/>
        <v>0</v>
      </c>
      <c r="N392" s="10">
        <v>5</v>
      </c>
      <c r="O392" s="12">
        <v>1.6666666666666667</v>
      </c>
      <c r="P392" s="116">
        <v>1780</v>
      </c>
      <c r="Q392" s="10" t="s">
        <v>31</v>
      </c>
      <c r="R392" s="4" t="s">
        <v>234</v>
      </c>
      <c r="S392" s="4" t="s">
        <v>235</v>
      </c>
      <c r="T392" s="4" t="s">
        <v>672</v>
      </c>
      <c r="U392" s="4" t="str">
        <f t="shared" si="23"/>
        <v>NOT AN ADD-ON</v>
      </c>
      <c r="V392" s="4" t="str">
        <f t="shared" si="25"/>
        <v>MANAGED SERVICE PROVIDERSMSPLIMITEDNOT AN ADD-ON</v>
      </c>
    </row>
    <row r="393" spans="1:22" ht="15" hidden="1" thickBot="1">
      <c r="A393" s="10" t="s">
        <v>21</v>
      </c>
      <c r="B393" s="10" t="s">
        <v>22</v>
      </c>
      <c r="C393" s="10" t="s">
        <v>230</v>
      </c>
      <c r="D393" s="10" t="s">
        <v>141</v>
      </c>
      <c r="E393" s="10" t="s">
        <v>142</v>
      </c>
      <c r="F393" s="10" t="s">
        <v>143</v>
      </c>
      <c r="G393" s="116">
        <v>715</v>
      </c>
      <c r="H393" s="163" t="s">
        <v>277</v>
      </c>
      <c r="I393" s="158" t="s">
        <v>278</v>
      </c>
      <c r="J393" s="163" t="s">
        <v>279</v>
      </c>
      <c r="K393" s="10" t="s">
        <v>30</v>
      </c>
      <c r="L393" s="10">
        <v>2</v>
      </c>
      <c r="M393" s="10">
        <v>1</v>
      </c>
      <c r="N393" s="10">
        <v>2</v>
      </c>
      <c r="O393" s="12">
        <v>1</v>
      </c>
      <c r="P393" s="116">
        <v>3570</v>
      </c>
      <c r="Q393" s="10" t="s">
        <v>31</v>
      </c>
      <c r="R393" s="4" t="s">
        <v>234</v>
      </c>
      <c r="S393" s="4" t="s">
        <v>235</v>
      </c>
      <c r="T393" s="4" t="s">
        <v>19</v>
      </c>
      <c r="U393" s="4" t="str">
        <f t="shared" si="23"/>
        <v>NOT AN ADD-ON</v>
      </c>
      <c r="V393" s="4" t="str">
        <f t="shared" si="25"/>
        <v>MANAGED SERVICE PROVIDERSMSPAUTHORIZEDNOT AN ADD-ON</v>
      </c>
    </row>
    <row r="394" spans="1:22" ht="15" hidden="1" thickBot="1">
      <c r="A394" s="10" t="s">
        <v>21</v>
      </c>
      <c r="B394" s="10" t="s">
        <v>22</v>
      </c>
      <c r="C394" s="10" t="s">
        <v>204</v>
      </c>
      <c r="D394" s="10" t="s">
        <v>141</v>
      </c>
      <c r="E394" s="10" t="s">
        <v>142</v>
      </c>
      <c r="F394" s="10" t="s">
        <v>143</v>
      </c>
      <c r="G394" s="116">
        <v>214</v>
      </c>
      <c r="H394" s="163" t="s">
        <v>249</v>
      </c>
      <c r="I394" s="158" t="s">
        <v>250</v>
      </c>
      <c r="J394" s="163" t="s">
        <v>251</v>
      </c>
      <c r="K394" s="10" t="s">
        <v>30</v>
      </c>
      <c r="L394" s="10">
        <v>2</v>
      </c>
      <c r="M394" s="10">
        <v>1</v>
      </c>
      <c r="N394" s="10">
        <v>2</v>
      </c>
      <c r="O394" s="12">
        <v>1</v>
      </c>
      <c r="P394" s="116">
        <v>1070</v>
      </c>
      <c r="Q394" s="10" t="s">
        <v>31</v>
      </c>
      <c r="R394" s="4" t="s">
        <v>208</v>
      </c>
      <c r="S394" s="4" t="s">
        <v>507</v>
      </c>
      <c r="T394" s="4" t="s">
        <v>19</v>
      </c>
      <c r="U394" s="4" t="str">
        <f t="shared" si="23"/>
        <v>NOT AN ADD-ON</v>
      </c>
      <c r="V394" s="4" t="str">
        <f t="shared" si="25"/>
        <v>INTERNAL SERVICE PROVIDERSADD-ONAUTHORIZEDNOT AN ADD-ON</v>
      </c>
    </row>
    <row r="395" spans="1:22" ht="15" hidden="1" thickBot="1">
      <c r="A395" s="10" t="s">
        <v>21</v>
      </c>
      <c r="B395" s="10" t="s">
        <v>22</v>
      </c>
      <c r="C395" s="10" t="s">
        <v>230</v>
      </c>
      <c r="D395" s="10" t="s">
        <v>141</v>
      </c>
      <c r="E395" s="10" t="s">
        <v>142</v>
      </c>
      <c r="F395" s="10" t="s">
        <v>143</v>
      </c>
      <c r="G395" s="116">
        <v>715</v>
      </c>
      <c r="H395" s="163" t="s">
        <v>283</v>
      </c>
      <c r="I395" s="158" t="s">
        <v>284</v>
      </c>
      <c r="J395" s="163" t="s">
        <v>285</v>
      </c>
      <c r="K395" s="10" t="s">
        <v>30</v>
      </c>
      <c r="L395" s="10">
        <v>2</v>
      </c>
      <c r="M395" s="10">
        <v>1</v>
      </c>
      <c r="N395" s="10">
        <v>2</v>
      </c>
      <c r="O395" s="12">
        <v>1</v>
      </c>
      <c r="P395" s="116">
        <v>3570</v>
      </c>
      <c r="Q395" s="10" t="s">
        <v>31</v>
      </c>
      <c r="R395" s="4" t="s">
        <v>234</v>
      </c>
      <c r="S395" s="4" t="s">
        <v>235</v>
      </c>
      <c r="T395" s="4" t="s">
        <v>19</v>
      </c>
      <c r="U395" s="4" t="str">
        <f t="shared" si="23"/>
        <v>NOT AN ADD-ON</v>
      </c>
      <c r="V395" s="4" t="str">
        <f t="shared" si="25"/>
        <v>MANAGED SERVICE PROVIDERSMSPAUTHORIZEDNOT AN ADD-ON</v>
      </c>
    </row>
    <row r="396" spans="1:22" ht="15" hidden="1" thickBot="1">
      <c r="A396" s="10" t="s">
        <v>21</v>
      </c>
      <c r="B396" s="10" t="s">
        <v>22</v>
      </c>
      <c r="C396" s="10" t="s">
        <v>1015</v>
      </c>
      <c r="D396" s="10" t="s">
        <v>141</v>
      </c>
      <c r="E396" s="10" t="s">
        <v>142</v>
      </c>
      <c r="F396" s="10" t="s">
        <v>143</v>
      </c>
      <c r="G396" s="116">
        <v>142</v>
      </c>
      <c r="H396" s="163" t="s">
        <v>1038</v>
      </c>
      <c r="I396" s="158" t="s">
        <v>1039</v>
      </c>
      <c r="J396" s="163" t="s">
        <v>1040</v>
      </c>
      <c r="K396" s="10" t="s">
        <v>30</v>
      </c>
      <c r="L396" s="10">
        <v>0</v>
      </c>
      <c r="M396" s="10">
        <f t="shared" si="24"/>
        <v>0</v>
      </c>
      <c r="N396" s="10">
        <v>5</v>
      </c>
      <c r="O396" s="12">
        <v>1.6666666666666667</v>
      </c>
      <c r="P396" s="116">
        <v>712</v>
      </c>
      <c r="Q396" s="10" t="s">
        <v>31</v>
      </c>
      <c r="R396" s="4" t="s">
        <v>1290</v>
      </c>
      <c r="S396" s="4" t="s">
        <v>507</v>
      </c>
      <c r="T396" s="4" t="s">
        <v>19</v>
      </c>
      <c r="U396" s="4" t="str">
        <f t="shared" si="23"/>
        <v>NOT AN ADD-ON</v>
      </c>
      <c r="V396" s="4" t="str">
        <f t="shared" si="25"/>
        <v>LINEARADD-ONAUTHORIZEDNOT AN ADD-ON</v>
      </c>
    </row>
    <row r="397" spans="1:22" ht="15" hidden="1" thickBot="1">
      <c r="A397" s="10" t="s">
        <v>21</v>
      </c>
      <c r="B397" s="10" t="s">
        <v>22</v>
      </c>
      <c r="C397" s="10" t="s">
        <v>204</v>
      </c>
      <c r="D397" s="10" t="s">
        <v>141</v>
      </c>
      <c r="E397" s="10" t="s">
        <v>142</v>
      </c>
      <c r="F397" s="10" t="s">
        <v>143</v>
      </c>
      <c r="G397" s="116">
        <v>214</v>
      </c>
      <c r="H397" s="163" t="s">
        <v>255</v>
      </c>
      <c r="I397" s="158" t="s">
        <v>256</v>
      </c>
      <c r="J397" s="163" t="s">
        <v>257</v>
      </c>
      <c r="K397" s="10" t="s">
        <v>30</v>
      </c>
      <c r="L397" s="10">
        <v>2</v>
      </c>
      <c r="M397" s="10">
        <v>1</v>
      </c>
      <c r="N397" s="10">
        <v>2</v>
      </c>
      <c r="O397" s="12">
        <v>1</v>
      </c>
      <c r="P397" s="116">
        <v>1070</v>
      </c>
      <c r="Q397" s="10" t="s">
        <v>31</v>
      </c>
      <c r="R397" s="4" t="s">
        <v>208</v>
      </c>
      <c r="S397" s="4" t="s">
        <v>507</v>
      </c>
      <c r="T397" s="4" t="s">
        <v>19</v>
      </c>
      <c r="U397" s="4" t="str">
        <f t="shared" si="23"/>
        <v>NOT AN ADD-ON</v>
      </c>
      <c r="V397" s="4" t="str">
        <f t="shared" si="25"/>
        <v>INTERNAL SERVICE PROVIDERSADD-ONAUTHORIZEDNOT AN ADD-ON</v>
      </c>
    </row>
    <row r="398" spans="1:22" ht="27" hidden="1" thickBot="1">
      <c r="A398" s="10" t="s">
        <v>21</v>
      </c>
      <c r="B398" s="10" t="s">
        <v>22</v>
      </c>
      <c r="C398" s="10" t="s">
        <v>230</v>
      </c>
      <c r="D398" s="10" t="s">
        <v>141</v>
      </c>
      <c r="E398" s="10" t="s">
        <v>142</v>
      </c>
      <c r="F398" s="10" t="s">
        <v>143</v>
      </c>
      <c r="G398" s="116">
        <v>356</v>
      </c>
      <c r="H398" s="163" t="s">
        <v>295</v>
      </c>
      <c r="I398" s="166" t="s">
        <v>296</v>
      </c>
      <c r="J398" s="163" t="s">
        <v>297</v>
      </c>
      <c r="K398" s="10" t="s">
        <v>30</v>
      </c>
      <c r="L398" s="10">
        <v>0</v>
      </c>
      <c r="M398" s="10">
        <f t="shared" si="24"/>
        <v>0</v>
      </c>
      <c r="N398" s="10">
        <v>5</v>
      </c>
      <c r="O398" s="12">
        <v>1.6666666666666667</v>
      </c>
      <c r="P398" s="116">
        <v>1780</v>
      </c>
      <c r="Q398" s="10" t="s">
        <v>31</v>
      </c>
      <c r="R398" s="4" t="s">
        <v>234</v>
      </c>
      <c r="S398" s="4" t="s">
        <v>235</v>
      </c>
      <c r="T398" s="4" t="s">
        <v>672</v>
      </c>
      <c r="U398" s="4" t="str">
        <f t="shared" si="23"/>
        <v>NOT AN ADD-ON</v>
      </c>
      <c r="V398" s="4" t="str">
        <f t="shared" si="25"/>
        <v>MANAGED SERVICE PROVIDERSMSPLIMITEDNOT AN ADD-ON</v>
      </c>
    </row>
    <row r="399" spans="1:22" ht="15" hidden="1" thickBot="1">
      <c r="A399" s="10" t="s">
        <v>21</v>
      </c>
      <c r="B399" s="10" t="s">
        <v>22</v>
      </c>
      <c r="C399" s="10" t="s">
        <v>94</v>
      </c>
      <c r="D399" s="10" t="s">
        <v>95</v>
      </c>
      <c r="E399" s="10" t="s">
        <v>96</v>
      </c>
      <c r="F399" s="10" t="s">
        <v>97</v>
      </c>
      <c r="G399" s="116">
        <v>1790</v>
      </c>
      <c r="H399" s="163" t="s">
        <v>128</v>
      </c>
      <c r="I399" s="158" t="s">
        <v>129</v>
      </c>
      <c r="J399" s="163" t="s">
        <v>130</v>
      </c>
      <c r="K399" s="10" t="s">
        <v>101</v>
      </c>
      <c r="L399" s="10" t="s">
        <v>102</v>
      </c>
      <c r="M399" s="10" t="e">
        <f t="shared" si="24"/>
        <v>#VALUE!</v>
      </c>
      <c r="N399" s="10">
        <v>15</v>
      </c>
      <c r="O399" s="12">
        <v>5</v>
      </c>
      <c r="P399" s="116">
        <v>8980</v>
      </c>
      <c r="Q399" s="10" t="s">
        <v>31</v>
      </c>
      <c r="R399" s="4" t="s">
        <v>1294</v>
      </c>
      <c r="S399" s="4" t="s">
        <v>1379</v>
      </c>
      <c r="T399" s="4" t="s">
        <v>1380</v>
      </c>
      <c r="U399" s="4" t="str">
        <f t="shared" si="23"/>
        <v>NOT AN ADD-ON</v>
      </c>
      <c r="V399" s="4" t="str">
        <f t="shared" si="25"/>
        <v>ASSET CONFIGURATION MANAGERACMASSETNOT AN ADD-ON</v>
      </c>
    </row>
    <row r="400" spans="1:22" ht="15" hidden="1" thickBot="1">
      <c r="A400" s="10" t="s">
        <v>21</v>
      </c>
      <c r="B400" s="10" t="s">
        <v>22</v>
      </c>
      <c r="C400" s="10" t="s">
        <v>94</v>
      </c>
      <c r="D400" s="10" t="s">
        <v>95</v>
      </c>
      <c r="E400" s="10" t="s">
        <v>96</v>
      </c>
      <c r="F400" s="10" t="s">
        <v>97</v>
      </c>
      <c r="G400" s="116">
        <v>1140</v>
      </c>
      <c r="H400" s="163" t="s">
        <v>134</v>
      </c>
      <c r="I400" s="158" t="s">
        <v>135</v>
      </c>
      <c r="J400" s="163" t="s">
        <v>136</v>
      </c>
      <c r="K400" s="10" t="s">
        <v>30</v>
      </c>
      <c r="L400" s="249">
        <v>2</v>
      </c>
      <c r="M400" s="250">
        <v>2</v>
      </c>
      <c r="N400" s="250">
        <v>2</v>
      </c>
      <c r="O400" s="251">
        <v>1</v>
      </c>
      <c r="P400" s="116">
        <v>5740</v>
      </c>
      <c r="Q400" s="10" t="s">
        <v>31</v>
      </c>
      <c r="R400" s="4" t="s">
        <v>1294</v>
      </c>
      <c r="S400" s="4" t="s">
        <v>1379</v>
      </c>
      <c r="T400" s="4" t="s">
        <v>19</v>
      </c>
      <c r="U400" s="4" t="str">
        <f t="shared" si="23"/>
        <v>NOT AN ADD-ON</v>
      </c>
      <c r="V400" s="4" t="str">
        <f t="shared" si="25"/>
        <v>ASSET CONFIGURATION MANAGERACMAUTHORIZEDNOT AN ADD-ON</v>
      </c>
    </row>
    <row r="401" spans="1:22" ht="15" hidden="1" thickBot="1">
      <c r="A401" s="10" t="s">
        <v>21</v>
      </c>
      <c r="B401" s="10" t="s">
        <v>22</v>
      </c>
      <c r="C401" s="10" t="s">
        <v>417</v>
      </c>
      <c r="D401" s="10" t="s">
        <v>418</v>
      </c>
      <c r="E401" s="10" t="s">
        <v>419</v>
      </c>
      <c r="F401" s="10" t="s">
        <v>420</v>
      </c>
      <c r="G401" s="116">
        <v>32100</v>
      </c>
      <c r="H401" s="163" t="s">
        <v>421</v>
      </c>
      <c r="I401" s="158" t="s">
        <v>422</v>
      </c>
      <c r="J401" s="163" t="s">
        <v>423</v>
      </c>
      <c r="K401" s="10" t="s">
        <v>424</v>
      </c>
      <c r="L401" s="10">
        <v>80</v>
      </c>
      <c r="M401" s="10">
        <f t="shared" si="24"/>
        <v>80</v>
      </c>
      <c r="N401" s="10">
        <v>80</v>
      </c>
      <c r="O401" s="12">
        <v>1</v>
      </c>
      <c r="P401" s="116">
        <v>161000</v>
      </c>
      <c r="Q401" s="10" t="s">
        <v>31</v>
      </c>
      <c r="R401" s="4" t="s">
        <v>1296</v>
      </c>
      <c r="S401" s="4" t="s">
        <v>1295</v>
      </c>
      <c r="T401" s="4" t="s">
        <v>1295</v>
      </c>
      <c r="U401" s="4" t="str">
        <f t="shared" si="23"/>
        <v>NOT AN ADD-ON</v>
      </c>
      <c r="V401" s="4" t="str">
        <f t="shared" si="25"/>
        <v>ADAPTER FOR ORACLEADAPTERADAPTERNOT AN ADD-ON</v>
      </c>
    </row>
    <row r="402" spans="1:22" ht="15" hidden="1" thickBot="1">
      <c r="A402" s="10" t="s">
        <v>21</v>
      </c>
      <c r="B402" s="10" t="s">
        <v>22</v>
      </c>
      <c r="C402" s="10" t="s">
        <v>435</v>
      </c>
      <c r="D402" s="10" t="s">
        <v>418</v>
      </c>
      <c r="E402" s="10" t="s">
        <v>419</v>
      </c>
      <c r="F402" s="10" t="s">
        <v>420</v>
      </c>
      <c r="G402" s="116">
        <v>32100</v>
      </c>
      <c r="H402" s="163" t="s">
        <v>436</v>
      </c>
      <c r="I402" s="158" t="s">
        <v>437</v>
      </c>
      <c r="J402" s="163" t="s">
        <v>438</v>
      </c>
      <c r="K402" s="10" t="s">
        <v>424</v>
      </c>
      <c r="L402" s="10">
        <v>80</v>
      </c>
      <c r="M402" s="10">
        <f t="shared" si="24"/>
        <v>80</v>
      </c>
      <c r="N402" s="10">
        <v>80</v>
      </c>
      <c r="O402" s="12">
        <v>1</v>
      </c>
      <c r="P402" s="116">
        <v>161000</v>
      </c>
      <c r="Q402" s="10" t="s">
        <v>31</v>
      </c>
      <c r="R402" s="4" t="s">
        <v>1297</v>
      </c>
      <c r="S402" s="4" t="s">
        <v>1295</v>
      </c>
      <c r="T402" s="4" t="s">
        <v>1295</v>
      </c>
      <c r="U402" s="4" t="str">
        <f t="shared" si="23"/>
        <v>NOT AN ADD-ON</v>
      </c>
      <c r="V402" s="4" t="str">
        <f t="shared" si="25"/>
        <v>ADAPTER FOR SAPADAPTERADAPTERNOT AN ADD-ON</v>
      </c>
    </row>
    <row r="403" spans="1:22" ht="15" hidden="1" thickBot="1">
      <c r="A403" s="10" t="s">
        <v>21</v>
      </c>
      <c r="B403" s="10" t="s">
        <v>22</v>
      </c>
      <c r="C403" s="10" t="s">
        <v>385</v>
      </c>
      <c r="D403" s="10" t="s">
        <v>386</v>
      </c>
      <c r="E403" s="10" t="s">
        <v>387</v>
      </c>
      <c r="F403" s="10" t="s">
        <v>388</v>
      </c>
      <c r="G403" s="116">
        <v>116</v>
      </c>
      <c r="H403" s="163" t="s">
        <v>411</v>
      </c>
      <c r="I403" s="158" t="s">
        <v>412</v>
      </c>
      <c r="J403" s="163" t="s">
        <v>413</v>
      </c>
      <c r="K403" s="10" t="s">
        <v>30</v>
      </c>
      <c r="L403" s="10">
        <v>0</v>
      </c>
      <c r="M403" s="10">
        <f t="shared" si="24"/>
        <v>0</v>
      </c>
      <c r="N403" s="15">
        <v>5</v>
      </c>
      <c r="O403" s="16">
        <v>1.67</v>
      </c>
      <c r="P403" s="116">
        <v>584</v>
      </c>
      <c r="Q403" s="10" t="s">
        <v>31</v>
      </c>
      <c r="R403" s="4" t="s">
        <v>1288</v>
      </c>
      <c r="S403" s="4" t="s">
        <v>507</v>
      </c>
      <c r="T403" s="4" t="s">
        <v>19</v>
      </c>
      <c r="U403" s="4" t="str">
        <f t="shared" si="23"/>
        <v>NOT AN ADD-ON</v>
      </c>
      <c r="V403" s="4" t="str">
        <f t="shared" si="25"/>
        <v>CALIBRATIONADD-ONAUTHORIZEDNOT AN ADD-ON</v>
      </c>
    </row>
    <row r="404" spans="1:22" ht="15" hidden="1" thickBot="1">
      <c r="A404" s="10" t="s">
        <v>21</v>
      </c>
      <c r="B404" s="10" t="s">
        <v>22</v>
      </c>
      <c r="C404" s="10" t="s">
        <v>301</v>
      </c>
      <c r="D404" s="10" t="s">
        <v>141</v>
      </c>
      <c r="E404" s="10" t="s">
        <v>142</v>
      </c>
      <c r="F404" s="10" t="s">
        <v>143</v>
      </c>
      <c r="G404" s="116">
        <v>402</v>
      </c>
      <c r="H404" s="163" t="s">
        <v>307</v>
      </c>
      <c r="I404" s="158" t="s">
        <v>308</v>
      </c>
      <c r="J404" s="163" t="s">
        <v>304</v>
      </c>
      <c r="K404" s="10" t="s">
        <v>30</v>
      </c>
      <c r="L404" s="10">
        <v>0</v>
      </c>
      <c r="M404" s="10">
        <f t="shared" si="24"/>
        <v>0</v>
      </c>
      <c r="N404" s="10">
        <v>10</v>
      </c>
      <c r="O404" s="12">
        <v>3.3333333333333335</v>
      </c>
      <c r="P404" s="116">
        <v>2020</v>
      </c>
      <c r="Q404" s="10" t="s">
        <v>31</v>
      </c>
      <c r="R404" s="4" t="s">
        <v>1285</v>
      </c>
      <c r="S404" s="4" t="s">
        <v>507</v>
      </c>
      <c r="T404" s="4" t="s">
        <v>19</v>
      </c>
      <c r="U404" s="4" t="str">
        <f t="shared" si="23"/>
        <v>NOT AN ADD-ON</v>
      </c>
      <c r="V404" s="4" t="str">
        <f t="shared" si="25"/>
        <v>SCHEDULERADD-ONAUTHORIZEDNOT AN ADD-ON</v>
      </c>
    </row>
    <row r="405" spans="1:22" ht="15" hidden="1" thickBot="1">
      <c r="A405" s="10" t="s">
        <v>21</v>
      </c>
      <c r="B405" s="10" t="s">
        <v>22</v>
      </c>
      <c r="C405" s="10" t="s">
        <v>301</v>
      </c>
      <c r="D405" s="10" t="s">
        <v>141</v>
      </c>
      <c r="E405" s="10" t="s">
        <v>142</v>
      </c>
      <c r="F405" s="10" t="s">
        <v>143</v>
      </c>
      <c r="G405" s="116">
        <v>402</v>
      </c>
      <c r="H405" s="163" t="s">
        <v>333</v>
      </c>
      <c r="I405" s="158" t="s">
        <v>334</v>
      </c>
      <c r="J405" s="163" t="s">
        <v>330</v>
      </c>
      <c r="K405" s="10" t="s">
        <v>30</v>
      </c>
      <c r="L405" s="10">
        <v>0</v>
      </c>
      <c r="M405" s="10">
        <f t="shared" si="24"/>
        <v>0</v>
      </c>
      <c r="N405" s="10">
        <v>10</v>
      </c>
      <c r="O405" s="12">
        <v>3.3333333333333335</v>
      </c>
      <c r="P405" s="116">
        <v>2020</v>
      </c>
      <c r="Q405" s="10" t="s">
        <v>31</v>
      </c>
      <c r="R405" s="4" t="s">
        <v>1285</v>
      </c>
      <c r="S405" s="4" t="s">
        <v>507</v>
      </c>
      <c r="T405" s="4" t="s">
        <v>19</v>
      </c>
      <c r="U405" s="4" t="str">
        <f t="shared" si="23"/>
        <v>NOT AN ADD-ON</v>
      </c>
      <c r="V405" s="4" t="str">
        <f t="shared" si="25"/>
        <v>SCHEDULERADD-ONAUTHORIZEDNOT AN ADD-ON</v>
      </c>
    </row>
    <row r="406" spans="1:22" ht="15" hidden="1" thickBot="1">
      <c r="A406" s="10" t="s">
        <v>21</v>
      </c>
      <c r="B406" s="10" t="s">
        <v>22</v>
      </c>
      <c r="C406" s="10" t="s">
        <v>140</v>
      </c>
      <c r="D406" s="10" t="s">
        <v>141</v>
      </c>
      <c r="E406" s="10" t="s">
        <v>142</v>
      </c>
      <c r="F406" s="10" t="s">
        <v>143</v>
      </c>
      <c r="G406" s="116">
        <v>641</v>
      </c>
      <c r="H406" s="163" t="s">
        <v>264</v>
      </c>
      <c r="I406" s="158" t="s">
        <v>265</v>
      </c>
      <c r="J406" s="163" t="s">
        <v>263</v>
      </c>
      <c r="K406" s="10" t="s">
        <v>30</v>
      </c>
      <c r="L406" s="10">
        <v>2</v>
      </c>
      <c r="M406" s="10">
        <v>1</v>
      </c>
      <c r="N406" s="10">
        <v>2</v>
      </c>
      <c r="O406" s="12">
        <v>1</v>
      </c>
      <c r="P406" s="116">
        <v>3200</v>
      </c>
      <c r="Q406" s="10" t="s">
        <v>31</v>
      </c>
      <c r="R406" s="4" t="s">
        <v>1278</v>
      </c>
      <c r="S406" s="4" t="s">
        <v>1278</v>
      </c>
      <c r="T406" s="4" t="s">
        <v>672</v>
      </c>
      <c r="U406" s="4" t="str">
        <f t="shared" si="23"/>
        <v>NOT AN ADD-ON</v>
      </c>
      <c r="V406" s="4" t="str">
        <f t="shared" si="25"/>
        <v>ASSET MANAGEMENT (CORE)ASSET MANAGEMENT (CORE)LIMITEDNOT AN ADD-ON</v>
      </c>
    </row>
    <row r="407" spans="1:22" ht="15" hidden="1" thickBot="1">
      <c r="A407" s="10" t="s">
        <v>21</v>
      </c>
      <c r="B407" s="10" t="s">
        <v>22</v>
      </c>
      <c r="C407" s="10" t="s">
        <v>140</v>
      </c>
      <c r="D407" s="10" t="s">
        <v>141</v>
      </c>
      <c r="E407" s="10" t="s">
        <v>142</v>
      </c>
      <c r="F407" s="10" t="s">
        <v>143</v>
      </c>
      <c r="G407" s="116">
        <v>1290</v>
      </c>
      <c r="H407" s="163" t="s">
        <v>147</v>
      </c>
      <c r="I407" s="158" t="s">
        <v>148</v>
      </c>
      <c r="J407" s="163" t="s">
        <v>146</v>
      </c>
      <c r="K407" s="10" t="s">
        <v>30</v>
      </c>
      <c r="L407" s="10">
        <v>3</v>
      </c>
      <c r="M407" s="10">
        <v>1</v>
      </c>
      <c r="N407" s="10">
        <v>3</v>
      </c>
      <c r="O407" s="12">
        <v>1</v>
      </c>
      <c r="P407" s="116">
        <v>6390</v>
      </c>
      <c r="Q407" s="10" t="s">
        <v>31</v>
      </c>
      <c r="R407" s="4" t="s">
        <v>1278</v>
      </c>
      <c r="S407" s="4" t="s">
        <v>1278</v>
      </c>
      <c r="T407" s="4" t="s">
        <v>19</v>
      </c>
      <c r="U407" s="4" t="str">
        <f t="shared" si="23"/>
        <v>NOT AN ADD-ON</v>
      </c>
      <c r="V407" s="4" t="str">
        <f t="shared" si="25"/>
        <v>ASSET MANAGEMENT (CORE)ASSET MANAGEMENT (CORE)AUTHORIZEDNOT AN ADD-ON</v>
      </c>
    </row>
    <row r="408" spans="1:22" ht="15" hidden="1" thickBot="1">
      <c r="A408" s="10" t="s">
        <v>21</v>
      </c>
      <c r="B408" s="10" t="s">
        <v>22</v>
      </c>
      <c r="C408" s="10" t="s">
        <v>140</v>
      </c>
      <c r="D408" s="10" t="s">
        <v>141</v>
      </c>
      <c r="E408" s="10" t="s">
        <v>142</v>
      </c>
      <c r="F408" s="10" t="s">
        <v>143</v>
      </c>
      <c r="G408" s="116">
        <v>1290</v>
      </c>
      <c r="H408" s="163" t="s">
        <v>225</v>
      </c>
      <c r="I408" s="158" t="s">
        <v>226</v>
      </c>
      <c r="J408" s="163" t="s">
        <v>224</v>
      </c>
      <c r="K408" s="10" t="s">
        <v>30</v>
      </c>
      <c r="L408" s="10">
        <v>3</v>
      </c>
      <c r="M408" s="10">
        <v>1</v>
      </c>
      <c r="N408" s="10">
        <v>3</v>
      </c>
      <c r="O408" s="12">
        <v>1</v>
      </c>
      <c r="P408" s="116">
        <v>6390</v>
      </c>
      <c r="Q408" s="10" t="s">
        <v>31</v>
      </c>
      <c r="R408" s="4" t="s">
        <v>1278</v>
      </c>
      <c r="S408" s="4" t="s">
        <v>1278</v>
      </c>
      <c r="T408" s="4" t="s">
        <v>19</v>
      </c>
      <c r="U408" s="4" t="str">
        <f t="shared" si="23"/>
        <v>NOT AN ADD-ON</v>
      </c>
      <c r="V408" s="4" t="str">
        <f t="shared" si="25"/>
        <v>ASSET MANAGEMENT (CORE)ASSET MANAGEMENT (CORE)AUTHORIZEDNOT AN ADD-ON</v>
      </c>
    </row>
    <row r="409" spans="1:22" ht="15" hidden="1" thickBot="1">
      <c r="A409" s="10" t="s">
        <v>21</v>
      </c>
      <c r="B409" s="10" t="s">
        <v>22</v>
      </c>
      <c r="C409" s="10" t="s">
        <v>140</v>
      </c>
      <c r="D409" s="10" t="s">
        <v>141</v>
      </c>
      <c r="E409" s="10" t="s">
        <v>142</v>
      </c>
      <c r="F409" s="10" t="s">
        <v>143</v>
      </c>
      <c r="G409" s="116">
        <v>641</v>
      </c>
      <c r="H409" s="163" t="s">
        <v>272</v>
      </c>
      <c r="I409" s="158" t="s">
        <v>273</v>
      </c>
      <c r="J409" s="163" t="s">
        <v>271</v>
      </c>
      <c r="K409" s="10" t="s">
        <v>30</v>
      </c>
      <c r="L409" s="10">
        <v>2</v>
      </c>
      <c r="M409" s="10">
        <v>1</v>
      </c>
      <c r="N409" s="10">
        <v>2</v>
      </c>
      <c r="O409" s="12">
        <v>1</v>
      </c>
      <c r="P409" s="116">
        <v>3200</v>
      </c>
      <c r="Q409" s="10" t="s">
        <v>31</v>
      </c>
      <c r="R409" s="4" t="s">
        <v>1278</v>
      </c>
      <c r="S409" s="4" t="s">
        <v>1278</v>
      </c>
      <c r="T409" s="4" t="s">
        <v>672</v>
      </c>
      <c r="U409" s="4" t="str">
        <f t="shared" si="23"/>
        <v>NOT AN ADD-ON</v>
      </c>
      <c r="V409" s="4" t="str">
        <f t="shared" si="25"/>
        <v>ASSET MANAGEMENT (CORE)ASSET MANAGEMENT (CORE)LIMITEDNOT AN ADD-ON</v>
      </c>
    </row>
    <row r="410" spans="1:22" ht="15" hidden="1" thickBot="1">
      <c r="A410" s="10" t="s">
        <v>21</v>
      </c>
      <c r="B410" s="10" t="s">
        <v>22</v>
      </c>
      <c r="C410" s="10" t="s">
        <v>593</v>
      </c>
      <c r="D410" s="10" t="s">
        <v>594</v>
      </c>
      <c r="E410" s="10" t="s">
        <v>595</v>
      </c>
      <c r="F410" s="10" t="s">
        <v>596</v>
      </c>
      <c r="G410" s="116">
        <v>1520</v>
      </c>
      <c r="H410" s="163" t="s">
        <v>626</v>
      </c>
      <c r="I410" s="158" t="s">
        <v>627</v>
      </c>
      <c r="J410" s="163" t="s">
        <v>621</v>
      </c>
      <c r="K410" s="10" t="s">
        <v>30</v>
      </c>
      <c r="L410" s="249">
        <v>5</v>
      </c>
      <c r="M410" s="250">
        <v>1</v>
      </c>
      <c r="N410" s="250">
        <v>5</v>
      </c>
      <c r="O410" s="251">
        <v>1</v>
      </c>
      <c r="P410" s="116">
        <v>7660</v>
      </c>
      <c r="Q410" s="10" t="s">
        <v>31</v>
      </c>
      <c r="R410" s="4" t="s">
        <v>1281</v>
      </c>
      <c r="S410" s="4" t="s">
        <v>1279</v>
      </c>
      <c r="T410" s="4" t="s">
        <v>19</v>
      </c>
      <c r="U410" s="4" t="str">
        <f t="shared" si="23"/>
        <v>NOT AN ADD-ON</v>
      </c>
      <c r="V410" s="4" t="str">
        <f t="shared" si="25"/>
        <v>NUCLEAR POWERINDUSTRY SOLUTIONAUTHORIZEDNOT AN ADD-ON</v>
      </c>
    </row>
    <row r="411" spans="1:22" ht="15" hidden="1" thickBot="1">
      <c r="A411" s="10" t="s">
        <v>21</v>
      </c>
      <c r="B411" s="10" t="s">
        <v>22</v>
      </c>
      <c r="C411" s="10" t="s">
        <v>593</v>
      </c>
      <c r="D411" s="10" t="s">
        <v>594</v>
      </c>
      <c r="E411" s="10" t="s">
        <v>595</v>
      </c>
      <c r="F411" s="10" t="s">
        <v>596</v>
      </c>
      <c r="G411" s="116">
        <v>431</v>
      </c>
      <c r="H411" s="163" t="s">
        <v>597</v>
      </c>
      <c r="I411" s="158" t="s">
        <v>598</v>
      </c>
      <c r="J411" s="163" t="s">
        <v>599</v>
      </c>
      <c r="K411" s="10" t="s">
        <v>30</v>
      </c>
      <c r="L411" s="10">
        <v>2</v>
      </c>
      <c r="M411" s="10">
        <v>1</v>
      </c>
      <c r="N411" s="10">
        <v>2</v>
      </c>
      <c r="O411" s="12">
        <v>1</v>
      </c>
      <c r="P411" s="116">
        <v>2150</v>
      </c>
      <c r="Q411" s="10" t="s">
        <v>31</v>
      </c>
      <c r="R411" s="4" t="s">
        <v>1281</v>
      </c>
      <c r="S411" s="4" t="s">
        <v>1279</v>
      </c>
      <c r="T411" s="4" t="s">
        <v>19</v>
      </c>
      <c r="U411" s="4" t="s">
        <v>507</v>
      </c>
      <c r="V411" s="4" t="str">
        <f t="shared" si="25"/>
        <v>NUCLEAR POWERINDUSTRY SOLUTIONAUTHORIZEDADD-ON</v>
      </c>
    </row>
    <row r="412" spans="1:22" ht="15" hidden="1" thickBot="1">
      <c r="A412" s="10" t="s">
        <v>21</v>
      </c>
      <c r="B412" s="10" t="s">
        <v>22</v>
      </c>
      <c r="C412" s="10" t="s">
        <v>593</v>
      </c>
      <c r="D412" s="10" t="s">
        <v>594</v>
      </c>
      <c r="E412" s="10" t="s">
        <v>595</v>
      </c>
      <c r="F412" s="10" t="s">
        <v>596</v>
      </c>
      <c r="G412" s="116">
        <v>1520</v>
      </c>
      <c r="H412" s="163" t="s">
        <v>664</v>
      </c>
      <c r="I412" s="158" t="s">
        <v>665</v>
      </c>
      <c r="J412" s="163" t="s">
        <v>659</v>
      </c>
      <c r="K412" s="10" t="s">
        <v>30</v>
      </c>
      <c r="L412" s="249">
        <v>5</v>
      </c>
      <c r="M412" s="250">
        <v>1</v>
      </c>
      <c r="N412" s="250">
        <v>5</v>
      </c>
      <c r="O412" s="251">
        <v>1</v>
      </c>
      <c r="P412" s="116">
        <v>7660</v>
      </c>
      <c r="Q412" s="10" t="s">
        <v>31</v>
      </c>
      <c r="R412" s="4" t="s">
        <v>1281</v>
      </c>
      <c r="S412" s="4" t="s">
        <v>1279</v>
      </c>
      <c r="T412" s="4" t="s">
        <v>19</v>
      </c>
      <c r="U412" s="4" t="str">
        <f>IF(ISNUMBER(SEARCH("ADD-ON",$I412)),"ADD-ON","NOT AN ADD-ON")</f>
        <v>NOT AN ADD-ON</v>
      </c>
      <c r="V412" s="4" t="str">
        <f t="shared" si="25"/>
        <v>NUCLEAR POWERINDUSTRY SOLUTIONAUTHORIZEDNOT AN ADD-ON</v>
      </c>
    </row>
    <row r="413" spans="1:22" ht="15" hidden="1" thickBot="1">
      <c r="A413" s="10" t="s">
        <v>21</v>
      </c>
      <c r="B413" s="10" t="s">
        <v>22</v>
      </c>
      <c r="C413" s="10" t="s">
        <v>593</v>
      </c>
      <c r="D413" s="10" t="s">
        <v>594</v>
      </c>
      <c r="E413" s="10" t="s">
        <v>595</v>
      </c>
      <c r="F413" s="10" t="s">
        <v>596</v>
      </c>
      <c r="G413" s="116">
        <v>431</v>
      </c>
      <c r="H413" s="163" t="s">
        <v>651</v>
      </c>
      <c r="I413" s="158" t="s">
        <v>652</v>
      </c>
      <c r="J413" s="163" t="s">
        <v>653</v>
      </c>
      <c r="K413" s="10" t="s">
        <v>30</v>
      </c>
      <c r="L413" s="10">
        <v>2</v>
      </c>
      <c r="M413" s="10">
        <v>1</v>
      </c>
      <c r="N413" s="10">
        <v>2</v>
      </c>
      <c r="O413" s="12">
        <v>1</v>
      </c>
      <c r="P413" s="116">
        <v>2150</v>
      </c>
      <c r="Q413" s="10" t="s">
        <v>31</v>
      </c>
      <c r="R413" s="4" t="s">
        <v>1281</v>
      </c>
      <c r="S413" s="4" t="s">
        <v>1279</v>
      </c>
      <c r="T413" s="4" t="s">
        <v>19</v>
      </c>
      <c r="U413" s="4" t="s">
        <v>507</v>
      </c>
      <c r="V413" s="4" t="str">
        <f t="shared" si="25"/>
        <v>NUCLEAR POWERINDUSTRY SOLUTIONAUTHORIZEDADD-ON</v>
      </c>
    </row>
    <row r="414" spans="1:22" ht="15" hidden="1" thickBot="1">
      <c r="A414" s="10" t="s">
        <v>21</v>
      </c>
      <c r="B414" s="10" t="s">
        <v>22</v>
      </c>
      <c r="C414" s="10" t="s">
        <v>686</v>
      </c>
      <c r="D414" s="10" t="s">
        <v>687</v>
      </c>
      <c r="E414" s="10" t="s">
        <v>688</v>
      </c>
      <c r="F414" s="10" t="s">
        <v>689</v>
      </c>
      <c r="G414" s="116">
        <v>1520</v>
      </c>
      <c r="H414" s="163" t="s">
        <v>719</v>
      </c>
      <c r="I414" s="158" t="s">
        <v>720</v>
      </c>
      <c r="J414" s="163" t="s">
        <v>714</v>
      </c>
      <c r="K414" s="10" t="s">
        <v>30</v>
      </c>
      <c r="L414" s="249">
        <v>5</v>
      </c>
      <c r="M414" s="250">
        <v>1</v>
      </c>
      <c r="N414" s="250">
        <v>5</v>
      </c>
      <c r="O414" s="251">
        <v>1</v>
      </c>
      <c r="P414" s="116">
        <v>7660</v>
      </c>
      <c r="Q414" s="10" t="s">
        <v>31</v>
      </c>
      <c r="R414" s="4" t="s">
        <v>1282</v>
      </c>
      <c r="S414" s="4" t="s">
        <v>1279</v>
      </c>
      <c r="T414" s="4" t="s">
        <v>19</v>
      </c>
      <c r="U414" s="4" t="str">
        <f>IF(ISNUMBER(SEARCH("ADD-ON",$I414)),"ADD-ON","NOT AN ADD-ON")</f>
        <v>NOT AN ADD-ON</v>
      </c>
      <c r="V414" s="4" t="str">
        <f t="shared" si="25"/>
        <v>OIL AND GASINDUSTRY SOLUTIONAUTHORIZEDNOT AN ADD-ON</v>
      </c>
    </row>
    <row r="415" spans="1:22" ht="15" hidden="1" thickBot="1">
      <c r="A415" s="10" t="s">
        <v>21</v>
      </c>
      <c r="B415" s="10" t="s">
        <v>22</v>
      </c>
      <c r="C415" s="10" t="s">
        <v>686</v>
      </c>
      <c r="D415" s="10" t="s">
        <v>687</v>
      </c>
      <c r="E415" s="10" t="s">
        <v>688</v>
      </c>
      <c r="F415" s="10" t="s">
        <v>689</v>
      </c>
      <c r="G415" s="116">
        <v>431</v>
      </c>
      <c r="H415" s="163" t="s">
        <v>690</v>
      </c>
      <c r="I415" s="158" t="s">
        <v>691</v>
      </c>
      <c r="J415" s="163" t="s">
        <v>692</v>
      </c>
      <c r="K415" s="10" t="s">
        <v>30</v>
      </c>
      <c r="L415" s="10">
        <v>2</v>
      </c>
      <c r="M415" s="10">
        <v>1</v>
      </c>
      <c r="N415" s="10">
        <v>2</v>
      </c>
      <c r="O415" s="12">
        <v>1</v>
      </c>
      <c r="P415" s="116">
        <v>2150</v>
      </c>
      <c r="Q415" s="10" t="s">
        <v>31</v>
      </c>
      <c r="R415" s="4" t="s">
        <v>1282</v>
      </c>
      <c r="S415" s="4" t="s">
        <v>1279</v>
      </c>
      <c r="T415" s="4" t="s">
        <v>19</v>
      </c>
      <c r="U415" s="4" t="s">
        <v>507</v>
      </c>
      <c r="V415" s="4" t="str">
        <f t="shared" si="25"/>
        <v>OIL AND GASINDUSTRY SOLUTIONAUTHORIZEDADD-ON</v>
      </c>
    </row>
    <row r="416" spans="1:22" ht="15" hidden="1" thickBot="1">
      <c r="A416" s="10" t="s">
        <v>21</v>
      </c>
      <c r="B416" s="10" t="s">
        <v>22</v>
      </c>
      <c r="C416" s="10" t="s">
        <v>686</v>
      </c>
      <c r="D416" s="10" t="s">
        <v>687</v>
      </c>
      <c r="E416" s="10" t="s">
        <v>688</v>
      </c>
      <c r="F416" s="10" t="s">
        <v>689</v>
      </c>
      <c r="G416" s="116">
        <v>1520</v>
      </c>
      <c r="H416" s="163" t="s">
        <v>756</v>
      </c>
      <c r="I416" s="158" t="s">
        <v>757</v>
      </c>
      <c r="J416" s="163" t="s">
        <v>758</v>
      </c>
      <c r="K416" s="10" t="s">
        <v>30</v>
      </c>
      <c r="L416" s="249">
        <v>5</v>
      </c>
      <c r="M416" s="250">
        <v>1</v>
      </c>
      <c r="N416" s="250">
        <v>5</v>
      </c>
      <c r="O416" s="251">
        <v>1</v>
      </c>
      <c r="P416" s="116">
        <v>7660</v>
      </c>
      <c r="Q416" s="10" t="s">
        <v>31</v>
      </c>
      <c r="R416" s="4" t="s">
        <v>1282</v>
      </c>
      <c r="S416" s="4" t="s">
        <v>1279</v>
      </c>
      <c r="T416" s="4" t="s">
        <v>19</v>
      </c>
      <c r="U416" s="4" t="str">
        <f>IF(ISNUMBER(SEARCH("ADD-ON",$I416)),"ADD-ON","NOT AN ADD-ON")</f>
        <v>NOT AN ADD-ON</v>
      </c>
      <c r="V416" s="4" t="str">
        <f t="shared" si="25"/>
        <v>OIL AND GASINDUSTRY SOLUTIONAUTHORIZEDNOT AN ADD-ON</v>
      </c>
    </row>
    <row r="417" spans="1:22" ht="15" hidden="1" thickBot="1">
      <c r="A417" s="10" t="s">
        <v>21</v>
      </c>
      <c r="B417" s="10" t="s">
        <v>22</v>
      </c>
      <c r="C417" s="10" t="s">
        <v>686</v>
      </c>
      <c r="D417" s="10" t="s">
        <v>687</v>
      </c>
      <c r="E417" s="10" t="s">
        <v>688</v>
      </c>
      <c r="F417" s="10" t="s">
        <v>689</v>
      </c>
      <c r="G417" s="116">
        <v>431</v>
      </c>
      <c r="H417" s="163" t="s">
        <v>744</v>
      </c>
      <c r="I417" s="158" t="s">
        <v>745</v>
      </c>
      <c r="J417" s="163" t="s">
        <v>746</v>
      </c>
      <c r="K417" s="10" t="s">
        <v>30</v>
      </c>
      <c r="L417" s="10">
        <v>2</v>
      </c>
      <c r="M417" s="10">
        <v>1</v>
      </c>
      <c r="N417" s="10">
        <v>2</v>
      </c>
      <c r="O417" s="12">
        <v>1</v>
      </c>
      <c r="P417" s="116">
        <v>2150</v>
      </c>
      <c r="Q417" s="10" t="s">
        <v>31</v>
      </c>
      <c r="R417" s="4" t="s">
        <v>1282</v>
      </c>
      <c r="S417" s="4" t="s">
        <v>1279</v>
      </c>
      <c r="T417" s="4" t="s">
        <v>19</v>
      </c>
      <c r="U417" s="4" t="s">
        <v>507</v>
      </c>
      <c r="V417" s="4" t="str">
        <f t="shared" si="25"/>
        <v>OIL AND GASINDUSTRY SOLUTIONAUTHORIZEDADD-ON</v>
      </c>
    </row>
    <row r="418" spans="1:22" ht="15" hidden="1" thickBot="1">
      <c r="A418" s="10" t="s">
        <v>21</v>
      </c>
      <c r="B418" s="10" t="s">
        <v>22</v>
      </c>
      <c r="C418" s="10" t="s">
        <v>778</v>
      </c>
      <c r="D418" s="10" t="s">
        <v>779</v>
      </c>
      <c r="E418" s="10" t="s">
        <v>780</v>
      </c>
      <c r="F418" s="10" t="s">
        <v>781</v>
      </c>
      <c r="G418" s="116">
        <v>1520</v>
      </c>
      <c r="H418" s="163" t="s">
        <v>811</v>
      </c>
      <c r="I418" s="158" t="s">
        <v>812</v>
      </c>
      <c r="J418" s="163" t="s">
        <v>806</v>
      </c>
      <c r="K418" s="10" t="s">
        <v>30</v>
      </c>
      <c r="L418" s="10">
        <v>5</v>
      </c>
      <c r="M418" s="10">
        <v>1</v>
      </c>
      <c r="N418" s="10">
        <v>5</v>
      </c>
      <c r="O418" s="12">
        <v>1</v>
      </c>
      <c r="P418" s="116">
        <v>7660</v>
      </c>
      <c r="Q418" s="10" t="s">
        <v>31</v>
      </c>
      <c r="R418" s="4" t="s">
        <v>1283</v>
      </c>
      <c r="S418" s="4" t="s">
        <v>1279</v>
      </c>
      <c r="T418" s="4" t="s">
        <v>19</v>
      </c>
      <c r="U418" s="4" t="str">
        <f>IF(ISNUMBER(SEARCH("ADD-ON",$I418)),"ADD-ON","NOT AN ADD-ON")</f>
        <v>NOT AN ADD-ON</v>
      </c>
      <c r="V418" s="4" t="str">
        <f t="shared" si="25"/>
        <v>TRANSPORATIONINDUSTRY SOLUTIONAUTHORIZEDNOT AN ADD-ON</v>
      </c>
    </row>
    <row r="419" spans="1:22" ht="15" hidden="1" thickBot="1">
      <c r="A419" s="10" t="s">
        <v>21</v>
      </c>
      <c r="B419" s="10" t="s">
        <v>22</v>
      </c>
      <c r="C419" s="10" t="s">
        <v>778</v>
      </c>
      <c r="D419" s="10" t="s">
        <v>779</v>
      </c>
      <c r="E419" s="10" t="s">
        <v>780</v>
      </c>
      <c r="F419" s="10" t="s">
        <v>781</v>
      </c>
      <c r="G419" s="116">
        <v>431</v>
      </c>
      <c r="H419" s="163" t="s">
        <v>782</v>
      </c>
      <c r="I419" s="158" t="s">
        <v>783</v>
      </c>
      <c r="J419" s="163" t="s">
        <v>784</v>
      </c>
      <c r="K419" s="10" t="s">
        <v>30</v>
      </c>
      <c r="L419" s="10">
        <v>2</v>
      </c>
      <c r="M419" s="10">
        <v>1</v>
      </c>
      <c r="N419" s="10">
        <v>2</v>
      </c>
      <c r="O419" s="12">
        <v>1</v>
      </c>
      <c r="P419" s="116">
        <v>2150</v>
      </c>
      <c r="Q419" s="10" t="s">
        <v>31</v>
      </c>
      <c r="R419" s="4" t="s">
        <v>1283</v>
      </c>
      <c r="S419" s="4" t="s">
        <v>1279</v>
      </c>
      <c r="T419" s="4" t="s">
        <v>19</v>
      </c>
      <c r="U419" s="4" t="s">
        <v>507</v>
      </c>
      <c r="V419" s="4" t="str">
        <f t="shared" si="25"/>
        <v>TRANSPORATIONINDUSTRY SOLUTIONAUTHORIZEDADD-ON</v>
      </c>
    </row>
    <row r="420" spans="1:22" ht="15" hidden="1" thickBot="1">
      <c r="A420" s="10" t="s">
        <v>21</v>
      </c>
      <c r="B420" s="10" t="s">
        <v>22</v>
      </c>
      <c r="C420" s="10" t="s">
        <v>778</v>
      </c>
      <c r="D420" s="10" t="s">
        <v>779</v>
      </c>
      <c r="E420" s="10" t="s">
        <v>780</v>
      </c>
      <c r="F420" s="10" t="s">
        <v>781</v>
      </c>
      <c r="G420" s="116">
        <v>1520</v>
      </c>
      <c r="H420" s="163" t="s">
        <v>849</v>
      </c>
      <c r="I420" s="158" t="s">
        <v>850</v>
      </c>
      <c r="J420" s="163" t="s">
        <v>844</v>
      </c>
      <c r="K420" s="10" t="s">
        <v>30</v>
      </c>
      <c r="L420" s="10">
        <v>5</v>
      </c>
      <c r="M420" s="10">
        <v>1</v>
      </c>
      <c r="N420" s="10">
        <v>5</v>
      </c>
      <c r="O420" s="12">
        <v>1</v>
      </c>
      <c r="P420" s="116">
        <v>7660</v>
      </c>
      <c r="Q420" s="10" t="s">
        <v>31</v>
      </c>
      <c r="R420" s="4" t="s">
        <v>1283</v>
      </c>
      <c r="S420" s="4" t="s">
        <v>1279</v>
      </c>
      <c r="T420" s="4" t="s">
        <v>19</v>
      </c>
      <c r="U420" s="4" t="str">
        <f>IF(ISNUMBER(SEARCH("ADD-ON",$I420)),"ADD-ON","NOT AN ADD-ON")</f>
        <v>NOT AN ADD-ON</v>
      </c>
      <c r="V420" s="4" t="str">
        <f t="shared" si="25"/>
        <v>TRANSPORATIONINDUSTRY SOLUTIONAUTHORIZEDNOT AN ADD-ON</v>
      </c>
    </row>
    <row r="421" spans="1:22" ht="15" hidden="1" thickBot="1">
      <c r="A421" s="10" t="s">
        <v>21</v>
      </c>
      <c r="B421" s="10" t="s">
        <v>22</v>
      </c>
      <c r="C421" s="10" t="s">
        <v>778</v>
      </c>
      <c r="D421" s="10" t="s">
        <v>779</v>
      </c>
      <c r="E421" s="10" t="s">
        <v>780</v>
      </c>
      <c r="F421" s="10" t="s">
        <v>781</v>
      </c>
      <c r="G421" s="116">
        <v>431</v>
      </c>
      <c r="H421" s="163" t="s">
        <v>836</v>
      </c>
      <c r="I421" s="158" t="s">
        <v>837</v>
      </c>
      <c r="J421" s="163" t="s">
        <v>838</v>
      </c>
      <c r="K421" s="10" t="s">
        <v>30</v>
      </c>
      <c r="L421" s="10">
        <v>2</v>
      </c>
      <c r="M421" s="10">
        <v>1</v>
      </c>
      <c r="N421" s="10">
        <v>2</v>
      </c>
      <c r="O421" s="12">
        <v>1</v>
      </c>
      <c r="P421" s="116">
        <v>2150</v>
      </c>
      <c r="Q421" s="10" t="s">
        <v>31</v>
      </c>
      <c r="R421" s="4" t="s">
        <v>1283</v>
      </c>
      <c r="S421" s="4" t="s">
        <v>1279</v>
      </c>
      <c r="T421" s="4" t="s">
        <v>19</v>
      </c>
      <c r="U421" s="4" t="s">
        <v>507</v>
      </c>
      <c r="V421" s="4" t="str">
        <f t="shared" si="25"/>
        <v>TRANSPORATIONINDUSTRY SOLUTIONAUTHORIZEDADD-ON</v>
      </c>
    </row>
    <row r="422" spans="1:22" ht="15" hidden="1" thickBot="1">
      <c r="A422" s="10" t="s">
        <v>21</v>
      </c>
      <c r="B422" s="10" t="s">
        <v>22</v>
      </c>
      <c r="C422" s="10" t="s">
        <v>870</v>
      </c>
      <c r="D422" s="10" t="s">
        <v>871</v>
      </c>
      <c r="E422" s="10" t="s">
        <v>872</v>
      </c>
      <c r="F422" s="10" t="s">
        <v>873</v>
      </c>
      <c r="G422" s="116">
        <v>1520</v>
      </c>
      <c r="H422" s="163" t="s">
        <v>903</v>
      </c>
      <c r="I422" s="158" t="s">
        <v>904</v>
      </c>
      <c r="J422" s="163" t="s">
        <v>898</v>
      </c>
      <c r="K422" s="10" t="s">
        <v>30</v>
      </c>
      <c r="L422" s="10">
        <v>5</v>
      </c>
      <c r="M422" s="10">
        <v>1</v>
      </c>
      <c r="N422" s="10">
        <v>5</v>
      </c>
      <c r="O422" s="12">
        <v>1</v>
      </c>
      <c r="P422" s="116">
        <v>7660</v>
      </c>
      <c r="Q422" s="10" t="s">
        <v>31</v>
      </c>
      <c r="R422" s="4" t="s">
        <v>1284</v>
      </c>
      <c r="S422" s="4" t="s">
        <v>1279</v>
      </c>
      <c r="T422" s="4" t="s">
        <v>19</v>
      </c>
      <c r="U422" s="4" t="str">
        <f>IF(ISNUMBER(SEARCH("ADD-ON",$I422)),"ADD-ON","NOT AN ADD-ON")</f>
        <v>NOT AN ADD-ON</v>
      </c>
      <c r="V422" s="4" t="str">
        <f t="shared" si="25"/>
        <v>UTILITIESINDUSTRY SOLUTIONAUTHORIZEDNOT AN ADD-ON</v>
      </c>
    </row>
    <row r="423" spans="1:22" ht="15" hidden="1" thickBot="1">
      <c r="A423" s="10" t="s">
        <v>21</v>
      </c>
      <c r="B423" s="10" t="s">
        <v>22</v>
      </c>
      <c r="C423" s="10" t="s">
        <v>870</v>
      </c>
      <c r="D423" s="10" t="s">
        <v>871</v>
      </c>
      <c r="E423" s="10" t="s">
        <v>872</v>
      </c>
      <c r="F423" s="10" t="s">
        <v>873</v>
      </c>
      <c r="G423" s="116">
        <v>431</v>
      </c>
      <c r="H423" s="163" t="s">
        <v>874</v>
      </c>
      <c r="I423" s="158" t="s">
        <v>875</v>
      </c>
      <c r="J423" s="163" t="s">
        <v>876</v>
      </c>
      <c r="K423" s="10" t="s">
        <v>30</v>
      </c>
      <c r="L423" s="10">
        <v>2</v>
      </c>
      <c r="M423" s="10">
        <v>1</v>
      </c>
      <c r="N423" s="10">
        <v>2</v>
      </c>
      <c r="O423" s="12">
        <v>1</v>
      </c>
      <c r="P423" s="116">
        <v>2150</v>
      </c>
      <c r="Q423" s="10" t="s">
        <v>31</v>
      </c>
      <c r="R423" s="4" t="s">
        <v>1284</v>
      </c>
      <c r="S423" s="4" t="s">
        <v>1279</v>
      </c>
      <c r="T423" s="4" t="s">
        <v>19</v>
      </c>
      <c r="U423" s="4" t="s">
        <v>507</v>
      </c>
      <c r="V423" s="4" t="str">
        <f t="shared" si="25"/>
        <v>UTILITIESINDUSTRY SOLUTIONAUTHORIZEDADD-ON</v>
      </c>
    </row>
    <row r="424" spans="1:22" ht="15" hidden="1" thickBot="1">
      <c r="A424" s="10" t="s">
        <v>21</v>
      </c>
      <c r="B424" s="10" t="s">
        <v>22</v>
      </c>
      <c r="C424" s="10" t="s">
        <v>870</v>
      </c>
      <c r="D424" s="10" t="s">
        <v>871</v>
      </c>
      <c r="E424" s="10" t="s">
        <v>872</v>
      </c>
      <c r="F424" s="10" t="s">
        <v>873</v>
      </c>
      <c r="G424" s="116">
        <v>1520</v>
      </c>
      <c r="H424" s="163" t="s">
        <v>937</v>
      </c>
      <c r="I424" s="158" t="s">
        <v>938</v>
      </c>
      <c r="J424" s="163" t="s">
        <v>932</v>
      </c>
      <c r="K424" s="10" t="s">
        <v>30</v>
      </c>
      <c r="L424" s="10">
        <v>5</v>
      </c>
      <c r="M424" s="10">
        <v>1</v>
      </c>
      <c r="N424" s="10">
        <v>5</v>
      </c>
      <c r="O424" s="12">
        <v>1</v>
      </c>
      <c r="P424" s="116">
        <v>7660</v>
      </c>
      <c r="Q424" s="10" t="s">
        <v>31</v>
      </c>
      <c r="R424" s="4" t="s">
        <v>1284</v>
      </c>
      <c r="S424" s="4" t="s">
        <v>1279</v>
      </c>
      <c r="T424" s="4" t="s">
        <v>19</v>
      </c>
      <c r="U424" s="4" t="str">
        <f>IF(ISNUMBER(SEARCH("ADD-ON",$I424)),"ADD-ON","NOT AN ADD-ON")</f>
        <v>NOT AN ADD-ON</v>
      </c>
      <c r="V424" s="4" t="str">
        <f t="shared" si="25"/>
        <v>UTILITIESINDUSTRY SOLUTIONAUTHORIZEDNOT AN ADD-ON</v>
      </c>
    </row>
    <row r="425" spans="1:22" ht="15" hidden="1" thickBot="1">
      <c r="A425" s="10" t="s">
        <v>21</v>
      </c>
      <c r="B425" s="10" t="s">
        <v>22</v>
      </c>
      <c r="C425" s="10" t="s">
        <v>870</v>
      </c>
      <c r="D425" s="10" t="s">
        <v>871</v>
      </c>
      <c r="E425" s="10" t="s">
        <v>872</v>
      </c>
      <c r="F425" s="10" t="s">
        <v>873</v>
      </c>
      <c r="G425" s="116">
        <v>431</v>
      </c>
      <c r="H425" s="163" t="s">
        <v>924</v>
      </c>
      <c r="I425" s="158" t="s">
        <v>925</v>
      </c>
      <c r="J425" s="163" t="s">
        <v>926</v>
      </c>
      <c r="K425" s="10" t="s">
        <v>30</v>
      </c>
      <c r="L425" s="10">
        <v>5</v>
      </c>
      <c r="M425" s="10">
        <v>1</v>
      </c>
      <c r="N425" s="10">
        <v>5</v>
      </c>
      <c r="O425" s="12">
        <v>1</v>
      </c>
      <c r="P425" s="116">
        <v>2150</v>
      </c>
      <c r="Q425" s="10" t="s">
        <v>31</v>
      </c>
      <c r="R425" s="4" t="s">
        <v>1284</v>
      </c>
      <c r="S425" s="4" t="s">
        <v>1279</v>
      </c>
      <c r="T425" s="4" t="s">
        <v>19</v>
      </c>
      <c r="U425" s="4" t="str">
        <f>IF(ISNUMBER(SEARCH("ADD-ON",$I425)),"ADD-ON","NOT AN ADD-ON")</f>
        <v>NOT AN ADD-ON</v>
      </c>
      <c r="V425" s="4" t="str">
        <f t="shared" si="25"/>
        <v>UTILITIESINDUSTRY SOLUTIONAUTHORIZEDNOT AN ADD-ON</v>
      </c>
    </row>
    <row r="426" spans="1:22" ht="15" hidden="1" thickBot="1">
      <c r="A426" s="10" t="s">
        <v>21</v>
      </c>
      <c r="B426" s="10" t="s">
        <v>22</v>
      </c>
      <c r="C426" s="10" t="s">
        <v>500</v>
      </c>
      <c r="D426" s="10" t="s">
        <v>501</v>
      </c>
      <c r="E426" s="10" t="s">
        <v>502</v>
      </c>
      <c r="F426" s="10" t="s">
        <v>503</v>
      </c>
      <c r="G426" s="116">
        <v>1400</v>
      </c>
      <c r="H426" s="163" t="s">
        <v>534</v>
      </c>
      <c r="I426" s="158" t="s">
        <v>535</v>
      </c>
      <c r="J426" s="163" t="s">
        <v>529</v>
      </c>
      <c r="K426" s="10" t="s">
        <v>30</v>
      </c>
      <c r="L426" s="249">
        <v>3</v>
      </c>
      <c r="M426" s="250">
        <v>1</v>
      </c>
      <c r="N426" s="250">
        <v>3</v>
      </c>
      <c r="O426" s="251">
        <v>1</v>
      </c>
      <c r="P426" s="116">
        <v>6980</v>
      </c>
      <c r="Q426" s="10" t="s">
        <v>31</v>
      </c>
      <c r="R426" s="4" t="s">
        <v>1292</v>
      </c>
      <c r="S426" s="4" t="s">
        <v>1292</v>
      </c>
      <c r="T426" s="4" t="s">
        <v>19</v>
      </c>
      <c r="U426" s="4" t="str">
        <f>IF(ISNUMBER(SEARCH("ADD-ON",$I426)),"ADD-ON","NOT AN ADD-ON")</f>
        <v>NOT AN ADD-ON</v>
      </c>
      <c r="V426" s="4" t="str">
        <f t="shared" si="25"/>
        <v>LIFE SCIENCESLIFE SCIENCESAUTHORIZEDNOT AN ADD-ON</v>
      </c>
    </row>
    <row r="427" spans="1:22" ht="29.25" hidden="1" customHeight="1" thickBot="1">
      <c r="A427" s="10" t="s">
        <v>21</v>
      </c>
      <c r="B427" s="10" t="s">
        <v>22</v>
      </c>
      <c r="C427" s="10" t="s">
        <v>500</v>
      </c>
      <c r="D427" s="10" t="s">
        <v>501</v>
      </c>
      <c r="E427" s="10" t="s">
        <v>502</v>
      </c>
      <c r="F427" s="10" t="s">
        <v>503</v>
      </c>
      <c r="G427" s="116">
        <v>142</v>
      </c>
      <c r="H427" s="163" t="s">
        <v>504</v>
      </c>
      <c r="I427" s="158" t="s">
        <v>505</v>
      </c>
      <c r="J427" s="163" t="s">
        <v>506</v>
      </c>
      <c r="K427" s="10" t="s">
        <v>30</v>
      </c>
      <c r="L427" s="10">
        <v>0</v>
      </c>
      <c r="M427" s="10">
        <f t="shared" si="24"/>
        <v>0</v>
      </c>
      <c r="N427" s="15">
        <v>5</v>
      </c>
      <c r="O427" s="16">
        <v>1.67</v>
      </c>
      <c r="P427" s="116">
        <v>712</v>
      </c>
      <c r="Q427" s="10" t="s">
        <v>31</v>
      </c>
      <c r="R427" s="4" t="s">
        <v>1292</v>
      </c>
      <c r="S427" s="4" t="s">
        <v>1292</v>
      </c>
      <c r="T427" s="4" t="s">
        <v>19</v>
      </c>
      <c r="U427" s="4" t="s">
        <v>507</v>
      </c>
      <c r="V427" s="4" t="str">
        <f t="shared" si="25"/>
        <v>LIFE SCIENCESLIFE SCIENCESAUTHORIZEDADD-ON</v>
      </c>
    </row>
    <row r="428" spans="1:22" ht="15" hidden="1" thickBot="1">
      <c r="A428" s="10" t="s">
        <v>21</v>
      </c>
      <c r="B428" s="10" t="s">
        <v>22</v>
      </c>
      <c r="C428" s="10" t="s">
        <v>500</v>
      </c>
      <c r="D428" s="10" t="s">
        <v>501</v>
      </c>
      <c r="E428" s="10" t="s">
        <v>502</v>
      </c>
      <c r="F428" s="10" t="s">
        <v>503</v>
      </c>
      <c r="G428" s="116">
        <v>1400</v>
      </c>
      <c r="H428" s="163" t="s">
        <v>571</v>
      </c>
      <c r="I428" s="158" t="s">
        <v>572</v>
      </c>
      <c r="J428" s="163" t="s">
        <v>573</v>
      </c>
      <c r="K428" s="10" t="s">
        <v>30</v>
      </c>
      <c r="L428" s="249">
        <v>3</v>
      </c>
      <c r="M428" s="250">
        <v>1</v>
      </c>
      <c r="N428" s="250">
        <v>3</v>
      </c>
      <c r="O428" s="251">
        <v>1</v>
      </c>
      <c r="P428" s="116">
        <v>6980</v>
      </c>
      <c r="Q428" s="10" t="s">
        <v>31</v>
      </c>
      <c r="R428" s="4" t="s">
        <v>1292</v>
      </c>
      <c r="S428" s="4" t="s">
        <v>1292</v>
      </c>
      <c r="T428" s="4" t="s">
        <v>19</v>
      </c>
      <c r="U428" s="4" t="str">
        <f>IF(ISNUMBER(SEARCH("ADD-ON",$I428)),"ADD-ON","NOT AN ADD-ON")</f>
        <v>NOT AN ADD-ON</v>
      </c>
      <c r="V428" s="4" t="str">
        <f t="shared" si="25"/>
        <v>LIFE SCIENCESLIFE SCIENCESAUTHORIZEDNOT AN ADD-ON</v>
      </c>
    </row>
    <row r="429" spans="1:22" ht="15" hidden="1" thickBot="1">
      <c r="A429" s="10" t="s">
        <v>21</v>
      </c>
      <c r="B429" s="10" t="s">
        <v>22</v>
      </c>
      <c r="C429" s="10" t="s">
        <v>500</v>
      </c>
      <c r="D429" s="10" t="s">
        <v>501</v>
      </c>
      <c r="E429" s="10" t="s">
        <v>502</v>
      </c>
      <c r="F429" s="10" t="s">
        <v>503</v>
      </c>
      <c r="G429" s="116">
        <v>142</v>
      </c>
      <c r="H429" s="163" t="s">
        <v>559</v>
      </c>
      <c r="I429" s="158" t="s">
        <v>560</v>
      </c>
      <c r="J429" s="163" t="s">
        <v>561</v>
      </c>
      <c r="K429" s="10" t="s">
        <v>30</v>
      </c>
      <c r="L429" s="10">
        <v>0</v>
      </c>
      <c r="M429" s="10">
        <f t="shared" si="24"/>
        <v>0</v>
      </c>
      <c r="N429" s="10">
        <v>5</v>
      </c>
      <c r="O429" s="12">
        <v>1.6666666666666667</v>
      </c>
      <c r="P429" s="116">
        <v>712</v>
      </c>
      <c r="Q429" s="10" t="s">
        <v>31</v>
      </c>
      <c r="R429" s="4" t="s">
        <v>1292</v>
      </c>
      <c r="S429" s="4" t="s">
        <v>1292</v>
      </c>
      <c r="T429" s="4" t="s">
        <v>19</v>
      </c>
      <c r="U429" s="4" t="s">
        <v>507</v>
      </c>
      <c r="V429" s="4" t="str">
        <f t="shared" si="25"/>
        <v>LIFE SCIENCESLIFE SCIENCESAUTHORIZEDADD-ON</v>
      </c>
    </row>
    <row r="430" spans="1:22" ht="15" hidden="1" thickBot="1">
      <c r="A430" s="10" t="s">
        <v>21</v>
      </c>
      <c r="B430" s="10" t="s">
        <v>22</v>
      </c>
      <c r="C430" s="10" t="s">
        <v>1044</v>
      </c>
      <c r="D430" s="10" t="s">
        <v>1045</v>
      </c>
      <c r="E430" s="10" t="s">
        <v>1046</v>
      </c>
      <c r="F430" s="10" t="s">
        <v>1047</v>
      </c>
      <c r="G430" s="116">
        <v>7150</v>
      </c>
      <c r="H430" s="163" t="s">
        <v>1083</v>
      </c>
      <c r="I430" s="158" t="s">
        <v>1084</v>
      </c>
      <c r="J430" s="163" t="s">
        <v>1085</v>
      </c>
      <c r="K430" s="10" t="s">
        <v>1079</v>
      </c>
      <c r="L430" s="10">
        <v>20</v>
      </c>
      <c r="M430" s="10">
        <f t="shared" si="24"/>
        <v>20</v>
      </c>
      <c r="N430" s="10">
        <v>20</v>
      </c>
      <c r="O430" s="12">
        <v>1</v>
      </c>
      <c r="P430" s="116">
        <v>35700</v>
      </c>
      <c r="Q430" s="10" t="s">
        <v>31</v>
      </c>
      <c r="R430" s="4" t="s">
        <v>1291</v>
      </c>
      <c r="S430" s="4" t="s">
        <v>507</v>
      </c>
      <c r="T430" s="4" t="s">
        <v>1384</v>
      </c>
      <c r="U430" s="4" t="str">
        <f t="shared" ref="U430:U476" si="26">IF(ISNUMBER(SEARCH("ADD-ON",$I430)),"ADD-ON","NOT AN ADD-ON")</f>
        <v>NOT AN ADD-ON</v>
      </c>
      <c r="V430" s="4" t="str">
        <f t="shared" si="25"/>
        <v>SPATIALADD-ONINSTALLNOT AN ADD-ON</v>
      </c>
    </row>
    <row r="431" spans="1:22" ht="15" hidden="1" thickBot="1">
      <c r="A431" s="10" t="s">
        <v>21</v>
      </c>
      <c r="B431" s="10" t="s">
        <v>22</v>
      </c>
      <c r="C431" s="10" t="s">
        <v>1044</v>
      </c>
      <c r="D431" s="10" t="s">
        <v>1045</v>
      </c>
      <c r="E431" s="10" t="s">
        <v>1046</v>
      </c>
      <c r="F431" s="10" t="s">
        <v>1047</v>
      </c>
      <c r="G431" s="116">
        <v>43.1</v>
      </c>
      <c r="H431" s="163" t="s">
        <v>1048</v>
      </c>
      <c r="I431" s="158" t="s">
        <v>1049</v>
      </c>
      <c r="J431" s="163" t="s">
        <v>1050</v>
      </c>
      <c r="K431" s="10" t="s">
        <v>30</v>
      </c>
      <c r="L431" s="10">
        <v>0</v>
      </c>
      <c r="M431" s="10">
        <f t="shared" si="24"/>
        <v>0</v>
      </c>
      <c r="N431" s="10">
        <v>5</v>
      </c>
      <c r="O431" s="12">
        <v>1.6666666666666667</v>
      </c>
      <c r="P431" s="116">
        <v>215</v>
      </c>
      <c r="Q431" s="10" t="s">
        <v>31</v>
      </c>
      <c r="R431" s="4" t="s">
        <v>1291</v>
      </c>
      <c r="S431" s="4" t="s">
        <v>507</v>
      </c>
      <c r="T431" s="4" t="s">
        <v>19</v>
      </c>
      <c r="U431" s="4" t="str">
        <f t="shared" si="26"/>
        <v>NOT AN ADD-ON</v>
      </c>
      <c r="V431" s="4" t="str">
        <f t="shared" si="25"/>
        <v>SPATIALADD-ONAUTHORIZEDNOT AN ADD-ON</v>
      </c>
    </row>
    <row r="432" spans="1:22" ht="15" hidden="1" thickBot="1">
      <c r="A432" s="10" t="s">
        <v>21</v>
      </c>
      <c r="B432" s="10" t="s">
        <v>22</v>
      </c>
      <c r="C432" s="10" t="s">
        <v>1044</v>
      </c>
      <c r="D432" s="10" t="s">
        <v>1045</v>
      </c>
      <c r="E432" s="10" t="s">
        <v>1046</v>
      </c>
      <c r="F432" s="10" t="s">
        <v>1047</v>
      </c>
      <c r="G432" s="116">
        <v>43.1</v>
      </c>
      <c r="H432" s="163" t="s">
        <v>1070</v>
      </c>
      <c r="I432" s="158" t="s">
        <v>1071</v>
      </c>
      <c r="J432" s="163" t="s">
        <v>1072</v>
      </c>
      <c r="K432" s="10" t="s">
        <v>30</v>
      </c>
      <c r="L432" s="10">
        <v>0</v>
      </c>
      <c r="M432" s="10">
        <f t="shared" si="24"/>
        <v>0</v>
      </c>
      <c r="N432" s="10">
        <v>5</v>
      </c>
      <c r="O432" s="12">
        <v>1.6666666666666667</v>
      </c>
      <c r="P432" s="116">
        <v>215</v>
      </c>
      <c r="Q432" s="10" t="s">
        <v>31</v>
      </c>
      <c r="R432" s="4" t="s">
        <v>1291</v>
      </c>
      <c r="S432" s="4" t="s">
        <v>507</v>
      </c>
      <c r="T432" s="4" t="s">
        <v>19</v>
      </c>
      <c r="U432" s="4" t="str">
        <f t="shared" si="26"/>
        <v>NOT AN ADD-ON</v>
      </c>
      <c r="V432" s="4" t="str">
        <f t="shared" si="25"/>
        <v>SPATIALADD-ONAUTHORIZEDNOT AN ADD-ON</v>
      </c>
    </row>
    <row r="433" spans="1:22" ht="15" hidden="1" thickBot="1">
      <c r="A433" s="10" t="s">
        <v>21</v>
      </c>
      <c r="B433" s="10" t="s">
        <v>22</v>
      </c>
      <c r="C433" s="10" t="s">
        <v>1044</v>
      </c>
      <c r="D433" s="10" t="s">
        <v>1045</v>
      </c>
      <c r="E433" s="10" t="s">
        <v>1046</v>
      </c>
      <c r="F433" s="10" t="s">
        <v>1047</v>
      </c>
      <c r="G433" s="116">
        <v>7150</v>
      </c>
      <c r="H433" s="163" t="s">
        <v>1076</v>
      </c>
      <c r="I433" s="158" t="s">
        <v>1077</v>
      </c>
      <c r="J433" s="163" t="s">
        <v>1078</v>
      </c>
      <c r="K433" s="10" t="s">
        <v>1079</v>
      </c>
      <c r="L433" s="10">
        <v>20</v>
      </c>
      <c r="M433" s="10">
        <f t="shared" si="24"/>
        <v>20</v>
      </c>
      <c r="N433" s="10">
        <v>20</v>
      </c>
      <c r="O433" s="12">
        <v>1</v>
      </c>
      <c r="P433" s="116">
        <v>35700</v>
      </c>
      <c r="Q433" s="10" t="s">
        <v>31</v>
      </c>
      <c r="R433" s="4" t="s">
        <v>1291</v>
      </c>
      <c r="S433" s="4" t="s">
        <v>507</v>
      </c>
      <c r="T433" s="4" t="s">
        <v>1384</v>
      </c>
      <c r="U433" s="4" t="str">
        <f t="shared" si="26"/>
        <v>NOT AN ADD-ON</v>
      </c>
      <c r="V433" s="4" t="str">
        <f t="shared" si="25"/>
        <v>SPATIALADD-ONINSTALLNOT AN ADD-ON</v>
      </c>
    </row>
    <row r="434" spans="1:22" ht="27" hidden="1" thickBot="1">
      <c r="A434" s="10" t="s">
        <v>21</v>
      </c>
      <c r="B434" s="10" t="s">
        <v>22</v>
      </c>
      <c r="C434" s="10" t="s">
        <v>986</v>
      </c>
      <c r="D434" s="10" t="s">
        <v>141</v>
      </c>
      <c r="E434" s="10" t="s">
        <v>142</v>
      </c>
      <c r="F434" s="10" t="s">
        <v>143</v>
      </c>
      <c r="G434" s="116">
        <v>536</v>
      </c>
      <c r="H434" s="163" t="s">
        <v>993</v>
      </c>
      <c r="I434" s="166" t="s">
        <v>994</v>
      </c>
      <c r="J434" s="163" t="s">
        <v>995</v>
      </c>
      <c r="K434" s="10" t="s">
        <v>30</v>
      </c>
      <c r="L434" s="10">
        <v>2</v>
      </c>
      <c r="M434" s="10">
        <v>1</v>
      </c>
      <c r="N434" s="10">
        <v>2</v>
      </c>
      <c r="O434" s="12">
        <v>1</v>
      </c>
      <c r="P434" s="116">
        <v>2680</v>
      </c>
      <c r="Q434" s="10" t="s">
        <v>31</v>
      </c>
      <c r="R434" s="4" t="s">
        <v>1293</v>
      </c>
      <c r="S434" s="4" t="s">
        <v>1383</v>
      </c>
      <c r="T434" s="4" t="s">
        <v>19</v>
      </c>
      <c r="U434" s="4" t="str">
        <f t="shared" si="26"/>
        <v>NOT AN ADD-ON</v>
      </c>
      <c r="V434" s="4" t="str">
        <f t="shared" si="25"/>
        <v>HEALTH SAFETY AND ENVIRONMENT MANAGERHSEAUTHORIZEDNOT AN ADD-ON</v>
      </c>
    </row>
    <row r="435" spans="1:22" ht="15" thickBot="1">
      <c r="A435" s="10" t="s">
        <v>21</v>
      </c>
      <c r="B435" s="10" t="s">
        <v>22</v>
      </c>
      <c r="C435" s="10" t="s">
        <v>986</v>
      </c>
      <c r="D435" s="10" t="s">
        <v>141</v>
      </c>
      <c r="E435" s="10" t="s">
        <v>142</v>
      </c>
      <c r="F435" s="10" t="s">
        <v>143</v>
      </c>
      <c r="G435" s="116">
        <v>536</v>
      </c>
      <c r="H435" s="163" t="s">
        <v>999</v>
      </c>
      <c r="I435" s="158" t="s">
        <v>1000</v>
      </c>
      <c r="J435" s="163" t="s">
        <v>1001</v>
      </c>
      <c r="K435" s="10" t="s">
        <v>30</v>
      </c>
      <c r="L435" s="10">
        <v>2</v>
      </c>
      <c r="M435" s="10">
        <v>1</v>
      </c>
      <c r="N435" s="10">
        <v>2</v>
      </c>
      <c r="O435" s="12">
        <v>1</v>
      </c>
      <c r="P435" s="116">
        <v>2680</v>
      </c>
      <c r="Q435" s="10" t="s">
        <v>31</v>
      </c>
      <c r="R435" s="4" t="s">
        <v>1293</v>
      </c>
      <c r="S435" s="4" t="s">
        <v>1383</v>
      </c>
      <c r="T435" s="4" t="s">
        <v>19</v>
      </c>
      <c r="U435" s="4" t="str">
        <f t="shared" si="26"/>
        <v>NOT AN ADD-ON</v>
      </c>
      <c r="V435" s="4" t="str">
        <f t="shared" si="25"/>
        <v>HEALTH SAFETY AND ENVIRONMENT MANAGERHSEAUTHORIZEDNOT AN ADD-ON</v>
      </c>
    </row>
    <row r="436" spans="1:22" ht="15" hidden="1" thickBot="1">
      <c r="A436" s="10" t="s">
        <v>21</v>
      </c>
      <c r="B436" s="10" t="s">
        <v>22</v>
      </c>
      <c r="C436" s="10" t="s">
        <v>140</v>
      </c>
      <c r="D436" s="10" t="s">
        <v>141</v>
      </c>
      <c r="E436" s="10" t="s">
        <v>142</v>
      </c>
      <c r="F436" s="10" t="s">
        <v>143</v>
      </c>
      <c r="G436" s="116">
        <v>241</v>
      </c>
      <c r="H436" s="163" t="s">
        <v>176</v>
      </c>
      <c r="I436" s="158" t="s">
        <v>177</v>
      </c>
      <c r="J436" s="163" t="s">
        <v>178</v>
      </c>
      <c r="K436" s="10" t="s">
        <v>30</v>
      </c>
      <c r="L436" s="10">
        <v>2</v>
      </c>
      <c r="M436" s="10">
        <v>1</v>
      </c>
      <c r="N436" s="10">
        <v>2</v>
      </c>
      <c r="O436" s="12">
        <v>1</v>
      </c>
      <c r="P436" s="116">
        <v>1190</v>
      </c>
      <c r="Q436" s="10" t="s">
        <v>31</v>
      </c>
      <c r="R436" s="4" t="s">
        <v>1278</v>
      </c>
      <c r="S436" s="4" t="s">
        <v>1278</v>
      </c>
      <c r="T436" s="4" t="s">
        <v>1381</v>
      </c>
      <c r="U436" s="4" t="str">
        <f t="shared" si="26"/>
        <v>NOT AN ADD-ON</v>
      </c>
      <c r="V436" s="4" t="str">
        <f t="shared" si="25"/>
        <v>ASSET MANAGEMENT (CORE)ASSET MANAGEMENT (CORE)EXPRESSNOT AN ADD-ON</v>
      </c>
    </row>
    <row r="437" spans="1:22" ht="15" hidden="1" thickBot="1">
      <c r="A437" s="10" t="s">
        <v>21</v>
      </c>
      <c r="B437" s="10" t="s">
        <v>22</v>
      </c>
      <c r="C437" s="10" t="s">
        <v>140</v>
      </c>
      <c r="D437" s="10" t="s">
        <v>141</v>
      </c>
      <c r="E437" s="10" t="s">
        <v>142</v>
      </c>
      <c r="F437" s="10" t="s">
        <v>143</v>
      </c>
      <c r="G437" s="116">
        <v>241</v>
      </c>
      <c r="H437" s="163" t="s">
        <v>193</v>
      </c>
      <c r="I437" s="158" t="s">
        <v>194</v>
      </c>
      <c r="J437" s="163" t="s">
        <v>195</v>
      </c>
      <c r="K437" s="10" t="s">
        <v>30</v>
      </c>
      <c r="L437" s="10">
        <v>2</v>
      </c>
      <c r="M437" s="10">
        <v>1</v>
      </c>
      <c r="N437" s="10">
        <v>2</v>
      </c>
      <c r="O437" s="12">
        <v>1</v>
      </c>
      <c r="P437" s="116">
        <v>1190</v>
      </c>
      <c r="Q437" s="10" t="s">
        <v>31</v>
      </c>
      <c r="R437" s="4" t="s">
        <v>1278</v>
      </c>
      <c r="S437" s="4" t="s">
        <v>1278</v>
      </c>
      <c r="T437" s="4" t="s">
        <v>1381</v>
      </c>
      <c r="U437" s="4" t="str">
        <f t="shared" si="26"/>
        <v>NOT AN ADD-ON</v>
      </c>
      <c r="V437" s="4" t="str">
        <f t="shared" si="25"/>
        <v>ASSET MANAGEMENT (CORE)ASSET MANAGEMENT (CORE)EXPRESSNOT AN ADD-ON</v>
      </c>
    </row>
    <row r="438" spans="1:22" ht="15" hidden="1" thickBot="1">
      <c r="A438" s="10" t="s">
        <v>21</v>
      </c>
      <c r="B438" s="10" t="s">
        <v>22</v>
      </c>
      <c r="C438" s="10" t="s">
        <v>593</v>
      </c>
      <c r="D438" s="10" t="s">
        <v>594</v>
      </c>
      <c r="E438" s="10" t="s">
        <v>595</v>
      </c>
      <c r="F438" s="10" t="s">
        <v>596</v>
      </c>
      <c r="G438" s="116">
        <v>767</v>
      </c>
      <c r="H438" s="163" t="s">
        <v>673</v>
      </c>
      <c r="I438" s="158" t="s">
        <v>674</v>
      </c>
      <c r="J438" s="163" t="s">
        <v>671</v>
      </c>
      <c r="K438" s="10" t="s">
        <v>30</v>
      </c>
      <c r="L438" s="10">
        <v>2</v>
      </c>
      <c r="M438" s="10">
        <v>1</v>
      </c>
      <c r="N438" s="10">
        <v>2</v>
      </c>
      <c r="O438" s="12">
        <v>1</v>
      </c>
      <c r="P438" s="116">
        <v>3840</v>
      </c>
      <c r="Q438" s="10" t="s">
        <v>31</v>
      </c>
      <c r="R438" s="4" t="s">
        <v>1281</v>
      </c>
      <c r="S438" s="4" t="s">
        <v>1279</v>
      </c>
      <c r="T438" s="4" t="s">
        <v>672</v>
      </c>
      <c r="U438" s="4" t="str">
        <f t="shared" si="26"/>
        <v>NOT AN ADD-ON</v>
      </c>
      <c r="V438" s="4" t="str">
        <f t="shared" si="25"/>
        <v>NUCLEAR POWERINDUSTRY SOLUTIONLIMITEDNOT AN ADD-ON</v>
      </c>
    </row>
    <row r="439" spans="1:22" ht="15" hidden="1" thickBot="1">
      <c r="A439" s="10" t="s">
        <v>21</v>
      </c>
      <c r="B439" s="10" t="s">
        <v>22</v>
      </c>
      <c r="C439" s="10" t="s">
        <v>593</v>
      </c>
      <c r="D439" s="10" t="s">
        <v>594</v>
      </c>
      <c r="E439" s="10" t="s">
        <v>595</v>
      </c>
      <c r="F439" s="10" t="s">
        <v>596</v>
      </c>
      <c r="G439" s="116">
        <v>767</v>
      </c>
      <c r="H439" s="163" t="s">
        <v>681</v>
      </c>
      <c r="I439" s="158" t="s">
        <v>682</v>
      </c>
      <c r="J439" s="163" t="s">
        <v>680</v>
      </c>
      <c r="K439" s="10" t="s">
        <v>30</v>
      </c>
      <c r="L439" s="10">
        <v>2</v>
      </c>
      <c r="M439" s="10">
        <v>1</v>
      </c>
      <c r="N439" s="10">
        <v>2</v>
      </c>
      <c r="O439" s="12">
        <v>1</v>
      </c>
      <c r="P439" s="116">
        <v>3840</v>
      </c>
      <c r="Q439" s="10" t="s">
        <v>31</v>
      </c>
      <c r="R439" s="4" t="s">
        <v>1281</v>
      </c>
      <c r="S439" s="4" t="s">
        <v>1279</v>
      </c>
      <c r="T439" s="4" t="s">
        <v>672</v>
      </c>
      <c r="U439" s="4" t="str">
        <f t="shared" si="26"/>
        <v>NOT AN ADD-ON</v>
      </c>
      <c r="V439" s="4" t="str">
        <f t="shared" si="25"/>
        <v>NUCLEAR POWERINDUSTRY SOLUTIONLIMITEDNOT AN ADD-ON</v>
      </c>
    </row>
    <row r="440" spans="1:22" ht="15" hidden="1" thickBot="1">
      <c r="A440" s="10" t="s">
        <v>21</v>
      </c>
      <c r="B440" s="10" t="s">
        <v>22</v>
      </c>
      <c r="C440" s="10" t="s">
        <v>686</v>
      </c>
      <c r="D440" s="10" t="s">
        <v>687</v>
      </c>
      <c r="E440" s="10" t="s">
        <v>688</v>
      </c>
      <c r="F440" s="10" t="s">
        <v>689</v>
      </c>
      <c r="G440" s="116">
        <v>767</v>
      </c>
      <c r="H440" s="163" t="s">
        <v>765</v>
      </c>
      <c r="I440" s="158" t="s">
        <v>766</v>
      </c>
      <c r="J440" s="163" t="s">
        <v>764</v>
      </c>
      <c r="K440" s="10" t="s">
        <v>30</v>
      </c>
      <c r="L440" s="10">
        <v>2</v>
      </c>
      <c r="M440" s="10">
        <v>1</v>
      </c>
      <c r="N440" s="10">
        <v>2</v>
      </c>
      <c r="O440" s="12">
        <v>1</v>
      </c>
      <c r="P440" s="116">
        <v>3840</v>
      </c>
      <c r="Q440" s="10" t="s">
        <v>31</v>
      </c>
      <c r="R440" s="4" t="s">
        <v>1282</v>
      </c>
      <c r="S440" s="4" t="s">
        <v>1279</v>
      </c>
      <c r="T440" s="4" t="s">
        <v>672</v>
      </c>
      <c r="U440" s="4" t="str">
        <f t="shared" si="26"/>
        <v>NOT AN ADD-ON</v>
      </c>
      <c r="V440" s="4" t="str">
        <f t="shared" si="25"/>
        <v>OIL AND GASINDUSTRY SOLUTIONLIMITEDNOT AN ADD-ON</v>
      </c>
    </row>
    <row r="441" spans="1:22" ht="15" hidden="1" thickBot="1">
      <c r="A441" s="10" t="s">
        <v>21</v>
      </c>
      <c r="B441" s="10" t="s">
        <v>22</v>
      </c>
      <c r="C441" s="10" t="s">
        <v>686</v>
      </c>
      <c r="D441" s="10" t="s">
        <v>687</v>
      </c>
      <c r="E441" s="10" t="s">
        <v>688</v>
      </c>
      <c r="F441" s="10" t="s">
        <v>689</v>
      </c>
      <c r="G441" s="116">
        <v>767</v>
      </c>
      <c r="H441" s="163" t="s">
        <v>773</v>
      </c>
      <c r="I441" s="158" t="s">
        <v>774</v>
      </c>
      <c r="J441" s="163" t="s">
        <v>772</v>
      </c>
      <c r="K441" s="10" t="s">
        <v>30</v>
      </c>
      <c r="L441" s="10">
        <v>2</v>
      </c>
      <c r="M441" s="10">
        <v>1</v>
      </c>
      <c r="N441" s="10">
        <v>2</v>
      </c>
      <c r="O441" s="12">
        <v>1</v>
      </c>
      <c r="P441" s="116">
        <v>3840</v>
      </c>
      <c r="Q441" s="10" t="s">
        <v>31</v>
      </c>
      <c r="R441" s="4" t="s">
        <v>1282</v>
      </c>
      <c r="S441" s="4" t="s">
        <v>1279</v>
      </c>
      <c r="T441" s="4" t="s">
        <v>672</v>
      </c>
      <c r="U441" s="4" t="str">
        <f t="shared" si="26"/>
        <v>NOT AN ADD-ON</v>
      </c>
      <c r="V441" s="4" t="str">
        <f t="shared" si="25"/>
        <v>OIL AND GASINDUSTRY SOLUTIONLIMITEDNOT AN ADD-ON</v>
      </c>
    </row>
    <row r="442" spans="1:22" ht="15" hidden="1" thickBot="1">
      <c r="A442" s="10" t="s">
        <v>21</v>
      </c>
      <c r="B442" s="10" t="s">
        <v>22</v>
      </c>
      <c r="C442" s="10" t="s">
        <v>778</v>
      </c>
      <c r="D442" s="10" t="s">
        <v>779</v>
      </c>
      <c r="E442" s="10" t="s">
        <v>780</v>
      </c>
      <c r="F442" s="10" t="s">
        <v>781</v>
      </c>
      <c r="G442" s="116">
        <v>767</v>
      </c>
      <c r="H442" s="163" t="s">
        <v>857</v>
      </c>
      <c r="I442" s="158" t="s">
        <v>858</v>
      </c>
      <c r="J442" s="163" t="s">
        <v>856</v>
      </c>
      <c r="K442" s="10" t="s">
        <v>30</v>
      </c>
      <c r="L442" s="10">
        <v>2</v>
      </c>
      <c r="M442" s="10">
        <v>1</v>
      </c>
      <c r="N442" s="10">
        <v>2</v>
      </c>
      <c r="O442" s="12">
        <v>1</v>
      </c>
      <c r="P442" s="116">
        <v>3840</v>
      </c>
      <c r="Q442" s="10" t="s">
        <v>31</v>
      </c>
      <c r="R442" s="4" t="s">
        <v>1283</v>
      </c>
      <c r="S442" s="4" t="s">
        <v>1279</v>
      </c>
      <c r="T442" s="4" t="s">
        <v>672</v>
      </c>
      <c r="U442" s="4" t="str">
        <f t="shared" si="26"/>
        <v>NOT AN ADD-ON</v>
      </c>
      <c r="V442" s="4" t="str">
        <f t="shared" si="25"/>
        <v>TRANSPORATIONINDUSTRY SOLUTIONLIMITEDNOT AN ADD-ON</v>
      </c>
    </row>
    <row r="443" spans="1:22" ht="15" hidden="1" thickBot="1">
      <c r="A443" s="10" t="s">
        <v>21</v>
      </c>
      <c r="B443" s="10" t="s">
        <v>22</v>
      </c>
      <c r="C443" s="10" t="s">
        <v>778</v>
      </c>
      <c r="D443" s="10" t="s">
        <v>779</v>
      </c>
      <c r="E443" s="10" t="s">
        <v>780</v>
      </c>
      <c r="F443" s="10" t="s">
        <v>781</v>
      </c>
      <c r="G443" s="116">
        <v>767</v>
      </c>
      <c r="H443" s="163" t="s">
        <v>865</v>
      </c>
      <c r="I443" s="158" t="s">
        <v>866</v>
      </c>
      <c r="J443" s="163" t="s">
        <v>864</v>
      </c>
      <c r="K443" s="10" t="s">
        <v>30</v>
      </c>
      <c r="L443" s="10">
        <v>2</v>
      </c>
      <c r="M443" s="10">
        <v>1</v>
      </c>
      <c r="N443" s="10">
        <v>2</v>
      </c>
      <c r="O443" s="12">
        <v>1</v>
      </c>
      <c r="P443" s="116">
        <v>3840</v>
      </c>
      <c r="Q443" s="10" t="s">
        <v>31</v>
      </c>
      <c r="R443" s="4" t="s">
        <v>1283</v>
      </c>
      <c r="S443" s="4" t="s">
        <v>1279</v>
      </c>
      <c r="T443" s="4" t="s">
        <v>672</v>
      </c>
      <c r="U443" s="4" t="str">
        <f t="shared" si="26"/>
        <v>NOT AN ADD-ON</v>
      </c>
      <c r="V443" s="4" t="str">
        <f t="shared" si="25"/>
        <v>TRANSPORATIONINDUSTRY SOLUTIONLIMITEDNOT AN ADD-ON</v>
      </c>
    </row>
    <row r="444" spans="1:22" ht="15" hidden="1" thickBot="1">
      <c r="A444" s="10" t="s">
        <v>21</v>
      </c>
      <c r="B444" s="10" t="s">
        <v>22</v>
      </c>
      <c r="C444" s="10" t="s">
        <v>870</v>
      </c>
      <c r="D444" s="10" t="s">
        <v>871</v>
      </c>
      <c r="E444" s="10" t="s">
        <v>872</v>
      </c>
      <c r="F444" s="10" t="s">
        <v>873</v>
      </c>
      <c r="G444" s="116">
        <v>767</v>
      </c>
      <c r="H444" s="163" t="s">
        <v>945</v>
      </c>
      <c r="I444" s="158" t="s">
        <v>946</v>
      </c>
      <c r="J444" s="163" t="s">
        <v>944</v>
      </c>
      <c r="K444" s="10" t="s">
        <v>30</v>
      </c>
      <c r="L444" s="10">
        <v>2</v>
      </c>
      <c r="M444" s="10">
        <v>1</v>
      </c>
      <c r="N444" s="10">
        <v>2</v>
      </c>
      <c r="O444" s="12">
        <v>1</v>
      </c>
      <c r="P444" s="116">
        <v>3840</v>
      </c>
      <c r="Q444" s="10" t="s">
        <v>31</v>
      </c>
      <c r="R444" s="4" t="s">
        <v>1284</v>
      </c>
      <c r="S444" s="4" t="s">
        <v>1279</v>
      </c>
      <c r="T444" s="4" t="s">
        <v>672</v>
      </c>
      <c r="U444" s="4" t="str">
        <f t="shared" si="26"/>
        <v>NOT AN ADD-ON</v>
      </c>
      <c r="V444" s="4" t="str">
        <f t="shared" si="25"/>
        <v>UTILITIESINDUSTRY SOLUTIONLIMITEDNOT AN ADD-ON</v>
      </c>
    </row>
    <row r="445" spans="1:22" ht="15" hidden="1" thickBot="1">
      <c r="A445" s="10" t="s">
        <v>21</v>
      </c>
      <c r="B445" s="10" t="s">
        <v>22</v>
      </c>
      <c r="C445" s="10" t="s">
        <v>870</v>
      </c>
      <c r="D445" s="10" t="s">
        <v>871</v>
      </c>
      <c r="E445" s="10" t="s">
        <v>872</v>
      </c>
      <c r="F445" s="10" t="s">
        <v>873</v>
      </c>
      <c r="G445" s="116">
        <v>767</v>
      </c>
      <c r="H445" s="163" t="s">
        <v>953</v>
      </c>
      <c r="I445" s="158" t="s">
        <v>954</v>
      </c>
      <c r="J445" s="163" t="s">
        <v>952</v>
      </c>
      <c r="K445" s="10" t="s">
        <v>30</v>
      </c>
      <c r="L445" s="10">
        <v>2</v>
      </c>
      <c r="M445" s="10">
        <v>1</v>
      </c>
      <c r="N445" s="10">
        <v>2</v>
      </c>
      <c r="O445" s="12">
        <v>1</v>
      </c>
      <c r="P445" s="116">
        <v>3840</v>
      </c>
      <c r="Q445" s="10" t="s">
        <v>31</v>
      </c>
      <c r="R445" s="4" t="s">
        <v>1284</v>
      </c>
      <c r="S445" s="4" t="s">
        <v>1279</v>
      </c>
      <c r="T445" s="4" t="s">
        <v>672</v>
      </c>
      <c r="U445" s="4" t="str">
        <f t="shared" si="26"/>
        <v>NOT AN ADD-ON</v>
      </c>
      <c r="V445" s="4" t="str">
        <f t="shared" si="25"/>
        <v>UTILITIESINDUSTRY SOLUTIONLIMITEDNOT AN ADD-ON</v>
      </c>
    </row>
    <row r="446" spans="1:22" ht="15" hidden="1" thickBot="1">
      <c r="A446" s="10" t="s">
        <v>21</v>
      </c>
      <c r="B446" s="10" t="s">
        <v>22</v>
      </c>
      <c r="C446" s="10" t="s">
        <v>500</v>
      </c>
      <c r="D446" s="10" t="s">
        <v>501</v>
      </c>
      <c r="E446" s="10" t="s">
        <v>502</v>
      </c>
      <c r="F446" s="10" t="s">
        <v>503</v>
      </c>
      <c r="G446" s="116">
        <v>695</v>
      </c>
      <c r="H446" s="163" t="s">
        <v>580</v>
      </c>
      <c r="I446" s="158" t="s">
        <v>581</v>
      </c>
      <c r="J446" s="163" t="s">
        <v>579</v>
      </c>
      <c r="K446" s="10" t="s">
        <v>30</v>
      </c>
      <c r="L446" s="10">
        <v>2</v>
      </c>
      <c r="M446" s="10">
        <v>1</v>
      </c>
      <c r="N446" s="10">
        <v>2</v>
      </c>
      <c r="O446" s="12">
        <v>1</v>
      </c>
      <c r="P446" s="116">
        <v>3480</v>
      </c>
      <c r="Q446" s="10" t="s">
        <v>31</v>
      </c>
      <c r="R446" s="4" t="s">
        <v>1292</v>
      </c>
      <c r="S446" s="4" t="s">
        <v>1292</v>
      </c>
      <c r="T446" s="4" t="s">
        <v>672</v>
      </c>
      <c r="U446" s="4" t="str">
        <f t="shared" si="26"/>
        <v>NOT AN ADD-ON</v>
      </c>
      <c r="V446" s="4" t="str">
        <f t="shared" si="25"/>
        <v>LIFE SCIENCESLIFE SCIENCESLIMITEDNOT AN ADD-ON</v>
      </c>
    </row>
    <row r="447" spans="1:22" ht="15" hidden="1" thickBot="1">
      <c r="A447" s="10" t="s">
        <v>21</v>
      </c>
      <c r="B447" s="10" t="s">
        <v>22</v>
      </c>
      <c r="C447" s="10" t="s">
        <v>500</v>
      </c>
      <c r="D447" s="10" t="s">
        <v>501</v>
      </c>
      <c r="E447" s="10" t="s">
        <v>502</v>
      </c>
      <c r="F447" s="10" t="s">
        <v>503</v>
      </c>
      <c r="G447" s="116">
        <v>695</v>
      </c>
      <c r="H447" s="163" t="s">
        <v>588</v>
      </c>
      <c r="I447" s="158" t="s">
        <v>589</v>
      </c>
      <c r="J447" s="163" t="s">
        <v>587</v>
      </c>
      <c r="K447" s="10" t="s">
        <v>30</v>
      </c>
      <c r="L447" s="10">
        <v>2</v>
      </c>
      <c r="M447" s="10">
        <v>1</v>
      </c>
      <c r="N447" s="10">
        <v>2</v>
      </c>
      <c r="O447" s="12">
        <v>1</v>
      </c>
      <c r="P447" s="116">
        <v>3480</v>
      </c>
      <c r="Q447" s="10" t="s">
        <v>31</v>
      </c>
      <c r="R447" s="4" t="s">
        <v>1292</v>
      </c>
      <c r="S447" s="4" t="s">
        <v>1292</v>
      </c>
      <c r="T447" s="4" t="s">
        <v>672</v>
      </c>
      <c r="U447" s="4" t="str">
        <f t="shared" si="26"/>
        <v>NOT AN ADD-ON</v>
      </c>
      <c r="V447" s="4" t="str">
        <f t="shared" si="25"/>
        <v>LIFE SCIENCESLIFE SCIENCESLIMITEDNOT AN ADD-ON</v>
      </c>
    </row>
    <row r="448" spans="1:22" ht="15" hidden="1" thickBot="1">
      <c r="A448" s="10" t="s">
        <v>21</v>
      </c>
      <c r="B448" s="10" t="s">
        <v>22</v>
      </c>
      <c r="C448" s="10" t="s">
        <v>23</v>
      </c>
      <c r="D448" s="10" t="s">
        <v>24</v>
      </c>
      <c r="E448" s="10" t="s">
        <v>25</v>
      </c>
      <c r="F448" s="10" t="s">
        <v>26</v>
      </c>
      <c r="G448" s="116">
        <v>461</v>
      </c>
      <c r="H448" s="163" t="s">
        <v>88</v>
      </c>
      <c r="I448" s="158" t="s">
        <v>89</v>
      </c>
      <c r="J448" s="163" t="s">
        <v>90</v>
      </c>
      <c r="K448" s="10" t="s">
        <v>30</v>
      </c>
      <c r="L448" s="10">
        <v>2</v>
      </c>
      <c r="M448" s="10">
        <v>1</v>
      </c>
      <c r="N448" s="10">
        <v>2</v>
      </c>
      <c r="O448" s="12">
        <v>1</v>
      </c>
      <c r="P448" s="116">
        <v>2310</v>
      </c>
      <c r="Q448" s="10" t="s">
        <v>31</v>
      </c>
      <c r="R448" s="4" t="s">
        <v>42</v>
      </c>
      <c r="S448" s="4" t="s">
        <v>42</v>
      </c>
      <c r="T448" s="4" t="s">
        <v>19</v>
      </c>
      <c r="U448" s="4" t="str">
        <f t="shared" si="26"/>
        <v>NOT AN ADD-ON</v>
      </c>
      <c r="V448" s="4" t="str">
        <f t="shared" si="25"/>
        <v>ANYWHEREANYWHEREAUTHORIZEDNOT AN ADD-ON</v>
      </c>
    </row>
    <row r="449" spans="1:22" ht="15" hidden="1" thickBot="1">
      <c r="A449" s="10" t="s">
        <v>21</v>
      </c>
      <c r="B449" s="10" t="s">
        <v>22</v>
      </c>
      <c r="C449" s="10" t="s">
        <v>23</v>
      </c>
      <c r="D449" s="10" t="s">
        <v>24</v>
      </c>
      <c r="E449" s="10" t="s">
        <v>25</v>
      </c>
      <c r="F449" s="10" t="s">
        <v>26</v>
      </c>
      <c r="G449" s="116">
        <v>461</v>
      </c>
      <c r="H449" s="163" t="s">
        <v>80</v>
      </c>
      <c r="I449" s="158" t="s">
        <v>81</v>
      </c>
      <c r="J449" s="163" t="s">
        <v>82</v>
      </c>
      <c r="K449" s="10" t="s">
        <v>30</v>
      </c>
      <c r="L449" s="10">
        <v>2</v>
      </c>
      <c r="M449" s="10">
        <v>1</v>
      </c>
      <c r="N449" s="10">
        <v>2</v>
      </c>
      <c r="O449" s="12">
        <v>1</v>
      </c>
      <c r="P449" s="116">
        <v>2310</v>
      </c>
      <c r="Q449" s="10" t="s">
        <v>31</v>
      </c>
      <c r="R449" s="4" t="s">
        <v>42</v>
      </c>
      <c r="S449" s="4" t="s">
        <v>42</v>
      </c>
      <c r="T449" s="4" t="s">
        <v>19</v>
      </c>
      <c r="U449" s="4" t="str">
        <f t="shared" si="26"/>
        <v>NOT AN ADD-ON</v>
      </c>
      <c r="V449" s="4" t="str">
        <f t="shared" si="25"/>
        <v>ANYWHEREANYWHEREAUTHORIZEDNOT AN ADD-ON</v>
      </c>
    </row>
    <row r="450" spans="1:22" ht="15" hidden="1" thickBot="1">
      <c r="A450" s="10" t="s">
        <v>21</v>
      </c>
      <c r="B450" s="10" t="s">
        <v>22</v>
      </c>
      <c r="C450" s="10" t="s">
        <v>23</v>
      </c>
      <c r="D450" s="10" t="s">
        <v>24</v>
      </c>
      <c r="E450" s="10" t="s">
        <v>25</v>
      </c>
      <c r="F450" s="10" t="s">
        <v>26</v>
      </c>
      <c r="G450" s="116">
        <v>280</v>
      </c>
      <c r="H450" s="163" t="s">
        <v>27</v>
      </c>
      <c r="I450" s="158" t="s">
        <v>28</v>
      </c>
      <c r="J450" s="163" t="s">
        <v>29</v>
      </c>
      <c r="K450" s="10" t="s">
        <v>30</v>
      </c>
      <c r="L450" s="10">
        <v>0</v>
      </c>
      <c r="M450" s="10">
        <f t="shared" ref="M450:M460" si="27">ROUND(IF(K450="Authorized User",L450/3,L450),2)</f>
        <v>0</v>
      </c>
      <c r="N450" s="10">
        <v>5</v>
      </c>
      <c r="O450" s="12">
        <f>N450/3</f>
        <v>1.6666666666666667</v>
      </c>
      <c r="P450" s="116">
        <v>1400</v>
      </c>
      <c r="Q450" s="10" t="s">
        <v>31</v>
      </c>
      <c r="R450" s="4" t="s">
        <v>42</v>
      </c>
      <c r="S450" s="4" t="s">
        <v>42</v>
      </c>
      <c r="T450" s="4" t="s">
        <v>19</v>
      </c>
      <c r="U450" s="4" t="str">
        <f t="shared" si="26"/>
        <v>ADD-ON</v>
      </c>
      <c r="V450" s="4" t="str">
        <f t="shared" si="25"/>
        <v>ANYWHEREANYWHEREAUTHORIZEDADD-ON</v>
      </c>
    </row>
    <row r="451" spans="1:22" ht="15" hidden="1" thickBot="1">
      <c r="A451" s="10" t="s">
        <v>21</v>
      </c>
      <c r="B451" s="10" t="s">
        <v>22</v>
      </c>
      <c r="C451" s="10" t="s">
        <v>23</v>
      </c>
      <c r="D451" s="10" t="s">
        <v>24</v>
      </c>
      <c r="E451" s="10" t="s">
        <v>25</v>
      </c>
      <c r="F451" s="10" t="s">
        <v>26</v>
      </c>
      <c r="G451" s="116">
        <v>280</v>
      </c>
      <c r="H451" s="163" t="s">
        <v>56</v>
      </c>
      <c r="I451" s="158" t="s">
        <v>57</v>
      </c>
      <c r="J451" s="163" t="s">
        <v>58</v>
      </c>
      <c r="K451" s="10" t="s">
        <v>30</v>
      </c>
      <c r="L451" s="10">
        <v>0</v>
      </c>
      <c r="M451" s="10">
        <f t="shared" si="27"/>
        <v>0</v>
      </c>
      <c r="N451" s="10">
        <v>5</v>
      </c>
      <c r="O451" s="12">
        <f>N451/3</f>
        <v>1.6666666666666667</v>
      </c>
      <c r="P451" s="116">
        <v>1400</v>
      </c>
      <c r="Q451" s="10" t="s">
        <v>31</v>
      </c>
      <c r="R451" s="4" t="s">
        <v>42</v>
      </c>
      <c r="S451" s="4" t="s">
        <v>42</v>
      </c>
      <c r="T451" s="4" t="s">
        <v>19</v>
      </c>
      <c r="U451" s="4" t="str">
        <f t="shared" si="26"/>
        <v>ADD-ON</v>
      </c>
      <c r="V451" s="4" t="str">
        <f t="shared" ref="V451:V514" si="28">CONCATENATE(R451,S451,T451,U451)</f>
        <v>ANYWHEREANYWHEREAUTHORIZEDADD-ON</v>
      </c>
    </row>
    <row r="452" spans="1:22" ht="15" hidden="1" thickBot="1">
      <c r="A452" s="10" t="s">
        <v>21</v>
      </c>
      <c r="B452" s="10" t="s">
        <v>22</v>
      </c>
      <c r="C452" s="10" t="s">
        <v>448</v>
      </c>
      <c r="D452" s="10" t="s">
        <v>449</v>
      </c>
      <c r="E452" s="10" t="s">
        <v>450</v>
      </c>
      <c r="F452" s="10" t="s">
        <v>451</v>
      </c>
      <c r="G452" s="116">
        <v>2290</v>
      </c>
      <c r="H452" s="163" t="s">
        <v>452</v>
      </c>
      <c r="I452" s="158" t="s">
        <v>453</v>
      </c>
      <c r="J452" s="163" t="s">
        <v>454</v>
      </c>
      <c r="K452" s="10" t="s">
        <v>30</v>
      </c>
      <c r="L452" s="10">
        <v>5</v>
      </c>
      <c r="M452" s="10">
        <v>1</v>
      </c>
      <c r="N452" s="10">
        <v>5</v>
      </c>
      <c r="O452" s="12">
        <v>1</v>
      </c>
      <c r="P452" s="116">
        <v>11400</v>
      </c>
      <c r="Q452" s="10" t="s">
        <v>31</v>
      </c>
      <c r="R452" s="4" t="s">
        <v>1280</v>
      </c>
      <c r="S452" s="4" t="s">
        <v>1279</v>
      </c>
      <c r="T452" s="4" t="s">
        <v>19</v>
      </c>
      <c r="U452" s="4" t="str">
        <f t="shared" si="26"/>
        <v>NOT AN ADD-ON</v>
      </c>
      <c r="V452" s="4" t="str">
        <f t="shared" si="28"/>
        <v>AVIATIONINDUSTRY SOLUTIONAUTHORIZEDNOT AN ADD-ON</v>
      </c>
    </row>
    <row r="453" spans="1:22" ht="15" hidden="1" thickBot="1">
      <c r="A453" s="10" t="s">
        <v>21</v>
      </c>
      <c r="B453" s="10" t="s">
        <v>22</v>
      </c>
      <c r="C453" s="10" t="s">
        <v>448</v>
      </c>
      <c r="D453" s="10" t="s">
        <v>449</v>
      </c>
      <c r="E453" s="10" t="s">
        <v>450</v>
      </c>
      <c r="F453" s="10" t="s">
        <v>451</v>
      </c>
      <c r="G453" s="116">
        <v>6310</v>
      </c>
      <c r="H453" s="163" t="s">
        <v>458</v>
      </c>
      <c r="I453" s="158" t="s">
        <v>459</v>
      </c>
      <c r="J453" s="163" t="s">
        <v>460</v>
      </c>
      <c r="K453" s="10" t="s">
        <v>40</v>
      </c>
      <c r="L453" s="10">
        <v>15</v>
      </c>
      <c r="M453" s="10">
        <v>15</v>
      </c>
      <c r="N453" s="10">
        <v>15</v>
      </c>
      <c r="O453" s="12">
        <v>1</v>
      </c>
      <c r="P453" s="116">
        <v>31600</v>
      </c>
      <c r="Q453" s="10" t="s">
        <v>31</v>
      </c>
      <c r="R453" s="4" t="s">
        <v>1280</v>
      </c>
      <c r="S453" s="4" t="s">
        <v>1279</v>
      </c>
      <c r="T453" s="4" t="s">
        <v>19</v>
      </c>
      <c r="U453" s="4" t="str">
        <f t="shared" si="26"/>
        <v>NOT AN ADD-ON</v>
      </c>
      <c r="V453" s="4" t="str">
        <f t="shared" si="28"/>
        <v>AVIATIONINDUSTRY SOLUTIONAUTHORIZEDNOT AN ADD-ON</v>
      </c>
    </row>
    <row r="454" spans="1:22" ht="15" hidden="1" thickBot="1">
      <c r="A454" s="10" t="s">
        <v>21</v>
      </c>
      <c r="B454" s="10" t="s">
        <v>22</v>
      </c>
      <c r="C454" s="10" t="s">
        <v>448</v>
      </c>
      <c r="D454" s="10" t="s">
        <v>449</v>
      </c>
      <c r="E454" s="10" t="s">
        <v>450</v>
      </c>
      <c r="F454" s="10" t="s">
        <v>451</v>
      </c>
      <c r="G454" s="116">
        <v>767</v>
      </c>
      <c r="H454" s="163" t="s">
        <v>476</v>
      </c>
      <c r="I454" s="158" t="s">
        <v>477</v>
      </c>
      <c r="J454" s="163" t="s">
        <v>478</v>
      </c>
      <c r="K454" s="10" t="s">
        <v>30</v>
      </c>
      <c r="L454" s="10">
        <v>2</v>
      </c>
      <c r="M454" s="10">
        <v>1</v>
      </c>
      <c r="N454" s="10">
        <v>2</v>
      </c>
      <c r="O454" s="12">
        <v>1</v>
      </c>
      <c r="P454" s="116">
        <v>3840</v>
      </c>
      <c r="Q454" s="10" t="s">
        <v>31</v>
      </c>
      <c r="R454" s="4" t="s">
        <v>1280</v>
      </c>
      <c r="S454" s="4" t="s">
        <v>1279</v>
      </c>
      <c r="T454" s="4" t="s">
        <v>672</v>
      </c>
      <c r="U454" s="4" t="str">
        <f t="shared" si="26"/>
        <v>NOT AN ADD-ON</v>
      </c>
      <c r="V454" s="4" t="str">
        <f t="shared" si="28"/>
        <v>AVIATIONINDUSTRY SOLUTIONLIMITEDNOT AN ADD-ON</v>
      </c>
    </row>
    <row r="455" spans="1:22" ht="15" hidden="1" thickBot="1">
      <c r="A455" s="10" t="s">
        <v>21</v>
      </c>
      <c r="B455" s="10" t="s">
        <v>22</v>
      </c>
      <c r="C455" s="10" t="s">
        <v>448</v>
      </c>
      <c r="D455" s="10" t="s">
        <v>449</v>
      </c>
      <c r="E455" s="10" t="s">
        <v>450</v>
      </c>
      <c r="F455" s="10" t="s">
        <v>451</v>
      </c>
      <c r="G455" s="116">
        <v>2110</v>
      </c>
      <c r="H455" s="163" t="s">
        <v>482</v>
      </c>
      <c r="I455" s="158" t="s">
        <v>483</v>
      </c>
      <c r="J455" s="163" t="s">
        <v>484</v>
      </c>
      <c r="K455" s="10" t="s">
        <v>40</v>
      </c>
      <c r="L455" s="10">
        <v>5</v>
      </c>
      <c r="M455" s="10">
        <f t="shared" si="27"/>
        <v>5</v>
      </c>
      <c r="N455" s="10">
        <v>5</v>
      </c>
      <c r="O455" s="12">
        <v>1</v>
      </c>
      <c r="P455" s="116">
        <v>10500</v>
      </c>
      <c r="Q455" s="10" t="s">
        <v>31</v>
      </c>
      <c r="R455" s="4" t="s">
        <v>1280</v>
      </c>
      <c r="S455" s="4" t="s">
        <v>1279</v>
      </c>
      <c r="T455" s="4" t="s">
        <v>672</v>
      </c>
      <c r="U455" s="4" t="str">
        <f t="shared" si="26"/>
        <v>NOT AN ADD-ON</v>
      </c>
      <c r="V455" s="4" t="str">
        <f t="shared" si="28"/>
        <v>AVIATIONINDUSTRY SOLUTIONLIMITEDNOT AN ADD-ON</v>
      </c>
    </row>
    <row r="456" spans="1:22" ht="15" hidden="1" thickBot="1">
      <c r="A456" s="10" t="s">
        <v>21</v>
      </c>
      <c r="B456" s="10" t="s">
        <v>22</v>
      </c>
      <c r="C456" s="10" t="s">
        <v>448</v>
      </c>
      <c r="D456" s="10" t="s">
        <v>449</v>
      </c>
      <c r="E456" s="10" t="s">
        <v>450</v>
      </c>
      <c r="F456" s="10" t="s">
        <v>451</v>
      </c>
      <c r="G456" s="116">
        <v>6310</v>
      </c>
      <c r="H456" s="163" t="s">
        <v>470</v>
      </c>
      <c r="I456" s="158" t="s">
        <v>471</v>
      </c>
      <c r="J456" s="163" t="s">
        <v>472</v>
      </c>
      <c r="K456" s="10" t="s">
        <v>40</v>
      </c>
      <c r="L456" s="10">
        <v>15</v>
      </c>
      <c r="M456" s="10">
        <f t="shared" si="27"/>
        <v>15</v>
      </c>
      <c r="N456" s="10">
        <v>15</v>
      </c>
      <c r="O456" s="12">
        <v>1</v>
      </c>
      <c r="P456" s="116">
        <v>31600</v>
      </c>
      <c r="Q456" s="10" t="s">
        <v>31</v>
      </c>
      <c r="R456" s="4" t="s">
        <v>1280</v>
      </c>
      <c r="S456" s="4" t="s">
        <v>1279</v>
      </c>
      <c r="T456" s="4" t="s">
        <v>19</v>
      </c>
      <c r="U456" s="4" t="str">
        <f t="shared" si="26"/>
        <v>NOT AN ADD-ON</v>
      </c>
      <c r="V456" s="4" t="str">
        <f t="shared" si="28"/>
        <v>AVIATIONINDUSTRY SOLUTIONAUTHORIZEDNOT AN ADD-ON</v>
      </c>
    </row>
    <row r="457" spans="1:22" ht="15" hidden="1" thickBot="1">
      <c r="A457" s="10" t="s">
        <v>21</v>
      </c>
      <c r="B457" s="10" t="s">
        <v>22</v>
      </c>
      <c r="C457" s="10" t="s">
        <v>140</v>
      </c>
      <c r="D457" s="10" t="s">
        <v>141</v>
      </c>
      <c r="E457" s="10" t="s">
        <v>142</v>
      </c>
      <c r="F457" s="10" t="s">
        <v>143</v>
      </c>
      <c r="G457" s="116">
        <v>723</v>
      </c>
      <c r="H457" s="163" t="s">
        <v>182</v>
      </c>
      <c r="I457" s="158" t="s">
        <v>183</v>
      </c>
      <c r="J457" s="163" t="s">
        <v>184</v>
      </c>
      <c r="K457" s="10" t="s">
        <v>40</v>
      </c>
      <c r="L457" s="10">
        <v>5</v>
      </c>
      <c r="M457" s="10">
        <f t="shared" si="27"/>
        <v>5</v>
      </c>
      <c r="N457" s="10">
        <v>5</v>
      </c>
      <c r="O457" s="12">
        <v>1</v>
      </c>
      <c r="P457" s="116">
        <v>3620</v>
      </c>
      <c r="Q457" s="10" t="s">
        <v>31</v>
      </c>
      <c r="R457" s="4" t="s">
        <v>1278</v>
      </c>
      <c r="S457" s="4" t="s">
        <v>1278</v>
      </c>
      <c r="T457" s="4" t="s">
        <v>1381</v>
      </c>
      <c r="U457" s="4" t="str">
        <f t="shared" si="26"/>
        <v>NOT AN ADD-ON</v>
      </c>
      <c r="V457" s="4" t="str">
        <f t="shared" si="28"/>
        <v>ASSET MANAGEMENT (CORE)ASSET MANAGEMENT (CORE)EXPRESSNOT AN ADD-ON</v>
      </c>
    </row>
    <row r="458" spans="1:22" ht="15" hidden="1" thickBot="1">
      <c r="A458" s="10" t="s">
        <v>21</v>
      </c>
      <c r="B458" s="10" t="s">
        <v>22</v>
      </c>
      <c r="C458" s="10" t="s">
        <v>448</v>
      </c>
      <c r="D458" s="10" t="s">
        <v>449</v>
      </c>
      <c r="E458" s="10" t="s">
        <v>450</v>
      </c>
      <c r="F458" s="10" t="s">
        <v>451</v>
      </c>
      <c r="G458" s="116">
        <v>2290</v>
      </c>
      <c r="H458" s="163" t="s">
        <v>464</v>
      </c>
      <c r="I458" s="158" t="s">
        <v>465</v>
      </c>
      <c r="J458" s="163" t="s">
        <v>466</v>
      </c>
      <c r="K458" s="10" t="s">
        <v>30</v>
      </c>
      <c r="L458" s="10">
        <v>5</v>
      </c>
      <c r="M458" s="10">
        <v>1</v>
      </c>
      <c r="N458" s="10">
        <v>5</v>
      </c>
      <c r="O458" s="12">
        <v>1</v>
      </c>
      <c r="P458" s="116">
        <v>11400</v>
      </c>
      <c r="Q458" s="10" t="s">
        <v>31</v>
      </c>
      <c r="R458" s="4" t="s">
        <v>1280</v>
      </c>
      <c r="S458" s="4" t="s">
        <v>1279</v>
      </c>
      <c r="T458" s="4" t="s">
        <v>19</v>
      </c>
      <c r="U458" s="4" t="str">
        <f t="shared" si="26"/>
        <v>NOT AN ADD-ON</v>
      </c>
      <c r="V458" s="4" t="str">
        <f t="shared" si="28"/>
        <v>AVIATIONINDUSTRY SOLUTIONAUTHORIZEDNOT AN ADD-ON</v>
      </c>
    </row>
    <row r="459" spans="1:22" ht="15" hidden="1" thickBot="1">
      <c r="A459" s="10" t="s">
        <v>21</v>
      </c>
      <c r="B459" s="10" t="s">
        <v>22</v>
      </c>
      <c r="C459" s="10" t="s">
        <v>448</v>
      </c>
      <c r="D459" s="10" t="s">
        <v>449</v>
      </c>
      <c r="E459" s="10" t="s">
        <v>450</v>
      </c>
      <c r="F459" s="10" t="s">
        <v>451</v>
      </c>
      <c r="G459" s="116">
        <v>2110</v>
      </c>
      <c r="H459" s="163" t="s">
        <v>494</v>
      </c>
      <c r="I459" s="158" t="s">
        <v>495</v>
      </c>
      <c r="J459" s="163" t="s">
        <v>496</v>
      </c>
      <c r="K459" s="10" t="s">
        <v>40</v>
      </c>
      <c r="L459" s="10">
        <v>5</v>
      </c>
      <c r="M459" s="10">
        <f t="shared" si="27"/>
        <v>5</v>
      </c>
      <c r="N459" s="10">
        <v>5</v>
      </c>
      <c r="O459" s="12">
        <v>1</v>
      </c>
      <c r="P459" s="116">
        <v>10500</v>
      </c>
      <c r="Q459" s="10" t="s">
        <v>31</v>
      </c>
      <c r="R459" s="4" t="s">
        <v>1280</v>
      </c>
      <c r="S459" s="4" t="s">
        <v>1279</v>
      </c>
      <c r="T459" s="4" t="s">
        <v>672</v>
      </c>
      <c r="U459" s="4" t="str">
        <f t="shared" si="26"/>
        <v>NOT AN ADD-ON</v>
      </c>
      <c r="V459" s="4" t="str">
        <f t="shared" si="28"/>
        <v>AVIATIONINDUSTRY SOLUTIONLIMITEDNOT AN ADD-ON</v>
      </c>
    </row>
    <row r="460" spans="1:22" ht="15" hidden="1" thickBot="1">
      <c r="A460" s="10" t="s">
        <v>21</v>
      </c>
      <c r="B460" s="10" t="s">
        <v>22</v>
      </c>
      <c r="C460" s="10" t="s">
        <v>140</v>
      </c>
      <c r="D460" s="10" t="s">
        <v>141</v>
      </c>
      <c r="E460" s="10" t="s">
        <v>142</v>
      </c>
      <c r="F460" s="10" t="s">
        <v>143</v>
      </c>
      <c r="G460" s="116">
        <v>723</v>
      </c>
      <c r="H460" s="163" t="s">
        <v>199</v>
      </c>
      <c r="I460" s="158" t="s">
        <v>200</v>
      </c>
      <c r="J460" s="163" t="s">
        <v>190</v>
      </c>
      <c r="K460" s="10" t="s">
        <v>40</v>
      </c>
      <c r="L460" s="10">
        <v>5</v>
      </c>
      <c r="M460" s="10">
        <f t="shared" si="27"/>
        <v>5</v>
      </c>
      <c r="N460" s="10">
        <v>5</v>
      </c>
      <c r="O460" s="12">
        <v>1</v>
      </c>
      <c r="P460" s="116">
        <v>3620</v>
      </c>
      <c r="Q460" s="10" t="s">
        <v>31</v>
      </c>
      <c r="R460" s="4" t="s">
        <v>1278</v>
      </c>
      <c r="S460" s="4" t="s">
        <v>1278</v>
      </c>
      <c r="T460" s="4" t="s">
        <v>1381</v>
      </c>
      <c r="U460" s="4" t="str">
        <f t="shared" si="26"/>
        <v>NOT AN ADD-ON</v>
      </c>
      <c r="V460" s="4" t="str">
        <f t="shared" si="28"/>
        <v>ASSET MANAGEMENT (CORE)ASSET MANAGEMENT (CORE)EXPRESSNOT AN ADD-ON</v>
      </c>
    </row>
    <row r="461" spans="1:22" ht="15" hidden="1" thickBot="1">
      <c r="A461" s="10" t="s">
        <v>21</v>
      </c>
      <c r="B461" s="10" t="s">
        <v>22</v>
      </c>
      <c r="C461" s="10" t="s">
        <v>448</v>
      </c>
      <c r="D461" s="10" t="s">
        <v>449</v>
      </c>
      <c r="E461" s="10" t="s">
        <v>450</v>
      </c>
      <c r="F461" s="10" t="s">
        <v>451</v>
      </c>
      <c r="G461" s="116">
        <v>767</v>
      </c>
      <c r="H461" s="163" t="s">
        <v>488</v>
      </c>
      <c r="I461" s="158" t="s">
        <v>489</v>
      </c>
      <c r="J461" s="163" t="s">
        <v>490</v>
      </c>
      <c r="K461" s="10" t="s">
        <v>30</v>
      </c>
      <c r="L461" s="10">
        <v>2</v>
      </c>
      <c r="M461" s="10">
        <v>1</v>
      </c>
      <c r="N461" s="10">
        <v>2</v>
      </c>
      <c r="O461" s="12">
        <v>1</v>
      </c>
      <c r="P461" s="116">
        <v>3840</v>
      </c>
      <c r="Q461" s="10" t="s">
        <v>31</v>
      </c>
      <c r="R461" s="4" t="s">
        <v>1280</v>
      </c>
      <c r="S461" s="4" t="s">
        <v>1279</v>
      </c>
      <c r="T461" s="4" t="s">
        <v>672</v>
      </c>
      <c r="U461" s="4" t="str">
        <f t="shared" si="26"/>
        <v>NOT AN ADD-ON</v>
      </c>
      <c r="V461" s="4" t="str">
        <f t="shared" si="28"/>
        <v>AVIATIONINDUSTRY SOLUTIONLIMITEDNOT AN ADD-ON</v>
      </c>
    </row>
    <row r="462" spans="1:22" ht="15" hidden="1" thickBot="1">
      <c r="A462" s="10" t="s">
        <v>1089</v>
      </c>
      <c r="B462" s="10" t="s">
        <v>1090</v>
      </c>
      <c r="C462" s="10" t="s">
        <v>1091</v>
      </c>
      <c r="D462" s="10" t="s">
        <v>1092</v>
      </c>
      <c r="E462" s="10" t="s">
        <v>1093</v>
      </c>
      <c r="F462" s="10" t="s">
        <v>1094</v>
      </c>
      <c r="G462" s="116">
        <v>20900</v>
      </c>
      <c r="H462" s="163" t="s">
        <v>1108</v>
      </c>
      <c r="I462" s="158" t="s">
        <v>1109</v>
      </c>
      <c r="J462" s="163" t="s">
        <v>1110</v>
      </c>
      <c r="K462" s="10" t="s">
        <v>30</v>
      </c>
      <c r="L462" s="10">
        <v>5</v>
      </c>
      <c r="M462" s="10">
        <v>1</v>
      </c>
      <c r="N462" s="10">
        <v>5</v>
      </c>
      <c r="O462" s="12">
        <v>1</v>
      </c>
      <c r="P462" s="116">
        <v>104000</v>
      </c>
      <c r="Q462" s="10" t="s">
        <v>31</v>
      </c>
      <c r="R462" s="4" t="s">
        <v>1385</v>
      </c>
      <c r="S462" s="4" t="s">
        <v>1385</v>
      </c>
      <c r="T462" s="4" t="s">
        <v>19</v>
      </c>
      <c r="U462" s="4" t="str">
        <f t="shared" si="26"/>
        <v>NOT AN ADD-ON</v>
      </c>
      <c r="V462" s="4" t="str">
        <f t="shared" si="28"/>
        <v>APM FOR E&amp;UAPM FOR E&amp;UAUTHORIZEDNOT AN ADD-ON</v>
      </c>
    </row>
    <row r="463" spans="1:22" ht="15" hidden="1" thickBot="1">
      <c r="A463" s="10" t="s">
        <v>1089</v>
      </c>
      <c r="B463" s="10" t="s">
        <v>1090</v>
      </c>
      <c r="C463" s="10" t="s">
        <v>1091</v>
      </c>
      <c r="D463" s="10" t="s">
        <v>1092</v>
      </c>
      <c r="E463" s="10" t="s">
        <v>1093</v>
      </c>
      <c r="F463" s="10" t="s">
        <v>1094</v>
      </c>
      <c r="G463" s="116">
        <v>36.1</v>
      </c>
      <c r="H463" s="163" t="s">
        <v>1101</v>
      </c>
      <c r="I463" s="158" t="s">
        <v>1102</v>
      </c>
      <c r="J463" s="163" t="s">
        <v>1103</v>
      </c>
      <c r="K463" s="10" t="s">
        <v>1104</v>
      </c>
      <c r="L463" s="207">
        <v>0</v>
      </c>
      <c r="M463" s="10">
        <v>0</v>
      </c>
      <c r="N463" s="207">
        <v>0</v>
      </c>
      <c r="O463" s="12">
        <v>1</v>
      </c>
      <c r="P463" s="116">
        <v>180</v>
      </c>
      <c r="Q463" s="10" t="s">
        <v>31</v>
      </c>
      <c r="R463" s="4" t="s">
        <v>1385</v>
      </c>
      <c r="S463" s="4" t="s">
        <v>1385</v>
      </c>
      <c r="T463" s="4" t="s">
        <v>672</v>
      </c>
      <c r="U463" s="4" t="str">
        <f t="shared" si="26"/>
        <v>NOT AN ADD-ON</v>
      </c>
      <c r="V463" s="4" t="str">
        <f t="shared" si="28"/>
        <v>APM FOR E&amp;UAPM FOR E&amp;ULIMITEDNOT AN ADD-ON</v>
      </c>
    </row>
    <row r="464" spans="1:22" ht="15" hidden="1" thickBot="1">
      <c r="A464" s="10" t="s">
        <v>1089</v>
      </c>
      <c r="B464" s="10" t="s">
        <v>1090</v>
      </c>
      <c r="C464" s="10" t="s">
        <v>1091</v>
      </c>
      <c r="D464" s="10" t="s">
        <v>1092</v>
      </c>
      <c r="E464" s="10" t="s">
        <v>1093</v>
      </c>
      <c r="F464" s="10" t="s">
        <v>1094</v>
      </c>
      <c r="G464" s="116">
        <v>1550</v>
      </c>
      <c r="H464" s="163" t="s">
        <v>1095</v>
      </c>
      <c r="I464" s="158" t="s">
        <v>1096</v>
      </c>
      <c r="J464" s="163" t="s">
        <v>1097</v>
      </c>
      <c r="K464" s="10" t="s">
        <v>1491</v>
      </c>
      <c r="L464" s="207">
        <v>180</v>
      </c>
      <c r="M464" s="10">
        <v>1</v>
      </c>
      <c r="N464" s="207">
        <v>180</v>
      </c>
      <c r="O464" s="12">
        <v>1</v>
      </c>
      <c r="P464" s="116">
        <v>7730</v>
      </c>
      <c r="Q464" s="10" t="s">
        <v>31</v>
      </c>
      <c r="R464" s="4" t="s">
        <v>1385</v>
      </c>
      <c r="S464" s="4" t="s">
        <v>1385</v>
      </c>
      <c r="T464" s="4" t="s">
        <v>1491</v>
      </c>
      <c r="U464" s="4" t="str">
        <f t="shared" si="26"/>
        <v>NOT AN ADD-ON</v>
      </c>
      <c r="V464" s="4" t="str">
        <f t="shared" si="28"/>
        <v>APM FOR E&amp;UAPM FOR E&amp;UEU RVUNOT AN ADD-ON</v>
      </c>
    </row>
    <row r="465" spans="1:22" ht="15" hidden="1" thickBot="1">
      <c r="A465" s="10" t="s">
        <v>21</v>
      </c>
      <c r="B465" s="10" t="s">
        <v>1256</v>
      </c>
      <c r="C465" s="10" t="s">
        <v>1257</v>
      </c>
      <c r="D465" s="10" t="s">
        <v>1134</v>
      </c>
      <c r="E465" s="10" t="s">
        <v>1135</v>
      </c>
      <c r="F465" s="10" t="s">
        <v>1258</v>
      </c>
      <c r="G465" s="116">
        <v>874</v>
      </c>
      <c r="H465" s="163" t="s">
        <v>1265</v>
      </c>
      <c r="I465" s="158" t="s">
        <v>1266</v>
      </c>
      <c r="J465" s="163" t="s">
        <v>1267</v>
      </c>
      <c r="K465" s="10" t="s">
        <v>375</v>
      </c>
      <c r="L465" s="10">
        <v>10</v>
      </c>
      <c r="M465" s="10">
        <f t="shared" ref="M465:M518" si="29">ROUND(IF(K465="Authorized User",L465/3,L465),2)</f>
        <v>10</v>
      </c>
      <c r="N465" s="10">
        <v>10</v>
      </c>
      <c r="O465" s="12">
        <v>1</v>
      </c>
      <c r="P465" s="116">
        <v>4370</v>
      </c>
      <c r="Q465" s="10" t="s">
        <v>31</v>
      </c>
      <c r="R465" s="4" t="s">
        <v>1393</v>
      </c>
      <c r="S465" s="4" t="s">
        <v>1393</v>
      </c>
      <c r="T465" s="4" t="s">
        <v>1382</v>
      </c>
      <c r="U465" s="4" t="str">
        <f t="shared" si="26"/>
        <v>NOT AN ADD-ON</v>
      </c>
      <c r="V465" s="4" t="str">
        <f t="shared" si="28"/>
        <v>APM ASSET HEALTH INSIGHTSAPM ASSET HEALTH INSIGHTSRESOURCE VALUENOT AN ADD-ON</v>
      </c>
    </row>
    <row r="466" spans="1:22" ht="27" hidden="1" thickBot="1">
      <c r="A466" s="10" t="s">
        <v>21</v>
      </c>
      <c r="B466" s="10" t="s">
        <v>1256</v>
      </c>
      <c r="C466" s="10" t="s">
        <v>1257</v>
      </c>
      <c r="D466" s="10" t="s">
        <v>1134</v>
      </c>
      <c r="E466" s="10" t="s">
        <v>1135</v>
      </c>
      <c r="F466" s="10" t="s">
        <v>1258</v>
      </c>
      <c r="G466" s="116">
        <v>874</v>
      </c>
      <c r="H466" s="163" t="s">
        <v>1259</v>
      </c>
      <c r="I466" s="166" t="s">
        <v>1260</v>
      </c>
      <c r="J466" s="163" t="s">
        <v>1261</v>
      </c>
      <c r="K466" s="10" t="s">
        <v>375</v>
      </c>
      <c r="L466" s="10">
        <v>10</v>
      </c>
      <c r="M466" s="10">
        <f t="shared" si="29"/>
        <v>10</v>
      </c>
      <c r="N466" s="10">
        <v>10</v>
      </c>
      <c r="O466" s="12">
        <v>1</v>
      </c>
      <c r="P466" s="116">
        <v>4370</v>
      </c>
      <c r="Q466" s="10" t="s">
        <v>31</v>
      </c>
      <c r="R466" s="4" t="s">
        <v>1393</v>
      </c>
      <c r="S466" s="4" t="s">
        <v>1393</v>
      </c>
      <c r="T466" s="4" t="s">
        <v>1382</v>
      </c>
      <c r="U466" s="4" t="str">
        <f t="shared" si="26"/>
        <v>NOT AN ADD-ON</v>
      </c>
      <c r="V466" s="4" t="str">
        <f t="shared" si="28"/>
        <v>APM ASSET HEALTH INSIGHTSAPM ASSET HEALTH INSIGHTSRESOURCE VALUENOT AN ADD-ON</v>
      </c>
    </row>
    <row r="467" spans="1:22" ht="15" hidden="1" thickBot="1">
      <c r="A467" s="10" t="s">
        <v>21</v>
      </c>
      <c r="B467" s="10" t="s">
        <v>22</v>
      </c>
      <c r="C467" s="10" t="s">
        <v>301</v>
      </c>
      <c r="D467" s="10" t="s">
        <v>141</v>
      </c>
      <c r="E467" s="10" t="s">
        <v>142</v>
      </c>
      <c r="F467" s="10" t="s">
        <v>339</v>
      </c>
      <c r="G467" s="116">
        <v>2740</v>
      </c>
      <c r="H467" s="163" t="s">
        <v>372</v>
      </c>
      <c r="I467" s="158" t="s">
        <v>373</v>
      </c>
      <c r="J467" s="163" t="s">
        <v>374</v>
      </c>
      <c r="K467" s="10" t="s">
        <v>375</v>
      </c>
      <c r="L467" s="10">
        <v>0</v>
      </c>
      <c r="M467" s="10">
        <f t="shared" si="29"/>
        <v>0</v>
      </c>
      <c r="N467" s="10">
        <v>10</v>
      </c>
      <c r="O467" s="12">
        <v>1</v>
      </c>
      <c r="P467" s="116">
        <v>13700</v>
      </c>
      <c r="Q467" s="10" t="s">
        <v>31</v>
      </c>
      <c r="R467" s="4" t="s">
        <v>1286</v>
      </c>
      <c r="S467" s="4" t="s">
        <v>507</v>
      </c>
      <c r="T467" s="4" t="s">
        <v>1382</v>
      </c>
      <c r="U467" s="4" t="str">
        <f t="shared" si="26"/>
        <v>NOT AN ADD-ON</v>
      </c>
      <c r="V467" s="4" t="str">
        <f t="shared" si="28"/>
        <v>SCHEDULER PLUSADD-ONRESOURCE VALUENOT AN ADD-ON</v>
      </c>
    </row>
    <row r="468" spans="1:22" ht="15" hidden="1" thickBot="1">
      <c r="A468" s="10" t="s">
        <v>21</v>
      </c>
      <c r="B468" s="10" t="s">
        <v>22</v>
      </c>
      <c r="C468" s="10" t="s">
        <v>301</v>
      </c>
      <c r="D468" s="10" t="s">
        <v>141</v>
      </c>
      <c r="E468" s="10" t="s">
        <v>142</v>
      </c>
      <c r="F468" s="10" t="s">
        <v>339</v>
      </c>
      <c r="G468" s="116">
        <v>2740</v>
      </c>
      <c r="H468" s="163" t="s">
        <v>379</v>
      </c>
      <c r="I468" s="158" t="s">
        <v>380</v>
      </c>
      <c r="J468" s="163" t="s">
        <v>381</v>
      </c>
      <c r="K468" s="10" t="s">
        <v>375</v>
      </c>
      <c r="L468" s="10">
        <v>0</v>
      </c>
      <c r="M468" s="10">
        <f t="shared" si="29"/>
        <v>0</v>
      </c>
      <c r="N468" s="10">
        <v>10</v>
      </c>
      <c r="O468" s="12">
        <v>1</v>
      </c>
      <c r="P468" s="116">
        <v>13700</v>
      </c>
      <c r="Q468" s="10" t="s">
        <v>31</v>
      </c>
      <c r="R468" s="4" t="s">
        <v>1286</v>
      </c>
      <c r="S468" s="4" t="s">
        <v>507</v>
      </c>
      <c r="T468" s="4" t="s">
        <v>1382</v>
      </c>
      <c r="U468" s="4" t="str">
        <f t="shared" si="26"/>
        <v>NOT AN ADD-ON</v>
      </c>
      <c r="V468" s="4" t="str">
        <f t="shared" si="28"/>
        <v>SCHEDULER PLUSADD-ONRESOURCE VALUENOT AN ADD-ON</v>
      </c>
    </row>
    <row r="469" spans="1:22" ht="15" hidden="1" thickBot="1">
      <c r="A469" s="10" t="s">
        <v>21</v>
      </c>
      <c r="B469" s="10" t="s">
        <v>22</v>
      </c>
      <c r="C469" s="10" t="s">
        <v>140</v>
      </c>
      <c r="D469" s="10" t="s">
        <v>141</v>
      </c>
      <c r="E469" s="10" t="s">
        <v>142</v>
      </c>
      <c r="F469" s="10" t="s">
        <v>143</v>
      </c>
      <c r="G469" s="116">
        <v>3890</v>
      </c>
      <c r="H469" s="163" t="s">
        <v>152</v>
      </c>
      <c r="I469" s="158" t="s">
        <v>153</v>
      </c>
      <c r="J469" s="163" t="s">
        <v>154</v>
      </c>
      <c r="K469" s="10" t="s">
        <v>40</v>
      </c>
      <c r="L469" s="10">
        <v>10</v>
      </c>
      <c r="M469" s="10">
        <f t="shared" si="29"/>
        <v>10</v>
      </c>
      <c r="N469" s="10">
        <v>10</v>
      </c>
      <c r="O469" s="12">
        <v>1</v>
      </c>
      <c r="P469" s="116">
        <v>19400</v>
      </c>
      <c r="Q469" s="10" t="s">
        <v>31</v>
      </c>
      <c r="R469" s="4" t="s">
        <v>1278</v>
      </c>
      <c r="S469" s="4" t="s">
        <v>1278</v>
      </c>
      <c r="T469" s="4" t="s">
        <v>19</v>
      </c>
      <c r="U469" s="4" t="str">
        <f t="shared" si="26"/>
        <v>NOT AN ADD-ON</v>
      </c>
      <c r="V469" s="4" t="str">
        <f t="shared" si="28"/>
        <v>ASSET MANAGEMENT (CORE)ASSET MANAGEMENT (CORE)AUTHORIZEDNOT AN ADD-ON</v>
      </c>
    </row>
    <row r="470" spans="1:22" ht="15" hidden="1" thickBot="1">
      <c r="A470" s="10" t="s">
        <v>21</v>
      </c>
      <c r="B470" s="10" t="s">
        <v>22</v>
      </c>
      <c r="C470" s="10" t="s">
        <v>140</v>
      </c>
      <c r="D470" s="10" t="s">
        <v>141</v>
      </c>
      <c r="E470" s="10" t="s">
        <v>142</v>
      </c>
      <c r="F470" s="10" t="s">
        <v>143</v>
      </c>
      <c r="G470" s="116">
        <v>3890</v>
      </c>
      <c r="H470" s="163" t="s">
        <v>165</v>
      </c>
      <c r="I470" s="158" t="s">
        <v>166</v>
      </c>
      <c r="J470" s="163" t="s">
        <v>160</v>
      </c>
      <c r="K470" s="10" t="s">
        <v>40</v>
      </c>
      <c r="L470" s="10">
        <v>10</v>
      </c>
      <c r="M470" s="10">
        <f t="shared" si="29"/>
        <v>10</v>
      </c>
      <c r="N470" s="10">
        <v>10</v>
      </c>
      <c r="O470" s="12">
        <v>1</v>
      </c>
      <c r="P470" s="116">
        <v>19400</v>
      </c>
      <c r="Q470" s="10" t="s">
        <v>31</v>
      </c>
      <c r="R470" s="4" t="s">
        <v>1278</v>
      </c>
      <c r="S470" s="4" t="s">
        <v>1278</v>
      </c>
      <c r="T470" s="4" t="s">
        <v>19</v>
      </c>
      <c r="U470" s="4" t="str">
        <f t="shared" si="26"/>
        <v>NOT AN ADD-ON</v>
      </c>
      <c r="V470" s="4" t="str">
        <f t="shared" si="28"/>
        <v>ASSET MANAGEMENT (CORE)ASSET MANAGEMENT (CORE)AUTHORIZEDNOT AN ADD-ON</v>
      </c>
    </row>
    <row r="471" spans="1:22" ht="15" hidden="1" thickBot="1">
      <c r="A471" s="10" t="s">
        <v>21</v>
      </c>
      <c r="B471" s="10" t="s">
        <v>22</v>
      </c>
      <c r="C471" s="10" t="s">
        <v>301</v>
      </c>
      <c r="D471" s="10" t="s">
        <v>141</v>
      </c>
      <c r="E471" s="10" t="s">
        <v>142</v>
      </c>
      <c r="F471" s="10" t="s">
        <v>143</v>
      </c>
      <c r="G471" s="116">
        <v>1220</v>
      </c>
      <c r="H471" s="163" t="s">
        <v>312</v>
      </c>
      <c r="I471" s="158" t="s">
        <v>313</v>
      </c>
      <c r="J471" s="163" t="s">
        <v>314</v>
      </c>
      <c r="K471" s="10" t="s">
        <v>40</v>
      </c>
      <c r="L471" s="10">
        <v>0</v>
      </c>
      <c r="M471" s="10">
        <f t="shared" si="29"/>
        <v>0</v>
      </c>
      <c r="N471" s="10">
        <v>10</v>
      </c>
      <c r="O471" s="12">
        <v>1</v>
      </c>
      <c r="P471" s="116">
        <v>6130</v>
      </c>
      <c r="Q471" s="10" t="s">
        <v>31</v>
      </c>
      <c r="R471" s="4" t="s">
        <v>1285</v>
      </c>
      <c r="S471" s="4" t="s">
        <v>507</v>
      </c>
      <c r="T471" s="4" t="s">
        <v>19</v>
      </c>
      <c r="U471" s="4" t="str">
        <f t="shared" si="26"/>
        <v>NOT AN ADD-ON</v>
      </c>
      <c r="V471" s="4" t="str">
        <f t="shared" si="28"/>
        <v>SCHEDULERADD-ONAUTHORIZEDNOT AN ADD-ON</v>
      </c>
    </row>
    <row r="472" spans="1:22" ht="15" hidden="1" thickBot="1">
      <c r="A472" s="10" t="s">
        <v>21</v>
      </c>
      <c r="B472" s="10" t="s">
        <v>22</v>
      </c>
      <c r="C472" s="10" t="s">
        <v>301</v>
      </c>
      <c r="D472" s="10" t="s">
        <v>141</v>
      </c>
      <c r="E472" s="10" t="s">
        <v>142</v>
      </c>
      <c r="F472" s="10" t="s">
        <v>143</v>
      </c>
      <c r="G472" s="116">
        <v>1220</v>
      </c>
      <c r="H472" s="163" t="s">
        <v>320</v>
      </c>
      <c r="I472" s="158" t="s">
        <v>321</v>
      </c>
      <c r="J472" s="163" t="s">
        <v>322</v>
      </c>
      <c r="K472" s="10" t="s">
        <v>40</v>
      </c>
      <c r="L472" s="10">
        <v>0</v>
      </c>
      <c r="M472" s="10">
        <f t="shared" si="29"/>
        <v>0</v>
      </c>
      <c r="N472" s="10">
        <v>10</v>
      </c>
      <c r="O472" s="12">
        <v>1</v>
      </c>
      <c r="P472" s="116">
        <v>6130</v>
      </c>
      <c r="Q472" s="10" t="s">
        <v>31</v>
      </c>
      <c r="R472" s="4" t="s">
        <v>1285</v>
      </c>
      <c r="S472" s="4" t="s">
        <v>507</v>
      </c>
      <c r="T472" s="4" t="s">
        <v>19</v>
      </c>
      <c r="U472" s="4" t="str">
        <f t="shared" si="26"/>
        <v>NOT AN ADD-ON</v>
      </c>
      <c r="V472" s="4" t="str">
        <f t="shared" si="28"/>
        <v>SCHEDULERADD-ONAUTHORIZEDNOT AN ADD-ON</v>
      </c>
    </row>
    <row r="473" spans="1:22" ht="15" hidden="1" thickBot="1">
      <c r="A473" s="10" t="s">
        <v>21</v>
      </c>
      <c r="B473" s="10" t="s">
        <v>22</v>
      </c>
      <c r="C473" s="10" t="s">
        <v>986</v>
      </c>
      <c r="D473" s="10" t="s">
        <v>141</v>
      </c>
      <c r="E473" s="10" t="s">
        <v>142</v>
      </c>
      <c r="F473" s="10" t="s">
        <v>143</v>
      </c>
      <c r="G473" s="116">
        <v>1630</v>
      </c>
      <c r="H473" s="163" t="s">
        <v>987</v>
      </c>
      <c r="I473" s="158" t="s">
        <v>988</v>
      </c>
      <c r="J473" s="163" t="s">
        <v>989</v>
      </c>
      <c r="K473" s="10" t="s">
        <v>40</v>
      </c>
      <c r="L473" s="10">
        <v>5</v>
      </c>
      <c r="M473" s="10">
        <v>5</v>
      </c>
      <c r="N473" s="10">
        <v>5</v>
      </c>
      <c r="O473" s="12">
        <v>1</v>
      </c>
      <c r="P473" s="116">
        <v>8160</v>
      </c>
      <c r="Q473" s="10" t="s">
        <v>31</v>
      </c>
      <c r="R473" s="4" t="s">
        <v>1289</v>
      </c>
      <c r="S473" s="4" t="s">
        <v>507</v>
      </c>
      <c r="T473" s="4" t="s">
        <v>19</v>
      </c>
      <c r="U473" s="4" t="str">
        <f t="shared" si="26"/>
        <v>NOT AN ADD-ON</v>
      </c>
      <c r="V473" s="4" t="str">
        <f t="shared" si="28"/>
        <v>SAFETY AND ENVIRONMENT MANAGERADD-ONAUTHORIZEDNOT AN ADD-ON</v>
      </c>
    </row>
    <row r="474" spans="1:22" ht="15" hidden="1" thickBot="1">
      <c r="A474" s="10" t="s">
        <v>21</v>
      </c>
      <c r="B474" s="10" t="s">
        <v>22</v>
      </c>
      <c r="C474" s="10" t="s">
        <v>986</v>
      </c>
      <c r="D474" s="10" t="s">
        <v>141</v>
      </c>
      <c r="E474" s="10" t="s">
        <v>142</v>
      </c>
      <c r="F474" s="10" t="s">
        <v>143</v>
      </c>
      <c r="G474" s="116">
        <v>1630</v>
      </c>
      <c r="H474" s="163" t="s">
        <v>1008</v>
      </c>
      <c r="I474" s="158" t="s">
        <v>1009</v>
      </c>
      <c r="J474" s="163" t="s">
        <v>1007</v>
      </c>
      <c r="K474" s="10" t="s">
        <v>40</v>
      </c>
      <c r="L474" s="10">
        <v>5</v>
      </c>
      <c r="M474" s="10">
        <f t="shared" si="29"/>
        <v>5</v>
      </c>
      <c r="N474" s="10">
        <v>5</v>
      </c>
      <c r="O474" s="12">
        <v>1</v>
      </c>
      <c r="P474" s="116">
        <v>8160</v>
      </c>
      <c r="Q474" s="10" t="s">
        <v>31</v>
      </c>
      <c r="R474" s="4" t="s">
        <v>1293</v>
      </c>
      <c r="S474" s="4" t="s">
        <v>1383</v>
      </c>
      <c r="T474" s="4" t="s">
        <v>19</v>
      </c>
      <c r="U474" s="4" t="str">
        <f t="shared" si="26"/>
        <v>NOT AN ADD-ON</v>
      </c>
      <c r="V474" s="4" t="str">
        <f t="shared" si="28"/>
        <v>HEALTH SAFETY AND ENVIRONMENT MANAGERHSEAUTHORIZEDNOT AN ADD-ON</v>
      </c>
    </row>
    <row r="475" spans="1:22" ht="15" hidden="1" thickBot="1">
      <c r="A475" s="10" t="s">
        <v>21</v>
      </c>
      <c r="B475" s="10" t="s">
        <v>22</v>
      </c>
      <c r="C475" s="10" t="s">
        <v>686</v>
      </c>
      <c r="D475" s="10" t="s">
        <v>687</v>
      </c>
      <c r="E475" s="10" t="s">
        <v>688</v>
      </c>
      <c r="F475" s="10" t="s">
        <v>689</v>
      </c>
      <c r="G475" s="116">
        <v>4680</v>
      </c>
      <c r="H475" s="163" t="s">
        <v>724</v>
      </c>
      <c r="I475" s="158" t="s">
        <v>725</v>
      </c>
      <c r="J475" s="163" t="s">
        <v>726</v>
      </c>
      <c r="K475" s="10" t="s">
        <v>40</v>
      </c>
      <c r="L475" s="10">
        <v>15</v>
      </c>
      <c r="M475" s="10">
        <f t="shared" si="29"/>
        <v>15</v>
      </c>
      <c r="N475" s="10">
        <v>15</v>
      </c>
      <c r="O475" s="12">
        <v>1</v>
      </c>
      <c r="P475" s="116">
        <v>23400</v>
      </c>
      <c r="Q475" s="10" t="s">
        <v>31</v>
      </c>
      <c r="R475" s="4" t="s">
        <v>1282</v>
      </c>
      <c r="S475" s="4" t="s">
        <v>1279</v>
      </c>
      <c r="T475" s="4" t="s">
        <v>19</v>
      </c>
      <c r="U475" s="4" t="str">
        <f t="shared" si="26"/>
        <v>NOT AN ADD-ON</v>
      </c>
      <c r="V475" s="4" t="str">
        <f t="shared" si="28"/>
        <v>OIL AND GASINDUSTRY SOLUTIONAUTHORIZEDNOT AN ADD-ON</v>
      </c>
    </row>
    <row r="476" spans="1:22" ht="15" hidden="1" thickBot="1">
      <c r="A476" s="10" t="s">
        <v>21</v>
      </c>
      <c r="B476" s="10" t="s">
        <v>22</v>
      </c>
      <c r="C476" s="10" t="s">
        <v>686</v>
      </c>
      <c r="D476" s="10" t="s">
        <v>687</v>
      </c>
      <c r="E476" s="10" t="s">
        <v>688</v>
      </c>
      <c r="F476" s="10" t="s">
        <v>689</v>
      </c>
      <c r="G476" s="116">
        <v>4680</v>
      </c>
      <c r="H476" s="163" t="s">
        <v>735</v>
      </c>
      <c r="I476" s="158" t="s">
        <v>736</v>
      </c>
      <c r="J476" s="163" t="s">
        <v>732</v>
      </c>
      <c r="K476" s="10" t="s">
        <v>40</v>
      </c>
      <c r="L476" s="10">
        <v>15</v>
      </c>
      <c r="M476" s="10">
        <f t="shared" si="29"/>
        <v>15</v>
      </c>
      <c r="N476" s="10">
        <v>15</v>
      </c>
      <c r="O476" s="12">
        <v>1</v>
      </c>
      <c r="P476" s="116">
        <v>23400</v>
      </c>
      <c r="Q476" s="10" t="s">
        <v>31</v>
      </c>
      <c r="R476" s="4" t="s">
        <v>1282</v>
      </c>
      <c r="S476" s="4" t="s">
        <v>1279</v>
      </c>
      <c r="T476" s="4" t="s">
        <v>19</v>
      </c>
      <c r="U476" s="4" t="str">
        <f t="shared" si="26"/>
        <v>NOT AN ADD-ON</v>
      </c>
      <c r="V476" s="4" t="str">
        <f t="shared" si="28"/>
        <v>OIL AND GASINDUSTRY SOLUTIONAUTHORIZEDNOT AN ADD-ON</v>
      </c>
    </row>
    <row r="477" spans="1:22" ht="15" hidden="1" thickBot="1">
      <c r="A477" s="10" t="s">
        <v>21</v>
      </c>
      <c r="B477" s="10" t="s">
        <v>22</v>
      </c>
      <c r="C477" s="10" t="s">
        <v>686</v>
      </c>
      <c r="D477" s="10" t="s">
        <v>687</v>
      </c>
      <c r="E477" s="10" t="s">
        <v>688</v>
      </c>
      <c r="F477" s="10" t="s">
        <v>689</v>
      </c>
      <c r="G477" s="116">
        <v>1320</v>
      </c>
      <c r="H477" s="163" t="s">
        <v>696</v>
      </c>
      <c r="I477" s="158" t="s">
        <v>697</v>
      </c>
      <c r="J477" s="163" t="s">
        <v>698</v>
      </c>
      <c r="K477" s="10" t="s">
        <v>40</v>
      </c>
      <c r="L477" s="10">
        <v>5</v>
      </c>
      <c r="M477" s="10">
        <f t="shared" si="29"/>
        <v>5</v>
      </c>
      <c r="N477" s="10">
        <v>15</v>
      </c>
      <c r="O477" s="12">
        <v>1</v>
      </c>
      <c r="P477" s="116">
        <v>6570</v>
      </c>
      <c r="Q477" s="10" t="s">
        <v>31</v>
      </c>
      <c r="R477" s="4" t="s">
        <v>1282</v>
      </c>
      <c r="S477" s="4" t="s">
        <v>1279</v>
      </c>
      <c r="T477" s="4" t="s">
        <v>19</v>
      </c>
      <c r="U477" s="4" t="s">
        <v>507</v>
      </c>
      <c r="V477" s="4" t="str">
        <f t="shared" si="28"/>
        <v>OIL AND GASINDUSTRY SOLUTIONAUTHORIZEDADD-ON</v>
      </c>
    </row>
    <row r="478" spans="1:22" ht="15" hidden="1" thickBot="1">
      <c r="A478" s="10" t="s">
        <v>21</v>
      </c>
      <c r="B478" s="10" t="s">
        <v>22</v>
      </c>
      <c r="C478" s="10" t="s">
        <v>686</v>
      </c>
      <c r="D478" s="10" t="s">
        <v>687</v>
      </c>
      <c r="E478" s="10" t="s">
        <v>688</v>
      </c>
      <c r="F478" s="10" t="s">
        <v>689</v>
      </c>
      <c r="G478" s="116">
        <v>1320</v>
      </c>
      <c r="H478" s="163" t="s">
        <v>705</v>
      </c>
      <c r="I478" s="158" t="s">
        <v>706</v>
      </c>
      <c r="J478" s="163" t="s">
        <v>704</v>
      </c>
      <c r="K478" s="10" t="s">
        <v>40</v>
      </c>
      <c r="L478" s="10">
        <v>5</v>
      </c>
      <c r="M478" s="10">
        <f t="shared" si="29"/>
        <v>5</v>
      </c>
      <c r="N478" s="10">
        <v>15</v>
      </c>
      <c r="O478" s="12">
        <v>1</v>
      </c>
      <c r="P478" s="116">
        <v>6570</v>
      </c>
      <c r="Q478" s="10" t="s">
        <v>31</v>
      </c>
      <c r="R478" s="4" t="s">
        <v>1282</v>
      </c>
      <c r="S478" s="4" t="s">
        <v>1279</v>
      </c>
      <c r="T478" s="4" t="s">
        <v>19</v>
      </c>
      <c r="U478" s="4" t="str">
        <f>IF(ISNUMBER(SEARCH("ADD-ON",$I478)),"ADD-ON","NOT AN ADD-ON")</f>
        <v>ADD-ON</v>
      </c>
      <c r="V478" s="4" t="str">
        <f t="shared" si="28"/>
        <v>OIL AND GASINDUSTRY SOLUTIONAUTHORIZEDADD-ON</v>
      </c>
    </row>
    <row r="479" spans="1:22" ht="15" hidden="1" thickBot="1">
      <c r="A479" s="10" t="s">
        <v>21</v>
      </c>
      <c r="B479" s="10" t="s">
        <v>22</v>
      </c>
      <c r="C479" s="10" t="s">
        <v>870</v>
      </c>
      <c r="D479" s="10" t="s">
        <v>871</v>
      </c>
      <c r="E479" s="10" t="s">
        <v>872</v>
      </c>
      <c r="F479" s="10" t="s">
        <v>873</v>
      </c>
      <c r="G479" s="116">
        <v>4680</v>
      </c>
      <c r="H479" s="163" t="s">
        <v>908</v>
      </c>
      <c r="I479" s="158" t="s">
        <v>909</v>
      </c>
      <c r="J479" s="163" t="s">
        <v>910</v>
      </c>
      <c r="K479" s="10" t="s">
        <v>40</v>
      </c>
      <c r="L479" s="10">
        <v>15</v>
      </c>
      <c r="M479" s="10">
        <f t="shared" si="29"/>
        <v>15</v>
      </c>
      <c r="N479" s="10">
        <v>15</v>
      </c>
      <c r="O479" s="12">
        <v>1</v>
      </c>
      <c r="P479" s="116">
        <v>23400</v>
      </c>
      <c r="Q479" s="10" t="s">
        <v>31</v>
      </c>
      <c r="R479" s="4" t="s">
        <v>1284</v>
      </c>
      <c r="S479" s="4" t="s">
        <v>1279</v>
      </c>
      <c r="T479" s="4" t="s">
        <v>19</v>
      </c>
      <c r="U479" s="4" t="str">
        <f>IF(ISNUMBER(SEARCH("ADD-ON",$I479)),"ADD-ON","NOT AN ADD-ON")</f>
        <v>NOT AN ADD-ON</v>
      </c>
      <c r="V479" s="4" t="str">
        <f t="shared" si="28"/>
        <v>UTILITIESINDUSTRY SOLUTIONAUTHORIZEDNOT AN ADD-ON</v>
      </c>
    </row>
    <row r="480" spans="1:22" ht="15" hidden="1" thickBot="1">
      <c r="A480" s="10" t="s">
        <v>21</v>
      </c>
      <c r="B480" s="10" t="s">
        <v>22</v>
      </c>
      <c r="C480" s="10" t="s">
        <v>870</v>
      </c>
      <c r="D480" s="10" t="s">
        <v>871</v>
      </c>
      <c r="E480" s="10" t="s">
        <v>872</v>
      </c>
      <c r="F480" s="10" t="s">
        <v>873</v>
      </c>
      <c r="G480" s="116">
        <v>4680</v>
      </c>
      <c r="H480" s="163" t="s">
        <v>914</v>
      </c>
      <c r="I480" s="158" t="s">
        <v>915</v>
      </c>
      <c r="J480" s="163" t="s">
        <v>916</v>
      </c>
      <c r="K480" s="10" t="s">
        <v>40</v>
      </c>
      <c r="L480" s="10">
        <v>15</v>
      </c>
      <c r="M480" s="10">
        <f t="shared" si="29"/>
        <v>15</v>
      </c>
      <c r="N480" s="10">
        <v>15</v>
      </c>
      <c r="O480" s="12">
        <v>1</v>
      </c>
      <c r="P480" s="116">
        <v>23400</v>
      </c>
      <c r="Q480" s="10" t="s">
        <v>31</v>
      </c>
      <c r="R480" s="4" t="s">
        <v>1284</v>
      </c>
      <c r="S480" s="4" t="s">
        <v>1279</v>
      </c>
      <c r="T480" s="4" t="s">
        <v>19</v>
      </c>
      <c r="U480" s="4" t="str">
        <f>IF(ISNUMBER(SEARCH("ADD-ON",$I480)),"ADD-ON","NOT AN ADD-ON")</f>
        <v>NOT AN ADD-ON</v>
      </c>
      <c r="V480" s="4" t="str">
        <f t="shared" si="28"/>
        <v>UTILITIESINDUSTRY SOLUTIONAUTHORIZEDNOT AN ADD-ON</v>
      </c>
    </row>
    <row r="481" spans="1:22" ht="15" hidden="1" thickBot="1">
      <c r="A481" s="10" t="s">
        <v>21</v>
      </c>
      <c r="B481" s="10" t="s">
        <v>22</v>
      </c>
      <c r="C481" s="10" t="s">
        <v>870</v>
      </c>
      <c r="D481" s="10" t="s">
        <v>871</v>
      </c>
      <c r="E481" s="10" t="s">
        <v>872</v>
      </c>
      <c r="F481" s="10" t="s">
        <v>873</v>
      </c>
      <c r="G481" s="116">
        <v>1320</v>
      </c>
      <c r="H481" s="163" t="s">
        <v>880</v>
      </c>
      <c r="I481" s="158" t="s">
        <v>881</v>
      </c>
      <c r="J481" s="163" t="s">
        <v>882</v>
      </c>
      <c r="K481" s="10" t="s">
        <v>40</v>
      </c>
      <c r="L481" s="10">
        <v>5</v>
      </c>
      <c r="M481" s="10">
        <f t="shared" si="29"/>
        <v>5</v>
      </c>
      <c r="N481" s="10">
        <v>15</v>
      </c>
      <c r="O481" s="12">
        <v>1</v>
      </c>
      <c r="P481" s="116">
        <v>6570</v>
      </c>
      <c r="Q481" s="10" t="s">
        <v>31</v>
      </c>
      <c r="R481" s="4" t="s">
        <v>1284</v>
      </c>
      <c r="S481" s="4" t="s">
        <v>1279</v>
      </c>
      <c r="T481" s="4" t="s">
        <v>19</v>
      </c>
      <c r="U481" s="4" t="s">
        <v>507</v>
      </c>
      <c r="V481" s="4" t="str">
        <f t="shared" si="28"/>
        <v>UTILITIESINDUSTRY SOLUTIONAUTHORIZEDADD-ON</v>
      </c>
    </row>
    <row r="482" spans="1:22" ht="15" hidden="1" thickBot="1">
      <c r="A482" s="10" t="s">
        <v>21</v>
      </c>
      <c r="B482" s="10" t="s">
        <v>22</v>
      </c>
      <c r="C482" s="10" t="s">
        <v>870</v>
      </c>
      <c r="D482" s="10" t="s">
        <v>871</v>
      </c>
      <c r="E482" s="10" t="s">
        <v>872</v>
      </c>
      <c r="F482" s="10" t="s">
        <v>873</v>
      </c>
      <c r="G482" s="116">
        <v>1320</v>
      </c>
      <c r="H482" s="163" t="s">
        <v>891</v>
      </c>
      <c r="I482" s="158" t="s">
        <v>892</v>
      </c>
      <c r="J482" s="163" t="s">
        <v>888</v>
      </c>
      <c r="K482" s="10" t="s">
        <v>40</v>
      </c>
      <c r="L482" s="10">
        <v>5</v>
      </c>
      <c r="M482" s="10">
        <f t="shared" si="29"/>
        <v>5</v>
      </c>
      <c r="N482" s="10">
        <v>15</v>
      </c>
      <c r="O482" s="12">
        <v>1</v>
      </c>
      <c r="P482" s="116">
        <v>6570</v>
      </c>
      <c r="Q482" s="10" t="s">
        <v>31</v>
      </c>
      <c r="R482" s="4" t="s">
        <v>1284</v>
      </c>
      <c r="S482" s="4" t="s">
        <v>1279</v>
      </c>
      <c r="T482" s="4" t="s">
        <v>19</v>
      </c>
      <c r="U482" s="4" t="str">
        <f t="shared" ref="U482:U496" si="30">IF(ISNUMBER(SEARCH("ADD-ON",$I482)),"ADD-ON","NOT AN ADD-ON")</f>
        <v>ADD-ON</v>
      </c>
      <c r="V482" s="4" t="str">
        <f t="shared" si="28"/>
        <v>UTILITIESINDUSTRY SOLUTIONAUTHORIZEDADD-ON</v>
      </c>
    </row>
    <row r="483" spans="1:22" ht="15" hidden="1" thickBot="1">
      <c r="A483" s="10" t="s">
        <v>21</v>
      </c>
      <c r="B483" s="10" t="s">
        <v>22</v>
      </c>
      <c r="C483" s="10" t="s">
        <v>94</v>
      </c>
      <c r="D483" s="10" t="s">
        <v>95</v>
      </c>
      <c r="E483" s="10" t="s">
        <v>96</v>
      </c>
      <c r="F483" s="10" t="s">
        <v>97</v>
      </c>
      <c r="G483" s="116">
        <v>3500</v>
      </c>
      <c r="H483" s="163" t="s">
        <v>112</v>
      </c>
      <c r="I483" s="158" t="s">
        <v>113</v>
      </c>
      <c r="J483" s="163" t="s">
        <v>114</v>
      </c>
      <c r="K483" s="10" t="s">
        <v>40</v>
      </c>
      <c r="L483" s="10">
        <v>5</v>
      </c>
      <c r="M483" s="10">
        <v>5</v>
      </c>
      <c r="N483" s="10">
        <v>5</v>
      </c>
      <c r="O483" s="12">
        <v>1</v>
      </c>
      <c r="P483" s="116">
        <v>17500</v>
      </c>
      <c r="Q483" s="10" t="s">
        <v>31</v>
      </c>
      <c r="R483" s="4" t="s">
        <v>1294</v>
      </c>
      <c r="S483" s="4" t="s">
        <v>1379</v>
      </c>
      <c r="T483" s="4" t="s">
        <v>19</v>
      </c>
      <c r="U483" s="4" t="str">
        <f t="shared" si="30"/>
        <v>NOT AN ADD-ON</v>
      </c>
      <c r="V483" s="4" t="str">
        <f t="shared" si="28"/>
        <v>ASSET CONFIGURATION MANAGERACMAUTHORIZEDNOT AN ADD-ON</v>
      </c>
    </row>
    <row r="484" spans="1:22" ht="15" hidden="1" thickBot="1">
      <c r="A484" s="10" t="s">
        <v>21</v>
      </c>
      <c r="B484" s="10" t="s">
        <v>22</v>
      </c>
      <c r="C484" s="10" t="s">
        <v>94</v>
      </c>
      <c r="D484" s="10" t="s">
        <v>95</v>
      </c>
      <c r="E484" s="10" t="s">
        <v>96</v>
      </c>
      <c r="F484" s="10" t="s">
        <v>97</v>
      </c>
      <c r="G484" s="116">
        <v>3500</v>
      </c>
      <c r="H484" s="163" t="s">
        <v>121</v>
      </c>
      <c r="I484" s="158" t="s">
        <v>122</v>
      </c>
      <c r="J484" s="163" t="s">
        <v>120</v>
      </c>
      <c r="K484" s="10" t="s">
        <v>40</v>
      </c>
      <c r="L484" s="10">
        <v>5</v>
      </c>
      <c r="M484" s="10">
        <f t="shared" si="29"/>
        <v>5</v>
      </c>
      <c r="N484" s="10">
        <v>5</v>
      </c>
      <c r="O484" s="12">
        <v>1</v>
      </c>
      <c r="P484" s="116">
        <v>17500</v>
      </c>
      <c r="Q484" s="10" t="s">
        <v>31</v>
      </c>
      <c r="R484" s="4" t="s">
        <v>1294</v>
      </c>
      <c r="S484" s="4" t="s">
        <v>1379</v>
      </c>
      <c r="T484" s="4" t="s">
        <v>19</v>
      </c>
      <c r="U484" s="4" t="str">
        <f t="shared" si="30"/>
        <v>NOT AN ADD-ON</v>
      </c>
      <c r="V484" s="4" t="str">
        <f t="shared" si="28"/>
        <v>ASSET CONFIGURATION MANAGERACMAUTHORIZEDNOT AN ADD-ON</v>
      </c>
    </row>
    <row r="485" spans="1:22" ht="15" hidden="1" thickBot="1">
      <c r="A485" s="10" t="s">
        <v>21</v>
      </c>
      <c r="B485" s="10" t="s">
        <v>22</v>
      </c>
      <c r="C485" s="10" t="s">
        <v>23</v>
      </c>
      <c r="D485" s="10" t="s">
        <v>24</v>
      </c>
      <c r="E485" s="10" t="s">
        <v>25</v>
      </c>
      <c r="F485" s="10" t="s">
        <v>26</v>
      </c>
      <c r="G485" s="116">
        <v>1410</v>
      </c>
      <c r="H485" s="163" t="s">
        <v>62</v>
      </c>
      <c r="I485" s="158" t="s">
        <v>63</v>
      </c>
      <c r="J485" s="163" t="s">
        <v>64</v>
      </c>
      <c r="K485" s="10" t="s">
        <v>40</v>
      </c>
      <c r="L485" s="10">
        <v>5</v>
      </c>
      <c r="M485" s="10">
        <f t="shared" si="29"/>
        <v>5</v>
      </c>
      <c r="N485" s="10">
        <v>5</v>
      </c>
      <c r="O485" s="12">
        <v>1</v>
      </c>
      <c r="P485" s="116">
        <v>7030</v>
      </c>
      <c r="Q485" s="10" t="s">
        <v>31</v>
      </c>
      <c r="R485" s="4" t="s">
        <v>42</v>
      </c>
      <c r="S485" s="4" t="s">
        <v>42</v>
      </c>
      <c r="T485" s="4" t="s">
        <v>19</v>
      </c>
      <c r="U485" s="4" t="str">
        <f t="shared" si="30"/>
        <v>NOT AN ADD-ON</v>
      </c>
      <c r="V485" s="4" t="str">
        <f t="shared" si="28"/>
        <v>ANYWHEREANYWHEREAUTHORIZEDNOT AN ADD-ON</v>
      </c>
    </row>
    <row r="486" spans="1:22" ht="29.25" hidden="1" customHeight="1" thickBot="1">
      <c r="A486" s="10" t="s">
        <v>21</v>
      </c>
      <c r="B486" s="10" t="s">
        <v>22</v>
      </c>
      <c r="C486" s="10" t="s">
        <v>23</v>
      </c>
      <c r="D486" s="10" t="s">
        <v>24</v>
      </c>
      <c r="E486" s="10" t="s">
        <v>25</v>
      </c>
      <c r="F486" s="10" t="s">
        <v>26</v>
      </c>
      <c r="G486" s="116">
        <v>1410</v>
      </c>
      <c r="H486" s="163" t="s">
        <v>70</v>
      </c>
      <c r="I486" s="158" t="s">
        <v>71</v>
      </c>
      <c r="J486" s="163" t="s">
        <v>72</v>
      </c>
      <c r="K486" s="10" t="s">
        <v>40</v>
      </c>
      <c r="L486" s="10">
        <v>5</v>
      </c>
      <c r="M486" s="10">
        <f t="shared" si="29"/>
        <v>5</v>
      </c>
      <c r="N486" s="10">
        <v>5</v>
      </c>
      <c r="O486" s="12">
        <v>1</v>
      </c>
      <c r="P486" s="116">
        <v>7030</v>
      </c>
      <c r="Q486" s="10" t="s">
        <v>31</v>
      </c>
      <c r="R486" s="4" t="s">
        <v>42</v>
      </c>
      <c r="S486" s="4" t="s">
        <v>42</v>
      </c>
      <c r="T486" s="4" t="s">
        <v>19</v>
      </c>
      <c r="U486" s="4" t="str">
        <f t="shared" si="30"/>
        <v>NOT AN ADD-ON</v>
      </c>
      <c r="V486" s="4" t="str">
        <f t="shared" si="28"/>
        <v>ANYWHEREANYWHEREAUTHORIZEDNOT AN ADD-ON</v>
      </c>
    </row>
    <row r="487" spans="1:22" ht="15" hidden="1" thickBot="1">
      <c r="A487" s="10" t="s">
        <v>21</v>
      </c>
      <c r="B487" s="10" t="s">
        <v>22</v>
      </c>
      <c r="C487" s="10" t="s">
        <v>23</v>
      </c>
      <c r="D487" s="10" t="s">
        <v>24</v>
      </c>
      <c r="E487" s="10" t="s">
        <v>25</v>
      </c>
      <c r="F487" s="10" t="s">
        <v>26</v>
      </c>
      <c r="G487" s="116">
        <v>852</v>
      </c>
      <c r="H487" s="163" t="s">
        <v>37</v>
      </c>
      <c r="I487" s="158" t="s">
        <v>38</v>
      </c>
      <c r="J487" s="163" t="s">
        <v>39</v>
      </c>
      <c r="K487" s="10" t="s">
        <v>40</v>
      </c>
      <c r="L487" s="10">
        <v>0</v>
      </c>
      <c r="M487" s="10">
        <f t="shared" si="29"/>
        <v>0</v>
      </c>
      <c r="N487" s="10">
        <v>5</v>
      </c>
      <c r="O487" s="12">
        <v>1</v>
      </c>
      <c r="P487" s="116">
        <v>4260</v>
      </c>
      <c r="Q487" s="10" t="s">
        <v>31</v>
      </c>
      <c r="R487" s="4" t="s">
        <v>42</v>
      </c>
      <c r="S487" s="4" t="s">
        <v>42</v>
      </c>
      <c r="T487" s="4" t="s">
        <v>19</v>
      </c>
      <c r="U487" s="4" t="str">
        <f t="shared" si="30"/>
        <v>ADD-ON</v>
      </c>
      <c r="V487" s="4" t="str">
        <f t="shared" si="28"/>
        <v>ANYWHEREANYWHEREAUTHORIZEDADD-ON</v>
      </c>
    </row>
    <row r="488" spans="1:22" ht="15" hidden="1" thickBot="1">
      <c r="A488" s="10" t="s">
        <v>21</v>
      </c>
      <c r="B488" s="10" t="s">
        <v>22</v>
      </c>
      <c r="C488" s="10" t="s">
        <v>23</v>
      </c>
      <c r="D488" s="10" t="s">
        <v>24</v>
      </c>
      <c r="E488" s="10" t="s">
        <v>25</v>
      </c>
      <c r="F488" s="10" t="s">
        <v>26</v>
      </c>
      <c r="G488" s="116">
        <v>852</v>
      </c>
      <c r="H488" s="163" t="s">
        <v>49</v>
      </c>
      <c r="I488" s="158" t="s">
        <v>50</v>
      </c>
      <c r="J488" s="163" t="s">
        <v>47</v>
      </c>
      <c r="K488" s="10" t="s">
        <v>40</v>
      </c>
      <c r="L488" s="10">
        <v>0</v>
      </c>
      <c r="M488" s="10">
        <f t="shared" si="29"/>
        <v>0</v>
      </c>
      <c r="N488" s="10">
        <v>5</v>
      </c>
      <c r="O488" s="12">
        <v>1</v>
      </c>
      <c r="P488" s="116">
        <v>4260</v>
      </c>
      <c r="Q488" s="10" t="s">
        <v>31</v>
      </c>
      <c r="R488" s="4" t="s">
        <v>42</v>
      </c>
      <c r="S488" s="4" t="s">
        <v>42</v>
      </c>
      <c r="T488" s="4" t="s">
        <v>19</v>
      </c>
      <c r="U488" s="4" t="str">
        <f t="shared" si="30"/>
        <v>ADD-ON</v>
      </c>
      <c r="V488" s="4" t="str">
        <f t="shared" si="28"/>
        <v>ANYWHEREANYWHEREAUTHORIZEDADD-ON</v>
      </c>
    </row>
    <row r="489" spans="1:22" ht="15" hidden="1" thickBot="1">
      <c r="A489" s="10" t="s">
        <v>21</v>
      </c>
      <c r="B489" s="10" t="s">
        <v>22</v>
      </c>
      <c r="C489" s="10" t="s">
        <v>230</v>
      </c>
      <c r="D489" s="10" t="s">
        <v>141</v>
      </c>
      <c r="E489" s="10" t="s">
        <v>142</v>
      </c>
      <c r="F489" s="10" t="s">
        <v>143</v>
      </c>
      <c r="G489" s="116">
        <v>2170</v>
      </c>
      <c r="H489" s="163" t="s">
        <v>231</v>
      </c>
      <c r="I489" s="158" t="s">
        <v>232</v>
      </c>
      <c r="J489" s="163" t="s">
        <v>233</v>
      </c>
      <c r="K489" s="10" t="s">
        <v>40</v>
      </c>
      <c r="L489" s="10">
        <v>5</v>
      </c>
      <c r="M489" s="10">
        <f t="shared" si="29"/>
        <v>5</v>
      </c>
      <c r="N489" s="10">
        <v>5</v>
      </c>
      <c r="O489" s="12">
        <v>1</v>
      </c>
      <c r="P489" s="116">
        <v>10900</v>
      </c>
      <c r="Q489" s="10" t="s">
        <v>31</v>
      </c>
      <c r="R489" s="4" t="s">
        <v>234</v>
      </c>
      <c r="S489" s="4" t="s">
        <v>235</v>
      </c>
      <c r="T489" s="4" t="s">
        <v>19</v>
      </c>
      <c r="U489" s="4" t="str">
        <f t="shared" si="30"/>
        <v>NOT AN ADD-ON</v>
      </c>
      <c r="V489" s="4" t="str">
        <f t="shared" si="28"/>
        <v>MANAGED SERVICE PROVIDERSMSPAUTHORIZEDNOT AN ADD-ON</v>
      </c>
    </row>
    <row r="490" spans="1:22" ht="27" hidden="1" thickBot="1">
      <c r="A490" s="10" t="s">
        <v>21</v>
      </c>
      <c r="B490" s="10" t="s">
        <v>22</v>
      </c>
      <c r="C490" s="10" t="s">
        <v>230</v>
      </c>
      <c r="D490" s="10" t="s">
        <v>141</v>
      </c>
      <c r="E490" s="10" t="s">
        <v>142</v>
      </c>
      <c r="F490" s="10" t="s">
        <v>143</v>
      </c>
      <c r="G490" s="116">
        <v>2170</v>
      </c>
      <c r="H490" s="163" t="s">
        <v>239</v>
      </c>
      <c r="I490" s="166" t="s">
        <v>240</v>
      </c>
      <c r="J490" s="163" t="s">
        <v>241</v>
      </c>
      <c r="K490" s="10" t="s">
        <v>40</v>
      </c>
      <c r="L490" s="10">
        <v>5</v>
      </c>
      <c r="M490" s="10">
        <f t="shared" si="29"/>
        <v>5</v>
      </c>
      <c r="N490" s="10">
        <v>5</v>
      </c>
      <c r="O490" s="12">
        <v>1</v>
      </c>
      <c r="P490" s="116">
        <v>10900</v>
      </c>
      <c r="Q490" s="10" t="s">
        <v>31</v>
      </c>
      <c r="R490" s="4" t="s">
        <v>234</v>
      </c>
      <c r="S490" s="4" t="s">
        <v>235</v>
      </c>
      <c r="T490" s="4" t="s">
        <v>19</v>
      </c>
      <c r="U490" s="4" t="str">
        <f t="shared" si="30"/>
        <v>NOT AN ADD-ON</v>
      </c>
      <c r="V490" s="4" t="str">
        <f t="shared" si="28"/>
        <v>MANAGED SERVICE PROVIDERSMSPAUTHORIZEDNOT AN ADD-ON</v>
      </c>
    </row>
    <row r="491" spans="1:22" ht="15" hidden="1" thickBot="1">
      <c r="A491" s="10" t="s">
        <v>21</v>
      </c>
      <c r="B491" s="10" t="s">
        <v>22</v>
      </c>
      <c r="C491" s="10" t="s">
        <v>204</v>
      </c>
      <c r="D491" s="10" t="s">
        <v>141</v>
      </c>
      <c r="E491" s="10" t="s">
        <v>142</v>
      </c>
      <c r="F491" s="10" t="s">
        <v>143</v>
      </c>
      <c r="G491" s="116">
        <v>653</v>
      </c>
      <c r="H491" s="163" t="s">
        <v>205</v>
      </c>
      <c r="I491" s="158" t="s">
        <v>206</v>
      </c>
      <c r="J491" s="163" t="s">
        <v>207</v>
      </c>
      <c r="K491" s="10" t="s">
        <v>40</v>
      </c>
      <c r="L491" s="10">
        <v>5</v>
      </c>
      <c r="M491" s="10">
        <f t="shared" si="29"/>
        <v>5</v>
      </c>
      <c r="N491" s="10">
        <v>5</v>
      </c>
      <c r="O491" s="12">
        <v>1</v>
      </c>
      <c r="P491" s="116">
        <v>3270</v>
      </c>
      <c r="Q491" s="10" t="s">
        <v>31</v>
      </c>
      <c r="R491" s="4" t="s">
        <v>208</v>
      </c>
      <c r="S491" s="4" t="s">
        <v>1278</v>
      </c>
      <c r="T491" s="4" t="s">
        <v>19</v>
      </c>
      <c r="U491" s="4" t="str">
        <f t="shared" si="30"/>
        <v>NOT AN ADD-ON</v>
      </c>
      <c r="V491" s="4" t="str">
        <f t="shared" si="28"/>
        <v>INTERNAL SERVICE PROVIDERSASSET MANAGEMENT (CORE)AUTHORIZEDNOT AN ADD-ON</v>
      </c>
    </row>
    <row r="492" spans="1:22" ht="27" hidden="1" thickBot="1">
      <c r="A492" s="10" t="s">
        <v>21</v>
      </c>
      <c r="B492" s="10" t="s">
        <v>22</v>
      </c>
      <c r="C492" s="10" t="s">
        <v>204</v>
      </c>
      <c r="D492" s="10" t="s">
        <v>141</v>
      </c>
      <c r="E492" s="10" t="s">
        <v>142</v>
      </c>
      <c r="F492" s="10" t="s">
        <v>143</v>
      </c>
      <c r="G492" s="116">
        <v>653</v>
      </c>
      <c r="H492" s="163" t="s">
        <v>212</v>
      </c>
      <c r="I492" s="166" t="s">
        <v>213</v>
      </c>
      <c r="J492" s="163" t="s">
        <v>214</v>
      </c>
      <c r="K492" s="10" t="s">
        <v>40</v>
      </c>
      <c r="L492" s="10">
        <v>5</v>
      </c>
      <c r="M492" s="10">
        <f t="shared" si="29"/>
        <v>5</v>
      </c>
      <c r="N492" s="10">
        <v>5</v>
      </c>
      <c r="O492" s="12">
        <v>1</v>
      </c>
      <c r="P492" s="116">
        <v>3270</v>
      </c>
      <c r="Q492" s="10" t="s">
        <v>31</v>
      </c>
      <c r="R492" s="4" t="s">
        <v>208</v>
      </c>
      <c r="S492" s="4" t="s">
        <v>1278</v>
      </c>
      <c r="T492" s="4" t="s">
        <v>19</v>
      </c>
      <c r="U492" s="4" t="str">
        <f t="shared" si="30"/>
        <v>NOT AN ADD-ON</v>
      </c>
      <c r="V492" s="4" t="str">
        <f t="shared" si="28"/>
        <v>INTERNAL SERVICE PROVIDERSASSET MANAGEMENT (CORE)AUTHORIZEDNOT AN ADD-ON</v>
      </c>
    </row>
    <row r="493" spans="1:22" ht="15" hidden="1" thickBot="1">
      <c r="A493" s="10" t="s">
        <v>21</v>
      </c>
      <c r="B493" s="10" t="s">
        <v>22</v>
      </c>
      <c r="C493" s="10" t="s">
        <v>1015</v>
      </c>
      <c r="D493" s="10" t="s">
        <v>141</v>
      </c>
      <c r="E493" s="10" t="s">
        <v>142</v>
      </c>
      <c r="F493" s="10" t="s">
        <v>143</v>
      </c>
      <c r="G493" s="116">
        <v>434</v>
      </c>
      <c r="H493" s="163" t="s">
        <v>1022</v>
      </c>
      <c r="I493" s="158" t="s">
        <v>1023</v>
      </c>
      <c r="J493" s="163" t="s">
        <v>1024</v>
      </c>
      <c r="K493" s="10" t="s">
        <v>40</v>
      </c>
      <c r="L493" s="10">
        <v>0</v>
      </c>
      <c r="M493" s="10">
        <f t="shared" si="29"/>
        <v>0</v>
      </c>
      <c r="N493" s="10">
        <v>5</v>
      </c>
      <c r="O493" s="12">
        <v>1</v>
      </c>
      <c r="P493" s="116">
        <v>2170</v>
      </c>
      <c r="Q493" s="10" t="s">
        <v>31</v>
      </c>
      <c r="R493" s="4" t="s">
        <v>1290</v>
      </c>
      <c r="S493" s="4" t="s">
        <v>507</v>
      </c>
      <c r="T493" s="4" t="s">
        <v>19</v>
      </c>
      <c r="U493" s="4" t="str">
        <f t="shared" si="30"/>
        <v>NOT AN ADD-ON</v>
      </c>
      <c r="V493" s="4" t="str">
        <f t="shared" si="28"/>
        <v>LINEARADD-ONAUTHORIZEDNOT AN ADD-ON</v>
      </c>
    </row>
    <row r="494" spans="1:22" ht="15" hidden="1" thickBot="1">
      <c r="A494" s="10" t="s">
        <v>21</v>
      </c>
      <c r="B494" s="10" t="s">
        <v>22</v>
      </c>
      <c r="C494" s="10" t="s">
        <v>1015</v>
      </c>
      <c r="D494" s="10" t="s">
        <v>141</v>
      </c>
      <c r="E494" s="10" t="s">
        <v>142</v>
      </c>
      <c r="F494" s="10" t="s">
        <v>143</v>
      </c>
      <c r="G494" s="116">
        <v>434</v>
      </c>
      <c r="H494" s="163" t="s">
        <v>1028</v>
      </c>
      <c r="I494" s="158" t="s">
        <v>1029</v>
      </c>
      <c r="J494" s="163" t="s">
        <v>1030</v>
      </c>
      <c r="K494" s="10" t="s">
        <v>40</v>
      </c>
      <c r="L494" s="10">
        <v>0</v>
      </c>
      <c r="M494" s="10">
        <f t="shared" si="29"/>
        <v>0</v>
      </c>
      <c r="N494" s="10">
        <v>5</v>
      </c>
      <c r="O494" s="12">
        <v>1</v>
      </c>
      <c r="P494" s="116">
        <v>2170</v>
      </c>
      <c r="Q494" s="10" t="s">
        <v>31</v>
      </c>
      <c r="R494" s="4" t="s">
        <v>1290</v>
      </c>
      <c r="S494" s="4" t="s">
        <v>507</v>
      </c>
      <c r="T494" s="4" t="s">
        <v>19</v>
      </c>
      <c r="U494" s="4" t="str">
        <f t="shared" si="30"/>
        <v>NOT AN ADD-ON</v>
      </c>
      <c r="V494" s="4" t="str">
        <f t="shared" si="28"/>
        <v>LINEARADD-ONAUTHORIZEDNOT AN ADD-ON</v>
      </c>
    </row>
    <row r="495" spans="1:22" ht="15" hidden="1" thickBot="1">
      <c r="A495" s="10" t="s">
        <v>21</v>
      </c>
      <c r="B495" s="10" t="s">
        <v>22</v>
      </c>
      <c r="C495" s="10" t="s">
        <v>778</v>
      </c>
      <c r="D495" s="10" t="s">
        <v>779</v>
      </c>
      <c r="E495" s="10" t="s">
        <v>780</v>
      </c>
      <c r="F495" s="10" t="s">
        <v>781</v>
      </c>
      <c r="G495" s="116">
        <v>4680</v>
      </c>
      <c r="H495" s="163" t="s">
        <v>816</v>
      </c>
      <c r="I495" s="158" t="s">
        <v>817</v>
      </c>
      <c r="J495" s="163" t="s">
        <v>818</v>
      </c>
      <c r="K495" s="10" t="s">
        <v>40</v>
      </c>
      <c r="L495" s="10">
        <v>15</v>
      </c>
      <c r="M495" s="10">
        <f t="shared" si="29"/>
        <v>15</v>
      </c>
      <c r="N495" s="10">
        <v>15</v>
      </c>
      <c r="O495" s="12">
        <v>1</v>
      </c>
      <c r="P495" s="116">
        <v>23400</v>
      </c>
      <c r="Q495" s="10" t="s">
        <v>31</v>
      </c>
      <c r="R495" s="4" t="s">
        <v>1283</v>
      </c>
      <c r="S495" s="4" t="s">
        <v>1279</v>
      </c>
      <c r="T495" s="4" t="s">
        <v>19</v>
      </c>
      <c r="U495" s="4" t="str">
        <f t="shared" si="30"/>
        <v>NOT AN ADD-ON</v>
      </c>
      <c r="V495" s="4" t="str">
        <f t="shared" si="28"/>
        <v>TRANSPORATIONINDUSTRY SOLUTIONAUTHORIZEDNOT AN ADD-ON</v>
      </c>
    </row>
    <row r="496" spans="1:22" ht="15" hidden="1" thickBot="1">
      <c r="A496" s="10" t="s">
        <v>21</v>
      </c>
      <c r="B496" s="10" t="s">
        <v>22</v>
      </c>
      <c r="C496" s="10" t="s">
        <v>778</v>
      </c>
      <c r="D496" s="10" t="s">
        <v>779</v>
      </c>
      <c r="E496" s="10" t="s">
        <v>780</v>
      </c>
      <c r="F496" s="10" t="s">
        <v>781</v>
      </c>
      <c r="G496" s="116">
        <v>4680</v>
      </c>
      <c r="H496" s="163" t="s">
        <v>822</v>
      </c>
      <c r="I496" s="158" t="s">
        <v>823</v>
      </c>
      <c r="J496" s="163" t="s">
        <v>824</v>
      </c>
      <c r="K496" s="10" t="s">
        <v>40</v>
      </c>
      <c r="L496" s="10">
        <v>15</v>
      </c>
      <c r="M496" s="10">
        <f t="shared" si="29"/>
        <v>15</v>
      </c>
      <c r="N496" s="10">
        <v>15</v>
      </c>
      <c r="O496" s="12">
        <v>1</v>
      </c>
      <c r="P496" s="116">
        <v>23400</v>
      </c>
      <c r="Q496" s="10" t="s">
        <v>31</v>
      </c>
      <c r="R496" s="4" t="s">
        <v>1283</v>
      </c>
      <c r="S496" s="4" t="s">
        <v>1279</v>
      </c>
      <c r="T496" s="4" t="s">
        <v>19</v>
      </c>
      <c r="U496" s="4" t="str">
        <f t="shared" si="30"/>
        <v>NOT AN ADD-ON</v>
      </c>
      <c r="V496" s="4" t="str">
        <f t="shared" si="28"/>
        <v>TRANSPORATIONINDUSTRY SOLUTIONAUTHORIZEDNOT AN ADD-ON</v>
      </c>
    </row>
    <row r="497" spans="1:22" ht="15" hidden="1" thickBot="1">
      <c r="A497" s="10" t="s">
        <v>21</v>
      </c>
      <c r="B497" s="10" t="s">
        <v>22</v>
      </c>
      <c r="C497" s="10" t="s">
        <v>778</v>
      </c>
      <c r="D497" s="10" t="s">
        <v>779</v>
      </c>
      <c r="E497" s="10" t="s">
        <v>780</v>
      </c>
      <c r="F497" s="10" t="s">
        <v>781</v>
      </c>
      <c r="G497" s="116">
        <v>1320</v>
      </c>
      <c r="H497" s="163" t="s">
        <v>788</v>
      </c>
      <c r="I497" s="158" t="s">
        <v>789</v>
      </c>
      <c r="J497" s="163" t="s">
        <v>790</v>
      </c>
      <c r="K497" s="10" t="s">
        <v>40</v>
      </c>
      <c r="L497" s="10">
        <v>5</v>
      </c>
      <c r="M497" s="10">
        <f t="shared" si="29"/>
        <v>5</v>
      </c>
      <c r="N497" s="10">
        <v>15</v>
      </c>
      <c r="O497" s="12">
        <v>1</v>
      </c>
      <c r="P497" s="116">
        <v>6570</v>
      </c>
      <c r="Q497" s="10" t="s">
        <v>31</v>
      </c>
      <c r="R497" s="4" t="s">
        <v>1283</v>
      </c>
      <c r="S497" s="4" t="s">
        <v>1279</v>
      </c>
      <c r="T497" s="4" t="s">
        <v>19</v>
      </c>
      <c r="U497" s="4" t="s">
        <v>507</v>
      </c>
      <c r="V497" s="4" t="str">
        <f t="shared" si="28"/>
        <v>TRANSPORATIONINDUSTRY SOLUTIONAUTHORIZEDADD-ON</v>
      </c>
    </row>
    <row r="498" spans="1:22" ht="15" hidden="1" thickBot="1">
      <c r="A498" s="10" t="s">
        <v>21</v>
      </c>
      <c r="B498" s="10" t="s">
        <v>22</v>
      </c>
      <c r="C498" s="10" t="s">
        <v>778</v>
      </c>
      <c r="D498" s="10" t="s">
        <v>779</v>
      </c>
      <c r="E498" s="10" t="s">
        <v>780</v>
      </c>
      <c r="F498" s="10" t="s">
        <v>781</v>
      </c>
      <c r="G498" s="116">
        <v>1320</v>
      </c>
      <c r="H498" s="163" t="s">
        <v>794</v>
      </c>
      <c r="I498" s="158" t="s">
        <v>795</v>
      </c>
      <c r="J498" s="163" t="s">
        <v>796</v>
      </c>
      <c r="K498" s="10" t="s">
        <v>40</v>
      </c>
      <c r="L498" s="10">
        <v>5</v>
      </c>
      <c r="M498" s="10">
        <f t="shared" si="29"/>
        <v>5</v>
      </c>
      <c r="N498" s="10">
        <v>15</v>
      </c>
      <c r="O498" s="12">
        <v>1</v>
      </c>
      <c r="P498" s="116">
        <v>6570</v>
      </c>
      <c r="Q498" s="10" t="s">
        <v>31</v>
      </c>
      <c r="R498" s="4" t="s">
        <v>1283</v>
      </c>
      <c r="S498" s="4" t="s">
        <v>1279</v>
      </c>
      <c r="T498" s="4" t="s">
        <v>19</v>
      </c>
      <c r="U498" s="4" t="s">
        <v>507</v>
      </c>
      <c r="V498" s="4" t="str">
        <f t="shared" si="28"/>
        <v>TRANSPORATIONINDUSTRY SOLUTIONAUTHORIZEDADD-ON</v>
      </c>
    </row>
    <row r="499" spans="1:22" ht="29.25" hidden="1" customHeight="1" thickBot="1">
      <c r="A499" s="10" t="s">
        <v>21</v>
      </c>
      <c r="B499" s="10" t="s">
        <v>22</v>
      </c>
      <c r="C499" s="10" t="s">
        <v>500</v>
      </c>
      <c r="D499" s="10" t="s">
        <v>501</v>
      </c>
      <c r="E499" s="10" t="s">
        <v>502</v>
      </c>
      <c r="F499" s="10" t="s">
        <v>503</v>
      </c>
      <c r="G499" s="116">
        <v>4260</v>
      </c>
      <c r="H499" s="163" t="s">
        <v>539</v>
      </c>
      <c r="I499" s="158" t="s">
        <v>540</v>
      </c>
      <c r="J499" s="163" t="s">
        <v>541</v>
      </c>
      <c r="K499" s="10" t="s">
        <v>40</v>
      </c>
      <c r="L499" s="10">
        <v>10</v>
      </c>
      <c r="M499" s="10">
        <f t="shared" si="29"/>
        <v>10</v>
      </c>
      <c r="N499" s="15">
        <v>5</v>
      </c>
      <c r="O499" s="16">
        <v>1</v>
      </c>
      <c r="P499" s="116">
        <v>21300</v>
      </c>
      <c r="Q499" s="10" t="s">
        <v>31</v>
      </c>
      <c r="R499" s="4" t="s">
        <v>1292</v>
      </c>
      <c r="S499" s="4" t="s">
        <v>1292</v>
      </c>
      <c r="T499" s="4" t="s">
        <v>19</v>
      </c>
      <c r="U499" s="4" t="str">
        <f>IF(ISNUMBER(SEARCH("ADD-ON",$I499)),"ADD-ON","NOT AN ADD-ON")</f>
        <v>NOT AN ADD-ON</v>
      </c>
      <c r="V499" s="4" t="str">
        <f t="shared" si="28"/>
        <v>LIFE SCIENCESLIFE SCIENCESAUTHORIZEDNOT AN ADD-ON</v>
      </c>
    </row>
    <row r="500" spans="1:22" ht="29.25" hidden="1" customHeight="1" thickBot="1">
      <c r="A500" s="10" t="s">
        <v>21</v>
      </c>
      <c r="B500" s="10" t="s">
        <v>22</v>
      </c>
      <c r="C500" s="10" t="s">
        <v>500</v>
      </c>
      <c r="D500" s="10" t="s">
        <v>501</v>
      </c>
      <c r="E500" s="10" t="s">
        <v>502</v>
      </c>
      <c r="F500" s="10" t="s">
        <v>503</v>
      </c>
      <c r="G500" s="116">
        <v>4260</v>
      </c>
      <c r="H500" s="163" t="s">
        <v>545</v>
      </c>
      <c r="I500" s="158" t="s">
        <v>546</v>
      </c>
      <c r="J500" s="163" t="s">
        <v>547</v>
      </c>
      <c r="K500" s="10" t="s">
        <v>40</v>
      </c>
      <c r="L500" s="10">
        <v>10</v>
      </c>
      <c r="M500" s="10">
        <f t="shared" si="29"/>
        <v>10</v>
      </c>
      <c r="N500" s="10">
        <v>5</v>
      </c>
      <c r="O500" s="12">
        <v>1</v>
      </c>
      <c r="P500" s="116">
        <v>21300</v>
      </c>
      <c r="Q500" s="10" t="s">
        <v>31</v>
      </c>
      <c r="R500" s="4" t="s">
        <v>1292</v>
      </c>
      <c r="S500" s="4" t="s">
        <v>1292</v>
      </c>
      <c r="T500" s="4" t="s">
        <v>19</v>
      </c>
      <c r="U500" s="4" t="str">
        <f>IF(ISNUMBER(SEARCH("ADD-ON",$I500)),"ADD-ON","NOT AN ADD-ON")</f>
        <v>NOT AN ADD-ON</v>
      </c>
      <c r="V500" s="4" t="str">
        <f t="shared" si="28"/>
        <v>LIFE SCIENCESLIFE SCIENCESAUTHORIZEDNOT AN ADD-ON</v>
      </c>
    </row>
    <row r="501" spans="1:22" ht="29.25" hidden="1" customHeight="1" thickBot="1">
      <c r="A501" s="10" t="s">
        <v>21</v>
      </c>
      <c r="B501" s="10" t="s">
        <v>22</v>
      </c>
      <c r="C501" s="10" t="s">
        <v>500</v>
      </c>
      <c r="D501" s="10" t="s">
        <v>501</v>
      </c>
      <c r="E501" s="10" t="s">
        <v>502</v>
      </c>
      <c r="F501" s="10" t="s">
        <v>503</v>
      </c>
      <c r="G501" s="116">
        <v>434</v>
      </c>
      <c r="H501" s="163" t="s">
        <v>511</v>
      </c>
      <c r="I501" s="158" t="s">
        <v>512</v>
      </c>
      <c r="J501" s="163" t="s">
        <v>513</v>
      </c>
      <c r="K501" s="10" t="s">
        <v>40</v>
      </c>
      <c r="L501" s="10">
        <v>0</v>
      </c>
      <c r="M501" s="10">
        <f t="shared" si="29"/>
        <v>0</v>
      </c>
      <c r="N501" s="10">
        <v>5</v>
      </c>
      <c r="O501" s="12">
        <v>1</v>
      </c>
      <c r="P501" s="116">
        <v>2170</v>
      </c>
      <c r="Q501" s="10" t="s">
        <v>31</v>
      </c>
      <c r="R501" s="4" t="s">
        <v>1292</v>
      </c>
      <c r="S501" s="4" t="s">
        <v>1292</v>
      </c>
      <c r="T501" s="4" t="s">
        <v>19</v>
      </c>
      <c r="U501" s="4" t="s">
        <v>507</v>
      </c>
      <c r="V501" s="4" t="str">
        <f t="shared" si="28"/>
        <v>LIFE SCIENCESLIFE SCIENCESAUTHORIZEDADD-ON</v>
      </c>
    </row>
    <row r="502" spans="1:22" ht="29.25" hidden="1" customHeight="1" thickBot="1">
      <c r="A502" s="10" t="s">
        <v>21</v>
      </c>
      <c r="B502" s="10" t="s">
        <v>22</v>
      </c>
      <c r="C502" s="10" t="s">
        <v>500</v>
      </c>
      <c r="D502" s="10" t="s">
        <v>501</v>
      </c>
      <c r="E502" s="10" t="s">
        <v>502</v>
      </c>
      <c r="F502" s="10" t="s">
        <v>503</v>
      </c>
      <c r="G502" s="116">
        <v>434</v>
      </c>
      <c r="H502" s="163" t="s">
        <v>517</v>
      </c>
      <c r="I502" s="158" t="s">
        <v>518</v>
      </c>
      <c r="J502" s="163" t="s">
        <v>519</v>
      </c>
      <c r="K502" s="10" t="s">
        <v>40</v>
      </c>
      <c r="L502" s="10">
        <v>0</v>
      </c>
      <c r="M502" s="10">
        <f t="shared" si="29"/>
        <v>0</v>
      </c>
      <c r="N502" s="10">
        <v>5</v>
      </c>
      <c r="O502" s="12">
        <v>1</v>
      </c>
      <c r="P502" s="116">
        <v>2170</v>
      </c>
      <c r="Q502" s="10" t="s">
        <v>31</v>
      </c>
      <c r="R502" s="4" t="s">
        <v>1292</v>
      </c>
      <c r="S502" s="4" t="s">
        <v>1292</v>
      </c>
      <c r="T502" s="4" t="s">
        <v>19</v>
      </c>
      <c r="U502" s="4" t="s">
        <v>507</v>
      </c>
      <c r="V502" s="4" t="str">
        <f t="shared" si="28"/>
        <v>LIFE SCIENCESLIFE SCIENCESAUTHORIZEDADD-ON</v>
      </c>
    </row>
    <row r="503" spans="1:22" ht="29.25" hidden="1" customHeight="1" thickBot="1">
      <c r="A503" s="10" t="s">
        <v>21</v>
      </c>
      <c r="B503" s="10" t="s">
        <v>22</v>
      </c>
      <c r="C503" s="10" t="s">
        <v>385</v>
      </c>
      <c r="D503" s="10" t="s">
        <v>386</v>
      </c>
      <c r="E503" s="10" t="s">
        <v>387</v>
      </c>
      <c r="F503" s="10" t="s">
        <v>388</v>
      </c>
      <c r="G503" s="116">
        <v>356</v>
      </c>
      <c r="H503" s="163" t="s">
        <v>395</v>
      </c>
      <c r="I503" s="158" t="s">
        <v>396</v>
      </c>
      <c r="J503" s="163" t="s">
        <v>397</v>
      </c>
      <c r="K503" s="10" t="s">
        <v>40</v>
      </c>
      <c r="L503" s="10">
        <v>0</v>
      </c>
      <c r="M503" s="10">
        <f t="shared" si="29"/>
        <v>0</v>
      </c>
      <c r="N503" s="10">
        <v>5</v>
      </c>
      <c r="O503" s="12">
        <v>1</v>
      </c>
      <c r="P503" s="116">
        <v>1780</v>
      </c>
      <c r="Q503" s="10" t="s">
        <v>31</v>
      </c>
      <c r="R503" s="4" t="s">
        <v>1288</v>
      </c>
      <c r="S503" s="4" t="s">
        <v>507</v>
      </c>
      <c r="T503" s="4" t="s">
        <v>19</v>
      </c>
      <c r="U503" s="4" t="str">
        <f t="shared" ref="U503:U508" si="31">IF(ISNUMBER(SEARCH("ADD-ON",$I503)),"ADD-ON","NOT AN ADD-ON")</f>
        <v>NOT AN ADD-ON</v>
      </c>
      <c r="V503" s="4" t="str">
        <f t="shared" si="28"/>
        <v>CALIBRATIONADD-ONAUTHORIZEDNOT AN ADD-ON</v>
      </c>
    </row>
    <row r="504" spans="1:22" ht="29.25" hidden="1" customHeight="1" thickBot="1">
      <c r="A504" s="10" t="s">
        <v>21</v>
      </c>
      <c r="B504" s="10" t="s">
        <v>22</v>
      </c>
      <c r="C504" s="10" t="s">
        <v>385</v>
      </c>
      <c r="D504" s="10" t="s">
        <v>386</v>
      </c>
      <c r="E504" s="10" t="s">
        <v>387</v>
      </c>
      <c r="F504" s="10" t="s">
        <v>388</v>
      </c>
      <c r="G504" s="116">
        <v>356</v>
      </c>
      <c r="H504" s="163" t="s">
        <v>401</v>
      </c>
      <c r="I504" s="158" t="s">
        <v>402</v>
      </c>
      <c r="J504" s="163" t="s">
        <v>403</v>
      </c>
      <c r="K504" s="10" t="s">
        <v>40</v>
      </c>
      <c r="L504" s="10">
        <v>0</v>
      </c>
      <c r="M504" s="10">
        <f t="shared" si="29"/>
        <v>0</v>
      </c>
      <c r="N504" s="10">
        <v>5</v>
      </c>
      <c r="O504" s="12">
        <v>1</v>
      </c>
      <c r="P504" s="116">
        <v>1780</v>
      </c>
      <c r="Q504" s="10" t="s">
        <v>31</v>
      </c>
      <c r="R504" s="4" t="s">
        <v>1288</v>
      </c>
      <c r="S504" s="4" t="s">
        <v>507</v>
      </c>
      <c r="T504" s="4" t="s">
        <v>19</v>
      </c>
      <c r="U504" s="4" t="str">
        <f t="shared" si="31"/>
        <v>NOT AN ADD-ON</v>
      </c>
      <c r="V504" s="4" t="str">
        <f t="shared" si="28"/>
        <v>CALIBRATIONADD-ONAUTHORIZEDNOT AN ADD-ON</v>
      </c>
    </row>
    <row r="505" spans="1:22" ht="15" hidden="1" thickBot="1">
      <c r="A505" s="10" t="s">
        <v>21</v>
      </c>
      <c r="B505" s="10" t="s">
        <v>22</v>
      </c>
      <c r="C505" s="10" t="s">
        <v>1044</v>
      </c>
      <c r="D505" s="10" t="s">
        <v>1045</v>
      </c>
      <c r="E505" s="10" t="s">
        <v>1046</v>
      </c>
      <c r="F505" s="10" t="s">
        <v>1047</v>
      </c>
      <c r="G505" s="116">
        <v>132</v>
      </c>
      <c r="H505" s="193" t="s">
        <v>1054</v>
      </c>
      <c r="I505" s="195" t="s">
        <v>1055</v>
      </c>
      <c r="J505" s="193" t="s">
        <v>1056</v>
      </c>
      <c r="K505" s="10" t="s">
        <v>40</v>
      </c>
      <c r="L505" s="198">
        <v>0</v>
      </c>
      <c r="M505" s="10">
        <f t="shared" si="29"/>
        <v>0</v>
      </c>
      <c r="N505" s="198">
        <v>5</v>
      </c>
      <c r="O505" s="12">
        <v>1</v>
      </c>
      <c r="P505" s="116">
        <v>657</v>
      </c>
      <c r="Q505" s="198" t="s">
        <v>31</v>
      </c>
      <c r="R505" s="4" t="s">
        <v>1291</v>
      </c>
      <c r="S505" s="4" t="s">
        <v>507</v>
      </c>
      <c r="T505" s="4" t="s">
        <v>19</v>
      </c>
      <c r="U505" s="4" t="str">
        <f t="shared" si="31"/>
        <v>NOT AN ADD-ON</v>
      </c>
      <c r="V505" s="4" t="str">
        <f t="shared" si="28"/>
        <v>SPATIALADD-ONAUTHORIZEDNOT AN ADD-ON</v>
      </c>
    </row>
    <row r="506" spans="1:22" ht="16" hidden="1" customHeight="1" thickBot="1">
      <c r="A506" s="10" t="s">
        <v>21</v>
      </c>
      <c r="B506" s="10" t="s">
        <v>22</v>
      </c>
      <c r="C506" s="10" t="s">
        <v>1044</v>
      </c>
      <c r="D506" s="10" t="s">
        <v>1045</v>
      </c>
      <c r="E506" s="10" t="s">
        <v>1046</v>
      </c>
      <c r="F506" s="10" t="s">
        <v>1047</v>
      </c>
      <c r="G506" s="253">
        <v>132</v>
      </c>
      <c r="H506" s="204" t="s">
        <v>1060</v>
      </c>
      <c r="I506" s="206" t="s">
        <v>1061</v>
      </c>
      <c r="J506" s="204" t="s">
        <v>1062</v>
      </c>
      <c r="K506" s="212" t="s">
        <v>40</v>
      </c>
      <c r="L506" s="200">
        <v>0</v>
      </c>
      <c r="M506" s="212">
        <f t="shared" si="29"/>
        <v>0</v>
      </c>
      <c r="N506" s="200">
        <v>5</v>
      </c>
      <c r="O506" s="17">
        <v>1</v>
      </c>
      <c r="P506" s="253">
        <v>657</v>
      </c>
      <c r="Q506" s="200" t="s">
        <v>31</v>
      </c>
      <c r="R506" s="59" t="s">
        <v>1291</v>
      </c>
      <c r="S506" s="59" t="s">
        <v>507</v>
      </c>
      <c r="T506" s="4" t="s">
        <v>19</v>
      </c>
      <c r="U506" s="4" t="str">
        <f t="shared" si="31"/>
        <v>NOT AN ADD-ON</v>
      </c>
      <c r="V506" s="4" t="str">
        <f t="shared" si="28"/>
        <v>SPATIALADD-ONAUTHORIZEDNOT AN ADD-ON</v>
      </c>
    </row>
    <row r="507" spans="1:22" ht="16" hidden="1" customHeight="1" thickBot="1">
      <c r="A507" s="10" t="s">
        <v>21</v>
      </c>
      <c r="B507" s="10" t="s">
        <v>22</v>
      </c>
      <c r="C507" s="10" t="s">
        <v>593</v>
      </c>
      <c r="D507" s="10" t="s">
        <v>594</v>
      </c>
      <c r="E507" s="10" t="s">
        <v>595</v>
      </c>
      <c r="F507" s="10" t="s">
        <v>596</v>
      </c>
      <c r="G507" s="253">
        <v>4680</v>
      </c>
      <c r="H507" s="204" t="s">
        <v>646</v>
      </c>
      <c r="I507" s="206" t="s">
        <v>647</v>
      </c>
      <c r="J507" s="204" t="s">
        <v>639</v>
      </c>
      <c r="K507" s="212" t="s">
        <v>40</v>
      </c>
      <c r="L507" s="200">
        <v>15</v>
      </c>
      <c r="M507" s="212">
        <f t="shared" si="29"/>
        <v>15</v>
      </c>
      <c r="N507" s="200">
        <v>15</v>
      </c>
      <c r="O507" s="17">
        <v>1</v>
      </c>
      <c r="P507" s="253">
        <v>23400</v>
      </c>
      <c r="Q507" s="200" t="s">
        <v>31</v>
      </c>
      <c r="R507" s="59" t="s">
        <v>1281</v>
      </c>
      <c r="S507" s="59" t="s">
        <v>1279</v>
      </c>
      <c r="T507" s="4" t="s">
        <v>19</v>
      </c>
      <c r="U507" s="4" t="str">
        <f t="shared" si="31"/>
        <v>NOT AN ADD-ON</v>
      </c>
      <c r="V507" s="4" t="str">
        <f t="shared" si="28"/>
        <v>NUCLEAR POWERINDUSTRY SOLUTIONAUTHORIZEDNOT AN ADD-ON</v>
      </c>
    </row>
    <row r="508" spans="1:22" ht="16" hidden="1" customHeight="1" thickBot="1">
      <c r="A508" s="10" t="s">
        <v>21</v>
      </c>
      <c r="B508" s="10" t="s">
        <v>22</v>
      </c>
      <c r="C508" s="10" t="s">
        <v>593</v>
      </c>
      <c r="D508" s="10" t="s">
        <v>594</v>
      </c>
      <c r="E508" s="10" t="s">
        <v>595</v>
      </c>
      <c r="F508" s="10" t="s">
        <v>596</v>
      </c>
      <c r="G508" s="253">
        <v>4680</v>
      </c>
      <c r="H508" s="204" t="s">
        <v>631</v>
      </c>
      <c r="I508" s="206" t="s">
        <v>632</v>
      </c>
      <c r="J508" s="204" t="s">
        <v>633</v>
      </c>
      <c r="K508" s="212" t="s">
        <v>40</v>
      </c>
      <c r="L508" s="200">
        <v>15</v>
      </c>
      <c r="M508" s="212">
        <f t="shared" si="29"/>
        <v>15</v>
      </c>
      <c r="N508" s="200">
        <v>15</v>
      </c>
      <c r="O508" s="17">
        <v>1</v>
      </c>
      <c r="P508" s="253">
        <v>23400</v>
      </c>
      <c r="Q508" s="200" t="s">
        <v>31</v>
      </c>
      <c r="R508" s="59" t="s">
        <v>1281</v>
      </c>
      <c r="S508" s="59" t="s">
        <v>1279</v>
      </c>
      <c r="T508" s="4" t="s">
        <v>19</v>
      </c>
      <c r="U508" s="4" t="str">
        <f t="shared" si="31"/>
        <v>NOT AN ADD-ON</v>
      </c>
      <c r="V508" s="4" t="str">
        <f t="shared" si="28"/>
        <v>NUCLEAR POWERINDUSTRY SOLUTIONAUTHORIZEDNOT AN ADD-ON</v>
      </c>
    </row>
    <row r="509" spans="1:22" ht="16" hidden="1" customHeight="1" thickBot="1">
      <c r="A509" s="10" t="s">
        <v>21</v>
      </c>
      <c r="B509" s="10" t="s">
        <v>22</v>
      </c>
      <c r="C509" s="10" t="s">
        <v>593</v>
      </c>
      <c r="D509" s="10" t="s">
        <v>594</v>
      </c>
      <c r="E509" s="10" t="s">
        <v>595</v>
      </c>
      <c r="F509" s="10" t="s">
        <v>596</v>
      </c>
      <c r="G509" s="253">
        <v>1320</v>
      </c>
      <c r="H509" s="204" t="s">
        <v>614</v>
      </c>
      <c r="I509" s="206" t="s">
        <v>615</v>
      </c>
      <c r="J509" s="204" t="s">
        <v>611</v>
      </c>
      <c r="K509" s="212" t="s">
        <v>40</v>
      </c>
      <c r="L509" s="200">
        <v>5</v>
      </c>
      <c r="M509" s="212">
        <f t="shared" si="29"/>
        <v>5</v>
      </c>
      <c r="N509" s="200">
        <v>15</v>
      </c>
      <c r="O509" s="17">
        <v>1</v>
      </c>
      <c r="P509" s="253">
        <v>6570</v>
      </c>
      <c r="Q509" s="200" t="s">
        <v>31</v>
      </c>
      <c r="R509" s="59" t="s">
        <v>1281</v>
      </c>
      <c r="S509" s="59" t="s">
        <v>1279</v>
      </c>
      <c r="T509" s="4" t="s">
        <v>19</v>
      </c>
      <c r="U509" s="4" t="s">
        <v>507</v>
      </c>
      <c r="V509" s="4" t="str">
        <f t="shared" si="28"/>
        <v>NUCLEAR POWERINDUSTRY SOLUTIONAUTHORIZEDADD-ON</v>
      </c>
    </row>
    <row r="510" spans="1:22" ht="15" hidden="1" thickBot="1">
      <c r="A510" s="10" t="s">
        <v>21</v>
      </c>
      <c r="B510" s="10" t="s">
        <v>22</v>
      </c>
      <c r="C510" s="10" t="s">
        <v>593</v>
      </c>
      <c r="D510" s="10" t="s">
        <v>594</v>
      </c>
      <c r="E510" s="10" t="s">
        <v>595</v>
      </c>
      <c r="F510" s="10" t="s">
        <v>596</v>
      </c>
      <c r="G510" s="116">
        <v>1320</v>
      </c>
      <c r="H510" s="163" t="s">
        <v>603</v>
      </c>
      <c r="I510" s="158" t="s">
        <v>604</v>
      </c>
      <c r="J510" s="163" t="s">
        <v>605</v>
      </c>
      <c r="K510" s="199" t="s">
        <v>40</v>
      </c>
      <c r="L510" s="200">
        <v>5</v>
      </c>
      <c r="M510" s="212">
        <f t="shared" si="29"/>
        <v>5</v>
      </c>
      <c r="N510" s="200">
        <v>15</v>
      </c>
      <c r="O510" s="17">
        <v>1</v>
      </c>
      <c r="P510" s="116">
        <v>6570</v>
      </c>
      <c r="Q510" s="10" t="s">
        <v>31</v>
      </c>
      <c r="R510" s="4" t="s">
        <v>1281</v>
      </c>
      <c r="S510" s="4" t="s">
        <v>1279</v>
      </c>
      <c r="T510" s="4" t="s">
        <v>19</v>
      </c>
      <c r="U510" s="4" t="s">
        <v>507</v>
      </c>
      <c r="V510" s="4" t="str">
        <f t="shared" si="28"/>
        <v>NUCLEAR POWERINDUSTRY SOLUTIONAUTHORIZEDADD-ON</v>
      </c>
    </row>
    <row r="511" spans="1:22" ht="15" hidden="1" thickBot="1">
      <c r="A511" s="10" t="s">
        <v>21</v>
      </c>
      <c r="B511" s="10" t="s">
        <v>22</v>
      </c>
      <c r="C511" s="10" t="s">
        <v>338</v>
      </c>
      <c r="D511" s="10" t="s">
        <v>141</v>
      </c>
      <c r="E511" s="10" t="s">
        <v>142</v>
      </c>
      <c r="F511" s="10" t="s">
        <v>339</v>
      </c>
      <c r="G511" s="116">
        <v>804</v>
      </c>
      <c r="H511" s="163" t="s">
        <v>340</v>
      </c>
      <c r="I511" s="158" t="s">
        <v>341</v>
      </c>
      <c r="J511" s="163" t="s">
        <v>342</v>
      </c>
      <c r="K511" s="199" t="s">
        <v>30</v>
      </c>
      <c r="L511" s="200">
        <v>0</v>
      </c>
      <c r="M511" s="212">
        <f t="shared" si="29"/>
        <v>0</v>
      </c>
      <c r="N511" s="200">
        <v>10</v>
      </c>
      <c r="O511" s="17">
        <v>3.3333333333333335</v>
      </c>
      <c r="P511" s="116">
        <v>4020</v>
      </c>
      <c r="Q511" s="10" t="s">
        <v>31</v>
      </c>
      <c r="R511" s="4" t="s">
        <v>1286</v>
      </c>
      <c r="S511" s="4" t="s">
        <v>507</v>
      </c>
      <c r="T511" s="4" t="s">
        <v>19</v>
      </c>
      <c r="U511" s="4" t="str">
        <f t="shared" ref="U511:U528" si="32">IF(ISNUMBER(SEARCH("ADD-ON",$I511)),"ADD-ON","NOT AN ADD-ON")</f>
        <v>NOT AN ADD-ON</v>
      </c>
      <c r="V511" s="4" t="str">
        <f t="shared" si="28"/>
        <v>SCHEDULER PLUSADD-ONAUTHORIZEDNOT AN ADD-ON</v>
      </c>
    </row>
    <row r="512" spans="1:22" ht="15" hidden="1" thickBot="1">
      <c r="A512" s="10" t="s">
        <v>21</v>
      </c>
      <c r="B512" s="10" t="s">
        <v>22</v>
      </c>
      <c r="C512" s="10" t="s">
        <v>338</v>
      </c>
      <c r="D512" s="10" t="s">
        <v>141</v>
      </c>
      <c r="E512" s="10" t="s">
        <v>142</v>
      </c>
      <c r="F512" s="10" t="s">
        <v>339</v>
      </c>
      <c r="G512" s="116">
        <v>2420</v>
      </c>
      <c r="H512" s="163" t="s">
        <v>356</v>
      </c>
      <c r="I512" s="158" t="s">
        <v>357</v>
      </c>
      <c r="J512" s="163" t="s">
        <v>358</v>
      </c>
      <c r="K512" s="199" t="s">
        <v>40</v>
      </c>
      <c r="L512" s="200">
        <v>0</v>
      </c>
      <c r="M512" s="212">
        <f t="shared" si="29"/>
        <v>0</v>
      </c>
      <c r="N512" s="200">
        <v>10</v>
      </c>
      <c r="O512" s="17">
        <v>1</v>
      </c>
      <c r="P512" s="116">
        <v>11900</v>
      </c>
      <c r="Q512" s="10" t="s">
        <v>31</v>
      </c>
      <c r="R512" s="4" t="s">
        <v>1286</v>
      </c>
      <c r="S512" s="4" t="s">
        <v>507</v>
      </c>
      <c r="T512" s="4" t="s">
        <v>19</v>
      </c>
      <c r="U512" s="4" t="str">
        <f t="shared" si="32"/>
        <v>NOT AN ADD-ON</v>
      </c>
      <c r="V512" s="4" t="str">
        <f t="shared" si="28"/>
        <v>SCHEDULER PLUSADD-ONAUTHORIZEDNOT AN ADD-ON</v>
      </c>
    </row>
    <row r="513" spans="1:22" ht="15" hidden="1" thickBot="1">
      <c r="A513" s="10" t="s">
        <v>21</v>
      </c>
      <c r="B513" s="10" t="s">
        <v>22</v>
      </c>
      <c r="C513" s="10" t="s">
        <v>338</v>
      </c>
      <c r="D513" s="10" t="s">
        <v>141</v>
      </c>
      <c r="E513" s="10" t="s">
        <v>142</v>
      </c>
      <c r="F513" s="10" t="s">
        <v>339</v>
      </c>
      <c r="G513" s="116">
        <v>804</v>
      </c>
      <c r="H513" s="163" t="s">
        <v>346</v>
      </c>
      <c r="I513" s="158" t="s">
        <v>347</v>
      </c>
      <c r="J513" s="163" t="s">
        <v>348</v>
      </c>
      <c r="K513" s="199" t="s">
        <v>30</v>
      </c>
      <c r="L513" s="200">
        <v>0</v>
      </c>
      <c r="M513" s="212">
        <f t="shared" si="29"/>
        <v>0</v>
      </c>
      <c r="N513" s="200">
        <v>10</v>
      </c>
      <c r="O513" s="17">
        <v>3.3333333333333335</v>
      </c>
      <c r="P513" s="116">
        <v>4020</v>
      </c>
      <c r="Q513" s="10" t="s">
        <v>31</v>
      </c>
      <c r="R513" s="4" t="s">
        <v>1286</v>
      </c>
      <c r="S513" s="4" t="s">
        <v>507</v>
      </c>
      <c r="T513" s="4" t="s">
        <v>19</v>
      </c>
      <c r="U513" s="4" t="str">
        <f t="shared" si="32"/>
        <v>NOT AN ADD-ON</v>
      </c>
      <c r="V513" s="4" t="str">
        <f t="shared" si="28"/>
        <v>SCHEDULER PLUSADD-ONAUTHORIZEDNOT AN ADD-ON</v>
      </c>
    </row>
    <row r="514" spans="1:22" ht="15" hidden="1" thickBot="1">
      <c r="A514" s="10" t="s">
        <v>21</v>
      </c>
      <c r="B514" s="10" t="s">
        <v>22</v>
      </c>
      <c r="C514" s="10" t="s">
        <v>338</v>
      </c>
      <c r="D514" s="10" t="s">
        <v>141</v>
      </c>
      <c r="E514" s="10" t="s">
        <v>142</v>
      </c>
      <c r="F514" s="10" t="s">
        <v>339</v>
      </c>
      <c r="G514" s="116">
        <v>2420</v>
      </c>
      <c r="H514" s="163" t="s">
        <v>362</v>
      </c>
      <c r="I514" s="158" t="s">
        <v>363</v>
      </c>
      <c r="J514" s="163" t="s">
        <v>364</v>
      </c>
      <c r="K514" s="199" t="s">
        <v>40</v>
      </c>
      <c r="L514" s="200">
        <v>0</v>
      </c>
      <c r="M514" s="212">
        <f t="shared" si="29"/>
        <v>0</v>
      </c>
      <c r="N514" s="200">
        <v>10</v>
      </c>
      <c r="O514" s="17">
        <v>1</v>
      </c>
      <c r="P514" s="116">
        <v>11900</v>
      </c>
      <c r="Q514" s="10" t="s">
        <v>31</v>
      </c>
      <c r="R514" s="4" t="s">
        <v>1286</v>
      </c>
      <c r="S514" s="4" t="s">
        <v>507</v>
      </c>
      <c r="T514" s="4" t="s">
        <v>19</v>
      </c>
      <c r="U514" s="4" t="str">
        <f t="shared" si="32"/>
        <v>NOT AN ADD-ON</v>
      </c>
      <c r="V514" s="4" t="str">
        <f t="shared" si="28"/>
        <v>SCHEDULER PLUSADD-ONAUTHORIZEDNOT AN ADD-ON</v>
      </c>
    </row>
    <row r="515" spans="1:22" ht="15" hidden="1" thickBot="1">
      <c r="A515" s="10" t="s">
        <v>21</v>
      </c>
      <c r="B515" s="10" t="s">
        <v>22</v>
      </c>
      <c r="C515" s="10" t="s">
        <v>338</v>
      </c>
      <c r="D515" s="10" t="s">
        <v>141</v>
      </c>
      <c r="E515" s="10" t="s">
        <v>142</v>
      </c>
      <c r="F515" s="10" t="s">
        <v>339</v>
      </c>
      <c r="G515" s="116">
        <v>165</v>
      </c>
      <c r="H515" s="163" t="s">
        <v>962</v>
      </c>
      <c r="I515" s="158" t="s">
        <v>963</v>
      </c>
      <c r="J515" s="163" t="s">
        <v>964</v>
      </c>
      <c r="K515" s="199" t="s">
        <v>30</v>
      </c>
      <c r="L515" s="200">
        <v>0</v>
      </c>
      <c r="M515" s="212">
        <f t="shared" si="29"/>
        <v>0</v>
      </c>
      <c r="N515" s="200">
        <v>10</v>
      </c>
      <c r="O515" s="17">
        <v>3.3333333333333335</v>
      </c>
      <c r="P515" s="116">
        <v>820</v>
      </c>
      <c r="Q515" s="10" t="s">
        <v>31</v>
      </c>
      <c r="R515" s="4" t="s">
        <v>1287</v>
      </c>
      <c r="S515" s="4" t="s">
        <v>507</v>
      </c>
      <c r="T515" s="4" t="s">
        <v>19</v>
      </c>
      <c r="U515" s="4" t="str">
        <f t="shared" si="32"/>
        <v>NOT AN ADD-ON</v>
      </c>
      <c r="V515" s="4" t="str">
        <f t="shared" ref="V515:V521" si="33">CONCATENATE(R515,S515,T515,U515)</f>
        <v>GRAPHICAL APPOINTMENT BOOKADD-ONAUTHORIZEDNOT AN ADD-ON</v>
      </c>
    </row>
    <row r="516" spans="1:22" ht="15" hidden="1" thickBot="1">
      <c r="A516" s="10" t="s">
        <v>21</v>
      </c>
      <c r="B516" s="10" t="s">
        <v>22</v>
      </c>
      <c r="C516" s="10" t="s">
        <v>338</v>
      </c>
      <c r="D516" s="10" t="s">
        <v>141</v>
      </c>
      <c r="E516" s="10" t="s">
        <v>142</v>
      </c>
      <c r="F516" s="10" t="s">
        <v>339</v>
      </c>
      <c r="G516" s="116">
        <v>492</v>
      </c>
      <c r="H516" s="163" t="s">
        <v>974</v>
      </c>
      <c r="I516" s="158" t="s">
        <v>975</v>
      </c>
      <c r="J516" s="163" t="s">
        <v>976</v>
      </c>
      <c r="K516" s="199" t="s">
        <v>40</v>
      </c>
      <c r="L516" s="200">
        <v>0</v>
      </c>
      <c r="M516" s="212">
        <f t="shared" si="29"/>
        <v>0</v>
      </c>
      <c r="N516" s="200">
        <v>10</v>
      </c>
      <c r="O516" s="17">
        <v>1</v>
      </c>
      <c r="P516" s="116">
        <v>2460</v>
      </c>
      <c r="Q516" s="10" t="s">
        <v>31</v>
      </c>
      <c r="R516" s="4" t="s">
        <v>1287</v>
      </c>
      <c r="S516" s="4" t="s">
        <v>507</v>
      </c>
      <c r="T516" s="4" t="s">
        <v>19</v>
      </c>
      <c r="U516" s="4" t="str">
        <f t="shared" si="32"/>
        <v>NOT AN ADD-ON</v>
      </c>
      <c r="V516" s="4" t="str">
        <f t="shared" si="33"/>
        <v>GRAPHICAL APPOINTMENT BOOKADD-ONAUTHORIZEDNOT AN ADD-ON</v>
      </c>
    </row>
    <row r="517" spans="1:22" ht="27" hidden="1" thickBot="1">
      <c r="A517" s="10" t="s">
        <v>21</v>
      </c>
      <c r="B517" s="10" t="s">
        <v>22</v>
      </c>
      <c r="C517" s="10" t="s">
        <v>338</v>
      </c>
      <c r="D517" s="10" t="s">
        <v>141</v>
      </c>
      <c r="E517" s="10" t="s">
        <v>142</v>
      </c>
      <c r="F517" s="10" t="s">
        <v>339</v>
      </c>
      <c r="G517" s="116">
        <v>165</v>
      </c>
      <c r="H517" s="163" t="s">
        <v>968</v>
      </c>
      <c r="I517" s="166" t="s">
        <v>969</v>
      </c>
      <c r="J517" s="163" t="s">
        <v>970</v>
      </c>
      <c r="K517" s="199" t="s">
        <v>30</v>
      </c>
      <c r="L517" s="200">
        <v>0</v>
      </c>
      <c r="M517" s="212">
        <f t="shared" si="29"/>
        <v>0</v>
      </c>
      <c r="N517" s="200">
        <v>10</v>
      </c>
      <c r="O517" s="17">
        <v>3.3333333333333335</v>
      </c>
      <c r="P517" s="116">
        <v>820</v>
      </c>
      <c r="Q517" s="10" t="s">
        <v>31</v>
      </c>
      <c r="R517" s="4" t="s">
        <v>1287</v>
      </c>
      <c r="S517" s="4" t="s">
        <v>507</v>
      </c>
      <c r="T517" s="4" t="s">
        <v>19</v>
      </c>
      <c r="U517" s="4" t="str">
        <f t="shared" si="32"/>
        <v>NOT AN ADD-ON</v>
      </c>
      <c r="V517" s="4" t="str">
        <f t="shared" si="33"/>
        <v>GRAPHICAL APPOINTMENT BOOKADD-ONAUTHORIZEDNOT AN ADD-ON</v>
      </c>
    </row>
    <row r="518" spans="1:22" ht="27" hidden="1" thickBot="1">
      <c r="A518" s="10" t="s">
        <v>21</v>
      </c>
      <c r="B518" s="10" t="s">
        <v>22</v>
      </c>
      <c r="C518" s="10" t="s">
        <v>338</v>
      </c>
      <c r="D518" s="10" t="s">
        <v>141</v>
      </c>
      <c r="E518" s="10" t="s">
        <v>142</v>
      </c>
      <c r="F518" s="10" t="s">
        <v>339</v>
      </c>
      <c r="G518" s="116">
        <v>492</v>
      </c>
      <c r="H518" s="163" t="s">
        <v>980</v>
      </c>
      <c r="I518" s="166" t="s">
        <v>981</v>
      </c>
      <c r="J518" s="163" t="s">
        <v>982</v>
      </c>
      <c r="K518" s="199" t="s">
        <v>40</v>
      </c>
      <c r="L518" s="200">
        <v>0</v>
      </c>
      <c r="M518" s="212">
        <f t="shared" si="29"/>
        <v>0</v>
      </c>
      <c r="N518" s="215">
        <v>10</v>
      </c>
      <c r="O518" s="214">
        <v>1</v>
      </c>
      <c r="P518" s="116">
        <v>2460</v>
      </c>
      <c r="Q518" s="10" t="s">
        <v>31</v>
      </c>
      <c r="R518" s="4" t="s">
        <v>1287</v>
      </c>
      <c r="S518" s="4" t="s">
        <v>507</v>
      </c>
      <c r="T518" s="4" t="s">
        <v>19</v>
      </c>
      <c r="U518" s="4" t="str">
        <f t="shared" si="32"/>
        <v>NOT AN ADD-ON</v>
      </c>
      <c r="V518" s="4" t="str">
        <f t="shared" si="33"/>
        <v>GRAPHICAL APPOINTMENT BOOKADD-ONAUTHORIZEDNOT AN ADD-ON</v>
      </c>
    </row>
    <row r="519" spans="1:22" ht="15" hidden="1" thickBot="1">
      <c r="A519" s="10" t="s">
        <v>1089</v>
      </c>
      <c r="B519" s="10" t="s">
        <v>1090</v>
      </c>
      <c r="C519" s="10" t="s">
        <v>1091</v>
      </c>
      <c r="D519" s="10" t="s">
        <v>1092</v>
      </c>
      <c r="E519" s="10" t="s">
        <v>1093</v>
      </c>
      <c r="F519" s="10" t="s">
        <v>1094</v>
      </c>
      <c r="G519" s="116">
        <v>7210</v>
      </c>
      <c r="H519" s="163" t="s">
        <v>1114</v>
      </c>
      <c r="I519" s="158" t="s">
        <v>1115</v>
      </c>
      <c r="J519" s="163" t="s">
        <v>1116</v>
      </c>
      <c r="K519" s="199" t="s">
        <v>40</v>
      </c>
      <c r="L519" s="213">
        <v>15</v>
      </c>
      <c r="M519" s="212">
        <v>15</v>
      </c>
      <c r="N519" s="213">
        <v>15</v>
      </c>
      <c r="O519" s="17">
        <v>1</v>
      </c>
      <c r="P519" s="116">
        <v>36100</v>
      </c>
      <c r="Q519" s="10" t="s">
        <v>31</v>
      </c>
      <c r="R519" s="4" t="s">
        <v>1385</v>
      </c>
      <c r="S519" s="4" t="s">
        <v>1385</v>
      </c>
      <c r="T519" s="4" t="s">
        <v>19</v>
      </c>
      <c r="U519" s="4" t="str">
        <f t="shared" si="32"/>
        <v>NOT AN ADD-ON</v>
      </c>
      <c r="V519" s="4" t="str">
        <f t="shared" si="33"/>
        <v>APM FOR E&amp;UAPM FOR E&amp;UAUTHORIZEDNOT AN ADD-ON</v>
      </c>
    </row>
    <row r="520" spans="1:22" ht="15" hidden="1" customHeight="1" thickBot="1">
      <c r="A520" s="10" t="s">
        <v>1488</v>
      </c>
      <c r="B520" s="10" t="s">
        <v>1488</v>
      </c>
      <c r="C520" s="10" t="s">
        <v>1489</v>
      </c>
      <c r="D520" s="10"/>
      <c r="E520" s="10" t="s">
        <v>1487</v>
      </c>
      <c r="F520" s="10" t="s">
        <v>1486</v>
      </c>
      <c r="G520" s="116"/>
      <c r="H520" s="211" t="s">
        <v>1193</v>
      </c>
      <c r="I520" s="210" t="s">
        <v>1194</v>
      </c>
      <c r="J520" s="211" t="s">
        <v>1193</v>
      </c>
      <c r="K520" s="199" t="s">
        <v>1437</v>
      </c>
      <c r="L520" s="213">
        <v>5</v>
      </c>
      <c r="M520" s="212">
        <v>5</v>
      </c>
      <c r="N520" s="202">
        <v>5</v>
      </c>
      <c r="O520" s="17">
        <v>1</v>
      </c>
      <c r="P520" s="116"/>
      <c r="Q520" s="209" t="s">
        <v>31</v>
      </c>
      <c r="R520" s="4" t="s">
        <v>1489</v>
      </c>
      <c r="S520" s="4" t="s">
        <v>1489</v>
      </c>
      <c r="T520" s="4" t="s">
        <v>1437</v>
      </c>
      <c r="U520" s="4" t="str">
        <f t="shared" si="32"/>
        <v>NOT AN ADD-ON</v>
      </c>
      <c r="V520" s="4" t="str">
        <f t="shared" si="33"/>
        <v>EMAEMAVPCNOT AN ADD-ON</v>
      </c>
    </row>
    <row r="521" spans="1:22" ht="15" hidden="1" customHeight="1" thickBot="1">
      <c r="A521" s="10" t="s">
        <v>1488</v>
      </c>
      <c r="B521" s="10" t="s">
        <v>1488</v>
      </c>
      <c r="C521" s="10" t="s">
        <v>1489</v>
      </c>
      <c r="D521" s="10"/>
      <c r="E521" s="10" t="s">
        <v>1487</v>
      </c>
      <c r="F521" s="10" t="s">
        <v>1486</v>
      </c>
      <c r="G521" s="116"/>
      <c r="H521" s="211" t="s">
        <v>1212</v>
      </c>
      <c r="I521" s="210" t="s">
        <v>1213</v>
      </c>
      <c r="J521" s="211" t="s">
        <v>1212</v>
      </c>
      <c r="K521" s="199" t="s">
        <v>1490</v>
      </c>
      <c r="L521" s="213">
        <v>150</v>
      </c>
      <c r="M521" s="212">
        <v>1</v>
      </c>
      <c r="N521" s="202">
        <v>150</v>
      </c>
      <c r="O521" s="17">
        <v>1</v>
      </c>
      <c r="P521" s="116"/>
      <c r="Q521" s="209" t="s">
        <v>31</v>
      </c>
      <c r="R521" s="4" t="s">
        <v>1489</v>
      </c>
      <c r="S521" s="4" t="s">
        <v>1489</v>
      </c>
      <c r="T521" s="4" t="s">
        <v>1490</v>
      </c>
      <c r="U521" s="4" t="str">
        <f t="shared" si="32"/>
        <v>NOT AN ADD-ON</v>
      </c>
      <c r="V521" s="4" t="str">
        <f t="shared" si="33"/>
        <v>EMAEMARVUNOT AN ADD-ON</v>
      </c>
    </row>
    <row r="522" spans="1:22" ht="14" hidden="1" thickBot="1">
      <c r="A522" s="10" t="s">
        <v>21</v>
      </c>
      <c r="B522" s="10" t="s">
        <v>22</v>
      </c>
      <c r="C522" s="10" t="s">
        <v>204</v>
      </c>
      <c r="D522" s="10" t="s">
        <v>141</v>
      </c>
      <c r="E522" s="10" t="s">
        <v>142</v>
      </c>
      <c r="F522" s="10" t="s">
        <v>143</v>
      </c>
      <c r="G522" s="116">
        <v>1070</v>
      </c>
      <c r="H522" s="158" t="s">
        <v>1549</v>
      </c>
      <c r="I522" s="158" t="s">
        <v>1550</v>
      </c>
      <c r="J522" s="259" t="s">
        <v>1549</v>
      </c>
      <c r="K522" s="10" t="s">
        <v>1079</v>
      </c>
      <c r="L522" s="10">
        <v>0</v>
      </c>
      <c r="M522" s="10">
        <v>1</v>
      </c>
      <c r="N522" s="10">
        <v>0</v>
      </c>
      <c r="O522" s="12">
        <v>0</v>
      </c>
      <c r="P522" s="116">
        <v>1070</v>
      </c>
      <c r="Q522" s="10" t="s">
        <v>1551</v>
      </c>
      <c r="R522" s="4" t="s">
        <v>208</v>
      </c>
      <c r="S522" s="4" t="s">
        <v>507</v>
      </c>
      <c r="T522" s="4" t="s">
        <v>1079</v>
      </c>
      <c r="U522" s="4" t="str">
        <f t="shared" si="32"/>
        <v>NOT AN ADD-ON</v>
      </c>
    </row>
    <row r="523" spans="1:22" ht="14" hidden="1" thickBot="1">
      <c r="A523" s="10" t="s">
        <v>21</v>
      </c>
      <c r="B523" s="10" t="s">
        <v>22</v>
      </c>
      <c r="C523" s="10" t="s">
        <v>1559</v>
      </c>
      <c r="D523" s="10" t="s">
        <v>141</v>
      </c>
      <c r="E523" s="10" t="s">
        <v>142</v>
      </c>
      <c r="F523" s="10" t="s">
        <v>143</v>
      </c>
      <c r="G523" s="116">
        <v>0</v>
      </c>
      <c r="H523" s="259" t="s">
        <v>1560</v>
      </c>
      <c r="I523" s="259" t="s">
        <v>1561</v>
      </c>
      <c r="J523" s="259" t="s">
        <v>1560</v>
      </c>
      <c r="K523" s="10" t="s">
        <v>1079</v>
      </c>
      <c r="L523" s="10">
        <v>220</v>
      </c>
      <c r="M523" s="10">
        <v>1</v>
      </c>
      <c r="N523" s="10">
        <v>220</v>
      </c>
      <c r="O523" s="12">
        <v>1</v>
      </c>
      <c r="P523" s="116">
        <v>0</v>
      </c>
      <c r="Q523" s="10" t="s">
        <v>1562</v>
      </c>
      <c r="R523" s="4" t="s">
        <v>1575</v>
      </c>
      <c r="S523" s="4" t="s">
        <v>1285</v>
      </c>
      <c r="T523" s="4" t="s">
        <v>1079</v>
      </c>
      <c r="U523" s="4" t="str">
        <f t="shared" si="32"/>
        <v>NOT AN ADD-ON</v>
      </c>
    </row>
    <row r="524" spans="1:22" ht="14" hidden="1" thickBot="1">
      <c r="A524" s="10" t="s">
        <v>21</v>
      </c>
      <c r="B524" s="10" t="s">
        <v>22</v>
      </c>
      <c r="C524" s="10" t="s">
        <v>1559</v>
      </c>
      <c r="D524" s="10" t="s">
        <v>141</v>
      </c>
      <c r="E524" s="10" t="s">
        <v>142</v>
      </c>
      <c r="F524" s="10" t="s">
        <v>143</v>
      </c>
      <c r="G524" s="116">
        <v>0</v>
      </c>
      <c r="H524" s="259" t="s">
        <v>1563</v>
      </c>
      <c r="I524" s="259" t="s">
        <v>1564</v>
      </c>
      <c r="J524" s="259" t="s">
        <v>1563</v>
      </c>
      <c r="K524" s="10" t="s">
        <v>1079</v>
      </c>
      <c r="L524" s="10">
        <v>220</v>
      </c>
      <c r="M524" s="10">
        <v>1</v>
      </c>
      <c r="N524" s="10">
        <v>220</v>
      </c>
      <c r="O524" s="12">
        <v>1</v>
      </c>
      <c r="P524" s="116">
        <v>0</v>
      </c>
      <c r="Q524" s="10" t="s">
        <v>1551</v>
      </c>
      <c r="R524" s="4" t="s">
        <v>1575</v>
      </c>
      <c r="S524" s="4" t="s">
        <v>1285</v>
      </c>
      <c r="T524" s="4" t="s">
        <v>1079</v>
      </c>
      <c r="U524" s="4" t="str">
        <f t="shared" si="32"/>
        <v>NOT AN ADD-ON</v>
      </c>
    </row>
    <row r="525" spans="1:22" ht="14" hidden="1" thickBot="1">
      <c r="A525" s="10" t="s">
        <v>21</v>
      </c>
      <c r="B525" s="10" t="s">
        <v>22</v>
      </c>
      <c r="C525" s="10" t="s">
        <v>1565</v>
      </c>
      <c r="D525" s="10" t="s">
        <v>449</v>
      </c>
      <c r="E525" s="10" t="s">
        <v>142</v>
      </c>
      <c r="F525" s="10" t="s">
        <v>143</v>
      </c>
      <c r="G525" s="116">
        <v>0</v>
      </c>
      <c r="H525" s="260" t="s">
        <v>1566</v>
      </c>
      <c r="I525" s="260" t="s">
        <v>1567</v>
      </c>
      <c r="J525" s="260" t="s">
        <v>1566</v>
      </c>
      <c r="K525" s="10" t="s">
        <v>1079</v>
      </c>
      <c r="L525" s="10">
        <v>220</v>
      </c>
      <c r="M525" s="10">
        <v>1</v>
      </c>
      <c r="N525" s="10">
        <v>220</v>
      </c>
      <c r="O525" s="12">
        <v>1</v>
      </c>
      <c r="P525" s="116">
        <v>0</v>
      </c>
      <c r="Q525" s="10" t="s">
        <v>1562</v>
      </c>
      <c r="R525" s="4" t="s">
        <v>1575</v>
      </c>
      <c r="S525" s="4" t="s">
        <v>1285</v>
      </c>
      <c r="T525" s="4" t="s">
        <v>1079</v>
      </c>
      <c r="U525" s="4" t="str">
        <f t="shared" si="32"/>
        <v>NOT AN ADD-ON</v>
      </c>
    </row>
    <row r="526" spans="1:22" ht="14" hidden="1" thickBot="1">
      <c r="A526" s="10" t="s">
        <v>21</v>
      </c>
      <c r="B526" s="10" t="s">
        <v>22</v>
      </c>
      <c r="C526" s="10" t="s">
        <v>1565</v>
      </c>
      <c r="D526" s="10" t="s">
        <v>449</v>
      </c>
      <c r="E526" s="10" t="s">
        <v>142</v>
      </c>
      <c r="F526" s="10" t="s">
        <v>143</v>
      </c>
      <c r="G526" s="116">
        <v>0</v>
      </c>
      <c r="H526" s="260" t="s">
        <v>1568</v>
      </c>
      <c r="I526" s="260" t="s">
        <v>1569</v>
      </c>
      <c r="J526" s="260" t="s">
        <v>1568</v>
      </c>
      <c r="K526" s="10" t="s">
        <v>1079</v>
      </c>
      <c r="L526" s="10">
        <v>220</v>
      </c>
      <c r="M526" s="10">
        <v>1</v>
      </c>
      <c r="N526" s="10">
        <v>220</v>
      </c>
      <c r="O526" s="12">
        <v>1</v>
      </c>
      <c r="P526" s="116">
        <v>0</v>
      </c>
      <c r="Q526" s="10" t="s">
        <v>1551</v>
      </c>
      <c r="R526" s="4" t="s">
        <v>1575</v>
      </c>
      <c r="S526" s="4" t="s">
        <v>1285</v>
      </c>
      <c r="T526" s="4" t="s">
        <v>1079</v>
      </c>
      <c r="U526" s="4" t="str">
        <f t="shared" si="32"/>
        <v>NOT AN ADD-ON</v>
      </c>
    </row>
    <row r="527" spans="1:22" ht="14" hidden="1" thickBot="1">
      <c r="A527" s="10" t="s">
        <v>1488</v>
      </c>
      <c r="B527" s="10" t="s">
        <v>1488</v>
      </c>
      <c r="C527" s="10" t="s">
        <v>1091</v>
      </c>
      <c r="D527" s="10" t="s">
        <v>1092</v>
      </c>
      <c r="E527" s="10" t="s">
        <v>1093</v>
      </c>
      <c r="F527" s="10" t="s">
        <v>1385</v>
      </c>
      <c r="G527" s="116">
        <v>0</v>
      </c>
      <c r="H527" s="260" t="s">
        <v>1571</v>
      </c>
      <c r="I527" s="260" t="s">
        <v>1572</v>
      </c>
      <c r="J527" s="260" t="s">
        <v>1571</v>
      </c>
      <c r="K527" s="10" t="s">
        <v>1079</v>
      </c>
      <c r="L527" s="10">
        <v>60</v>
      </c>
      <c r="M527" s="10">
        <v>1</v>
      </c>
      <c r="N527" s="10">
        <v>60</v>
      </c>
      <c r="O527" s="12">
        <v>1</v>
      </c>
      <c r="P527" s="116">
        <v>0</v>
      </c>
      <c r="Q527" s="10" t="s">
        <v>1562</v>
      </c>
      <c r="R527" s="4" t="s">
        <v>1575</v>
      </c>
      <c r="S527" s="4" t="s">
        <v>1385</v>
      </c>
      <c r="T527" s="4" t="s">
        <v>1079</v>
      </c>
      <c r="U527" s="4" t="str">
        <f t="shared" si="32"/>
        <v>NOT AN ADD-ON</v>
      </c>
    </row>
    <row r="528" spans="1:22" ht="14" hidden="1" thickBot="1">
      <c r="A528" s="10" t="s">
        <v>1488</v>
      </c>
      <c r="B528" s="10" t="s">
        <v>1488</v>
      </c>
      <c r="C528" s="10" t="s">
        <v>1091</v>
      </c>
      <c r="D528" s="10" t="s">
        <v>1092</v>
      </c>
      <c r="E528" s="10" t="s">
        <v>1093</v>
      </c>
      <c r="F528" s="10" t="s">
        <v>1570</v>
      </c>
      <c r="G528" s="116">
        <v>0</v>
      </c>
      <c r="H528" s="260" t="s">
        <v>1573</v>
      </c>
      <c r="I528" s="260" t="s">
        <v>1574</v>
      </c>
      <c r="J528" s="260" t="s">
        <v>1573</v>
      </c>
      <c r="K528" s="10" t="s">
        <v>1079</v>
      </c>
      <c r="L528" s="10">
        <v>60</v>
      </c>
      <c r="M528" s="10">
        <v>1</v>
      </c>
      <c r="N528" s="10">
        <v>60</v>
      </c>
      <c r="O528" s="12">
        <v>1</v>
      </c>
      <c r="P528" s="116">
        <v>0</v>
      </c>
      <c r="Q528" s="10" t="s">
        <v>1551</v>
      </c>
      <c r="R528" s="4" t="s">
        <v>1575</v>
      </c>
      <c r="S528" s="4" t="s">
        <v>1570</v>
      </c>
      <c r="T528" s="4" t="s">
        <v>1079</v>
      </c>
      <c r="U528" s="4" t="str">
        <f t="shared" si="32"/>
        <v>NOT AN ADD-ON</v>
      </c>
    </row>
    <row r="529" spans="1:17" ht="15" thickBot="1">
      <c r="A529" s="10"/>
      <c r="B529" s="10"/>
      <c r="C529" s="10"/>
      <c r="D529" s="10"/>
      <c r="E529" s="10"/>
      <c r="F529" s="10"/>
      <c r="G529" s="116"/>
      <c r="H529" s="163"/>
      <c r="I529" s="158"/>
      <c r="J529" s="163"/>
      <c r="K529" s="10"/>
      <c r="L529" s="10"/>
      <c r="M529" s="10"/>
      <c r="N529" s="10"/>
      <c r="O529" s="12"/>
      <c r="P529" s="116"/>
      <c r="Q529" s="10"/>
    </row>
    <row r="530" spans="1:17" ht="15" thickBot="1">
      <c r="A530" s="10"/>
      <c r="B530" s="10"/>
      <c r="C530" s="10"/>
      <c r="D530" s="10"/>
      <c r="E530" s="10"/>
      <c r="F530" s="10"/>
      <c r="G530" s="116"/>
      <c r="H530" s="163"/>
      <c r="I530" s="158"/>
      <c r="J530" s="163"/>
      <c r="K530" s="10"/>
      <c r="L530" s="10"/>
      <c r="M530" s="10"/>
      <c r="N530" s="10"/>
      <c r="O530" s="12"/>
      <c r="P530" s="116"/>
      <c r="Q530" s="10"/>
    </row>
    <row r="531" spans="1:17" ht="15" thickBot="1">
      <c r="A531" s="10"/>
      <c r="B531" s="10"/>
      <c r="C531" s="10"/>
      <c r="D531" s="10"/>
      <c r="E531" s="10"/>
      <c r="F531" s="10"/>
      <c r="G531" s="116"/>
      <c r="H531" s="163"/>
      <c r="I531" s="158"/>
      <c r="J531" s="163"/>
      <c r="K531" s="10"/>
      <c r="L531" s="10"/>
      <c r="M531" s="10"/>
      <c r="N531" s="10"/>
      <c r="O531" s="12"/>
      <c r="P531" s="116"/>
      <c r="Q531" s="10"/>
    </row>
    <row r="532" spans="1:17" ht="15" thickBot="1">
      <c r="A532" s="10"/>
      <c r="B532" s="10"/>
      <c r="C532" s="10"/>
      <c r="D532" s="10"/>
      <c r="E532" s="10"/>
      <c r="F532" s="10"/>
      <c r="G532" s="116"/>
      <c r="H532" s="163"/>
      <c r="I532" s="158"/>
      <c r="J532" s="163"/>
      <c r="K532" s="10"/>
      <c r="L532" s="10"/>
      <c r="M532" s="10"/>
      <c r="N532" s="10"/>
      <c r="O532" s="12"/>
      <c r="P532" s="116"/>
      <c r="Q532" s="10"/>
    </row>
    <row r="533" spans="1:17" ht="15" thickBot="1">
      <c r="A533" s="10"/>
      <c r="B533" s="10"/>
      <c r="C533" s="10"/>
      <c r="D533" s="10"/>
      <c r="E533" s="10"/>
      <c r="F533" s="10"/>
      <c r="G533" s="116"/>
      <c r="H533" s="163"/>
      <c r="I533" s="158"/>
      <c r="J533" s="163"/>
      <c r="K533" s="10"/>
      <c r="L533" s="10"/>
      <c r="M533" s="10"/>
      <c r="N533" s="10"/>
      <c r="O533" s="12"/>
      <c r="P533" s="116"/>
      <c r="Q533" s="10"/>
    </row>
    <row r="534" spans="1:17" ht="15" thickBot="1">
      <c r="A534" s="10"/>
      <c r="B534" s="10"/>
      <c r="C534" s="10"/>
      <c r="D534" s="10"/>
      <c r="E534" s="10"/>
      <c r="F534" s="10"/>
      <c r="G534" s="116"/>
      <c r="H534" s="163"/>
      <c r="I534" s="166"/>
      <c r="J534" s="163"/>
      <c r="K534" s="10"/>
      <c r="L534" s="10"/>
      <c r="M534" s="10"/>
      <c r="N534" s="10"/>
      <c r="O534" s="12"/>
      <c r="P534" s="116"/>
      <c r="Q534" s="10"/>
    </row>
    <row r="535" spans="1:17" ht="15" thickBot="1">
      <c r="A535" s="10"/>
      <c r="B535" s="10"/>
      <c r="C535" s="10"/>
      <c r="D535" s="10"/>
      <c r="E535" s="10"/>
      <c r="F535" s="10"/>
      <c r="G535" s="116"/>
      <c r="H535" s="163"/>
      <c r="I535" s="166"/>
      <c r="J535" s="163"/>
      <c r="K535" s="10"/>
      <c r="L535" s="10"/>
      <c r="M535" s="10"/>
      <c r="N535" s="10"/>
      <c r="O535" s="12"/>
      <c r="P535" s="116"/>
      <c r="Q535" s="10"/>
    </row>
    <row r="536" spans="1:17" ht="15" thickBot="1">
      <c r="A536" s="10"/>
      <c r="B536" s="10"/>
      <c r="C536" s="10"/>
      <c r="D536" s="10"/>
      <c r="E536" s="10"/>
      <c r="F536" s="10"/>
      <c r="G536" s="116"/>
      <c r="H536" s="163"/>
      <c r="I536" s="158"/>
      <c r="J536" s="163"/>
      <c r="K536" s="10"/>
      <c r="L536" s="10"/>
      <c r="M536" s="10"/>
      <c r="N536" s="10"/>
      <c r="O536" s="12"/>
      <c r="P536" s="116"/>
      <c r="Q536" s="10"/>
    </row>
    <row r="537" spans="1:17" ht="15" thickBot="1">
      <c r="A537" s="10"/>
      <c r="B537" s="10"/>
      <c r="C537" s="10"/>
      <c r="D537" s="10"/>
      <c r="E537" s="10"/>
      <c r="F537" s="10"/>
      <c r="G537" s="116"/>
      <c r="H537" s="163"/>
      <c r="I537" s="166"/>
      <c r="J537" s="163"/>
      <c r="K537" s="10"/>
      <c r="L537" s="10"/>
      <c r="M537" s="10"/>
      <c r="N537" s="10"/>
      <c r="O537" s="12"/>
      <c r="P537" s="116"/>
      <c r="Q537" s="10"/>
    </row>
    <row r="538" spans="1:17" ht="15" thickBot="1">
      <c r="A538" s="10"/>
      <c r="B538" s="10"/>
      <c r="C538" s="10"/>
      <c r="D538" s="10"/>
      <c r="E538" s="10"/>
      <c r="F538" s="10"/>
      <c r="G538" s="116"/>
      <c r="H538" s="163"/>
      <c r="I538" s="166"/>
      <c r="J538" s="163"/>
      <c r="K538" s="10"/>
      <c r="L538" s="10"/>
      <c r="M538" s="10"/>
      <c r="N538" s="10"/>
      <c r="O538" s="12"/>
      <c r="P538" s="116"/>
      <c r="Q538" s="10"/>
    </row>
    <row r="539" spans="1:17" ht="29.25" customHeight="1" thickBot="1">
      <c r="A539" s="10"/>
      <c r="B539" s="10"/>
      <c r="C539" s="10"/>
      <c r="D539" s="10"/>
      <c r="E539" s="10"/>
      <c r="F539" s="10"/>
      <c r="G539" s="116"/>
      <c r="H539" s="163"/>
      <c r="I539" s="158"/>
      <c r="J539" s="163"/>
      <c r="K539" s="10"/>
      <c r="L539" s="10"/>
      <c r="M539" s="10"/>
      <c r="N539" s="10"/>
      <c r="O539" s="12"/>
      <c r="P539" s="116"/>
      <c r="Q539" s="10"/>
    </row>
    <row r="540" spans="1:17" ht="15" thickBot="1">
      <c r="A540" s="10"/>
      <c r="B540" s="10"/>
      <c r="C540" s="10"/>
      <c r="D540" s="10"/>
      <c r="E540" s="10"/>
      <c r="F540" s="10"/>
      <c r="G540" s="116"/>
      <c r="H540" s="163"/>
      <c r="I540" s="158"/>
      <c r="J540" s="163"/>
      <c r="K540" s="10"/>
      <c r="L540" s="10"/>
      <c r="M540" s="10"/>
      <c r="N540" s="10"/>
      <c r="O540" s="12"/>
      <c r="P540" s="116"/>
      <c r="Q540" s="10"/>
    </row>
    <row r="541" spans="1:17" ht="15" thickBot="1">
      <c r="A541" s="10"/>
      <c r="B541" s="10"/>
      <c r="C541" s="10"/>
      <c r="D541" s="10"/>
      <c r="E541" s="10"/>
      <c r="F541" s="10"/>
      <c r="G541" s="116"/>
      <c r="H541" s="163"/>
      <c r="I541" s="158"/>
      <c r="J541" s="163"/>
      <c r="K541" s="10"/>
      <c r="L541" s="10"/>
      <c r="M541" s="10"/>
      <c r="N541" s="10"/>
      <c r="O541" s="12"/>
      <c r="P541" s="116"/>
      <c r="Q541" s="10"/>
    </row>
    <row r="542" spans="1:17" ht="15" thickBot="1">
      <c r="A542" s="10"/>
      <c r="B542" s="10"/>
      <c r="C542" s="10"/>
      <c r="D542" s="10"/>
      <c r="E542" s="10"/>
      <c r="F542" s="10"/>
      <c r="G542" s="116"/>
      <c r="H542" s="163"/>
      <c r="I542" s="166"/>
      <c r="J542" s="163"/>
      <c r="K542" s="10"/>
      <c r="L542" s="10"/>
      <c r="M542" s="10"/>
      <c r="N542" s="10"/>
      <c r="O542" s="12"/>
      <c r="P542" s="116"/>
      <c r="Q542" s="10"/>
    </row>
    <row r="543" spans="1:17" ht="29.25" customHeight="1" thickBot="1">
      <c r="A543" s="10"/>
      <c r="B543" s="10"/>
      <c r="C543" s="10"/>
      <c r="D543" s="10"/>
      <c r="E543" s="10"/>
      <c r="F543" s="10"/>
      <c r="G543" s="116"/>
      <c r="H543" s="163"/>
      <c r="I543" s="166"/>
      <c r="J543" s="163"/>
      <c r="K543" s="10"/>
      <c r="L543" s="10"/>
      <c r="M543" s="10"/>
      <c r="N543" s="10"/>
      <c r="O543" s="12"/>
      <c r="P543" s="116"/>
      <c r="Q543" s="10"/>
    </row>
    <row r="544" spans="1:17" ht="15" thickBot="1">
      <c r="A544" s="10"/>
      <c r="B544" s="10"/>
      <c r="C544" s="10"/>
      <c r="D544" s="10"/>
      <c r="E544" s="10"/>
      <c r="F544" s="10"/>
      <c r="G544" s="116"/>
      <c r="H544" s="163"/>
      <c r="I544" s="158"/>
      <c r="J544" s="163"/>
      <c r="K544" s="10"/>
      <c r="L544" s="10"/>
      <c r="M544" s="10"/>
      <c r="N544" s="10"/>
      <c r="O544" s="12"/>
      <c r="P544" s="116"/>
      <c r="Q544" s="10"/>
    </row>
    <row r="545" spans="1:17" ht="15" thickBot="1">
      <c r="A545" s="10"/>
      <c r="B545" s="10"/>
      <c r="C545" s="10"/>
      <c r="D545" s="10"/>
      <c r="E545" s="10"/>
      <c r="F545" s="10"/>
      <c r="G545" s="116"/>
      <c r="H545" s="163"/>
      <c r="I545" s="158"/>
      <c r="J545" s="163"/>
      <c r="K545" s="10"/>
      <c r="L545" s="10"/>
      <c r="M545" s="10"/>
      <c r="N545" s="10"/>
      <c r="O545" s="12"/>
      <c r="P545" s="116"/>
      <c r="Q545" s="10"/>
    </row>
    <row r="546" spans="1:17" ht="15" thickBot="1">
      <c r="A546" s="10"/>
      <c r="B546" s="10"/>
      <c r="C546" s="10"/>
      <c r="D546" s="10"/>
      <c r="E546" s="10"/>
      <c r="F546" s="10"/>
      <c r="G546" s="116"/>
      <c r="H546" s="163"/>
      <c r="I546" s="166"/>
      <c r="J546" s="163"/>
      <c r="K546" s="10"/>
      <c r="L546" s="10"/>
      <c r="M546" s="10"/>
      <c r="N546" s="10"/>
      <c r="O546" s="12"/>
      <c r="P546" s="116"/>
      <c r="Q546" s="10"/>
    </row>
    <row r="547" spans="1:17" ht="15" thickBot="1">
      <c r="A547" s="10"/>
      <c r="B547" s="10"/>
      <c r="C547" s="10"/>
      <c r="D547" s="10"/>
      <c r="E547" s="10"/>
      <c r="F547" s="10"/>
      <c r="G547" s="116"/>
      <c r="H547" s="163"/>
      <c r="I547" s="166"/>
      <c r="J547" s="163"/>
      <c r="K547" s="10"/>
      <c r="L547" s="10"/>
      <c r="M547" s="10"/>
      <c r="N547" s="10"/>
      <c r="O547" s="12"/>
      <c r="P547" s="116"/>
      <c r="Q547" s="10"/>
    </row>
    <row r="548" spans="1:17" ht="15" thickBot="1">
      <c r="A548" s="10"/>
      <c r="B548" s="10"/>
      <c r="C548" s="10"/>
      <c r="D548" s="10"/>
      <c r="E548" s="10"/>
      <c r="F548" s="10"/>
      <c r="G548" s="116"/>
      <c r="H548" s="163"/>
      <c r="I548" s="166"/>
      <c r="J548" s="163"/>
      <c r="K548" s="10"/>
      <c r="L548" s="10"/>
      <c r="M548" s="10"/>
      <c r="N548" s="10"/>
      <c r="O548" s="12"/>
      <c r="P548" s="116"/>
      <c r="Q548" s="10"/>
    </row>
    <row r="549" spans="1:17" ht="15" thickBot="1">
      <c r="A549" s="10"/>
      <c r="B549" s="10"/>
      <c r="C549" s="10"/>
      <c r="D549" s="10"/>
      <c r="E549" s="10"/>
      <c r="F549" s="10"/>
      <c r="G549" s="116"/>
      <c r="H549" s="163"/>
      <c r="I549" s="166"/>
      <c r="J549" s="163"/>
      <c r="K549" s="10"/>
      <c r="L549" s="10"/>
      <c r="M549" s="10"/>
      <c r="N549" s="10"/>
      <c r="O549" s="12"/>
      <c r="P549" s="116"/>
      <c r="Q549" s="10"/>
    </row>
    <row r="550" spans="1:17" ht="15" thickBot="1">
      <c r="A550" s="10"/>
      <c r="B550" s="10"/>
      <c r="C550" s="10"/>
      <c r="D550" s="10"/>
      <c r="E550" s="10"/>
      <c r="F550" s="10"/>
      <c r="G550" s="116"/>
      <c r="H550" s="163"/>
      <c r="I550" s="166"/>
      <c r="J550" s="163"/>
      <c r="K550" s="10"/>
      <c r="L550" s="10"/>
      <c r="M550" s="10"/>
      <c r="N550" s="10"/>
      <c r="O550" s="12"/>
      <c r="P550" s="116"/>
      <c r="Q550" s="10"/>
    </row>
    <row r="551" spans="1:17" ht="15" thickBot="1">
      <c r="A551" s="10"/>
      <c r="B551" s="10"/>
      <c r="C551" s="10"/>
      <c r="D551" s="10"/>
      <c r="E551" s="10"/>
      <c r="F551" s="10"/>
      <c r="G551" s="116"/>
      <c r="H551" s="163"/>
      <c r="I551" s="166"/>
      <c r="J551" s="163"/>
      <c r="K551" s="10"/>
      <c r="L551" s="10"/>
      <c r="M551" s="10"/>
      <c r="N551" s="10"/>
      <c r="O551" s="12"/>
      <c r="P551" s="116"/>
      <c r="Q551" s="10"/>
    </row>
    <row r="552" spans="1:17" ht="15" thickBot="1">
      <c r="A552" s="10"/>
      <c r="B552" s="10"/>
      <c r="C552" s="10"/>
      <c r="D552" s="10"/>
      <c r="E552" s="10"/>
      <c r="F552" s="10"/>
      <c r="G552" s="116"/>
      <c r="H552" s="163"/>
      <c r="I552" s="166"/>
      <c r="J552" s="163"/>
      <c r="K552" s="10"/>
      <c r="L552" s="10"/>
      <c r="M552" s="10"/>
      <c r="N552" s="10"/>
      <c r="O552" s="12"/>
      <c r="P552" s="116"/>
      <c r="Q552" s="10"/>
    </row>
    <row r="553" spans="1:17" ht="15" thickBot="1">
      <c r="A553" s="10"/>
      <c r="B553" s="10"/>
      <c r="C553" s="10"/>
      <c r="D553" s="10"/>
      <c r="E553" s="10"/>
      <c r="F553" s="10"/>
      <c r="G553" s="116"/>
      <c r="H553" s="163"/>
      <c r="I553" s="166"/>
      <c r="J553" s="163"/>
      <c r="K553" s="10"/>
      <c r="L553" s="10"/>
      <c r="M553" s="10"/>
      <c r="N553" s="10"/>
      <c r="O553" s="12"/>
      <c r="P553" s="116"/>
      <c r="Q553" s="10"/>
    </row>
    <row r="554" spans="1:17" ht="15" thickBot="1">
      <c r="A554" s="10"/>
      <c r="B554" s="10"/>
      <c r="C554" s="10"/>
      <c r="D554" s="10"/>
      <c r="E554" s="10"/>
      <c r="F554" s="10"/>
      <c r="G554" s="116"/>
      <c r="H554" s="163"/>
      <c r="I554" s="166"/>
      <c r="J554" s="163"/>
      <c r="K554" s="10"/>
      <c r="L554" s="10"/>
      <c r="M554" s="10"/>
      <c r="N554" s="10"/>
      <c r="O554" s="12"/>
      <c r="P554" s="116"/>
      <c r="Q554" s="10"/>
    </row>
    <row r="555" spans="1:17" ht="29.25" customHeight="1" thickBot="1">
      <c r="A555" s="10"/>
      <c r="B555" s="10"/>
      <c r="C555" s="10"/>
      <c r="D555" s="10"/>
      <c r="E555" s="10"/>
      <c r="F555" s="10"/>
      <c r="G555" s="116"/>
      <c r="H555" s="163"/>
      <c r="I555" s="158"/>
      <c r="J555" s="163"/>
      <c r="K555" s="10"/>
      <c r="L555" s="10"/>
      <c r="M555" s="10"/>
      <c r="N555" s="10"/>
      <c r="O555" s="12"/>
      <c r="P555" s="116"/>
      <c r="Q555" s="10"/>
    </row>
    <row r="556" spans="1:17" ht="29.25" customHeight="1" thickBot="1">
      <c r="A556" s="10"/>
      <c r="B556" s="10"/>
      <c r="C556" s="10"/>
      <c r="D556" s="10"/>
      <c r="E556" s="10"/>
      <c r="F556" s="10"/>
      <c r="G556" s="116"/>
      <c r="H556" s="163"/>
      <c r="I556" s="158"/>
      <c r="J556" s="163"/>
      <c r="K556" s="10"/>
      <c r="L556" s="10"/>
      <c r="M556" s="10"/>
      <c r="N556" s="10"/>
      <c r="O556" s="12"/>
      <c r="P556" s="116"/>
      <c r="Q556" s="10"/>
    </row>
    <row r="557" spans="1:17" ht="15" thickBot="1">
      <c r="A557" s="10"/>
      <c r="B557" s="10"/>
      <c r="C557" s="10"/>
      <c r="D557" s="10"/>
      <c r="E557" s="10"/>
      <c r="F557" s="10"/>
      <c r="G557" s="116"/>
      <c r="H557" s="163"/>
      <c r="I557" s="158"/>
      <c r="J557" s="163"/>
      <c r="K557" s="10"/>
      <c r="L557" s="10"/>
      <c r="M557" s="10"/>
      <c r="N557" s="10"/>
      <c r="O557" s="12"/>
      <c r="P557" s="116"/>
      <c r="Q557" s="10"/>
    </row>
    <row r="558" spans="1:17" ht="15" thickBot="1">
      <c r="A558" s="10"/>
      <c r="B558" s="10"/>
      <c r="C558" s="10"/>
      <c r="D558" s="10"/>
      <c r="E558" s="10"/>
      <c r="F558" s="10"/>
      <c r="G558" s="116"/>
      <c r="H558" s="163"/>
      <c r="I558" s="166"/>
      <c r="J558" s="163"/>
      <c r="K558" s="10"/>
      <c r="L558" s="10"/>
      <c r="M558" s="10"/>
      <c r="N558" s="10"/>
      <c r="O558" s="12"/>
      <c r="P558" s="116"/>
      <c r="Q558" s="10"/>
    </row>
    <row r="559" spans="1:17" ht="15" thickBot="1">
      <c r="A559" s="10"/>
      <c r="B559" s="10"/>
      <c r="C559" s="10"/>
      <c r="D559" s="10"/>
      <c r="E559" s="10"/>
      <c r="F559" s="10"/>
      <c r="G559" s="116"/>
      <c r="H559" s="163"/>
      <c r="I559" s="158"/>
      <c r="J559" s="163"/>
      <c r="K559" s="10"/>
      <c r="L559" s="10"/>
      <c r="M559" s="10"/>
      <c r="N559" s="10"/>
      <c r="O559" s="12"/>
      <c r="P559" s="116"/>
      <c r="Q559" s="10"/>
    </row>
    <row r="560" spans="1:17" ht="29.25" customHeight="1" thickBot="1">
      <c r="A560" s="10"/>
      <c r="B560" s="10"/>
      <c r="C560" s="10"/>
      <c r="D560" s="10"/>
      <c r="E560" s="10"/>
      <c r="F560" s="10"/>
      <c r="G560" s="116"/>
      <c r="H560" s="163"/>
      <c r="I560" s="158"/>
      <c r="J560" s="163"/>
      <c r="K560" s="10"/>
      <c r="L560" s="10"/>
      <c r="M560" s="10"/>
      <c r="N560" s="10"/>
      <c r="O560" s="12"/>
      <c r="P560" s="116"/>
      <c r="Q560" s="10"/>
    </row>
    <row r="561" spans="1:17" ht="15" thickBot="1">
      <c r="A561" s="10"/>
      <c r="B561" s="10"/>
      <c r="C561" s="10"/>
      <c r="D561" s="10"/>
      <c r="E561" s="10"/>
      <c r="F561" s="10"/>
      <c r="G561" s="116"/>
      <c r="H561" s="163"/>
      <c r="I561" s="166"/>
      <c r="J561" s="163"/>
      <c r="K561" s="10"/>
      <c r="L561" s="10"/>
      <c r="M561" s="10"/>
      <c r="N561" s="10"/>
      <c r="O561" s="12"/>
      <c r="P561" s="116"/>
      <c r="Q561" s="10"/>
    </row>
    <row r="562" spans="1:17" ht="15" thickBot="1">
      <c r="A562" s="10"/>
      <c r="B562" s="10"/>
      <c r="C562" s="10"/>
      <c r="D562" s="10"/>
      <c r="E562" s="10"/>
      <c r="F562" s="10"/>
      <c r="G562" s="116"/>
      <c r="H562" s="163"/>
      <c r="I562" s="158"/>
      <c r="J562" s="163"/>
      <c r="K562" s="10"/>
      <c r="L562" s="10"/>
      <c r="M562" s="10"/>
      <c r="N562" s="10"/>
      <c r="O562" s="12"/>
      <c r="P562" s="116"/>
      <c r="Q562" s="10"/>
    </row>
    <row r="563" spans="1:17" ht="15" thickBot="1">
      <c r="A563" s="10"/>
      <c r="B563" s="10"/>
      <c r="C563" s="10"/>
      <c r="D563" s="10"/>
      <c r="E563" s="10"/>
      <c r="F563" s="10"/>
      <c r="G563" s="116"/>
      <c r="H563" s="163"/>
      <c r="I563" s="166"/>
      <c r="J563" s="163"/>
      <c r="K563" s="10"/>
      <c r="L563" s="10"/>
      <c r="M563" s="10"/>
      <c r="N563" s="10"/>
      <c r="O563" s="12"/>
      <c r="P563" s="116"/>
      <c r="Q563" s="10"/>
    </row>
    <row r="564" spans="1:17" ht="15" thickBot="1">
      <c r="A564" s="10"/>
      <c r="B564" s="10"/>
      <c r="C564" s="10"/>
      <c r="D564" s="10"/>
      <c r="E564" s="10"/>
      <c r="F564" s="10"/>
      <c r="G564" s="116"/>
      <c r="H564" s="163"/>
      <c r="I564" s="166"/>
      <c r="J564" s="163"/>
      <c r="K564" s="10"/>
      <c r="L564" s="10"/>
      <c r="M564" s="10"/>
      <c r="N564" s="10"/>
      <c r="O564" s="12"/>
      <c r="P564" s="116"/>
      <c r="Q564" s="10"/>
    </row>
    <row r="565" spans="1:17" ht="15" thickBot="1">
      <c r="A565" s="10"/>
      <c r="B565" s="10"/>
      <c r="C565" s="10"/>
      <c r="D565" s="10"/>
      <c r="E565" s="10"/>
      <c r="F565" s="10"/>
      <c r="G565" s="116"/>
      <c r="H565" s="163"/>
      <c r="I565" s="166"/>
      <c r="J565" s="163"/>
      <c r="K565" s="10"/>
      <c r="L565" s="10"/>
      <c r="M565" s="10"/>
      <c r="N565" s="10"/>
      <c r="O565" s="12"/>
      <c r="P565" s="116"/>
      <c r="Q565" s="10"/>
    </row>
    <row r="566" spans="1:17" ht="15" thickBot="1">
      <c r="A566" s="10"/>
      <c r="B566" s="10"/>
      <c r="C566" s="10"/>
      <c r="D566" s="10"/>
      <c r="E566" s="10"/>
      <c r="F566" s="10"/>
      <c r="G566" s="116"/>
      <c r="H566" s="163"/>
      <c r="I566" s="166"/>
      <c r="J566" s="163"/>
      <c r="K566" s="10"/>
      <c r="L566" s="10"/>
      <c r="M566" s="10"/>
      <c r="N566" s="10"/>
      <c r="O566" s="12"/>
      <c r="P566" s="116"/>
      <c r="Q566" s="10"/>
    </row>
    <row r="567" spans="1:17" ht="15" thickBot="1">
      <c r="A567" s="10"/>
      <c r="B567" s="10"/>
      <c r="C567" s="10"/>
      <c r="D567" s="10"/>
      <c r="E567" s="10"/>
      <c r="F567" s="10"/>
      <c r="G567" s="116"/>
      <c r="H567" s="163"/>
      <c r="I567" s="158"/>
      <c r="J567" s="163"/>
      <c r="K567" s="10"/>
      <c r="L567" s="10"/>
      <c r="M567" s="10"/>
      <c r="N567" s="10"/>
      <c r="O567" s="12"/>
      <c r="P567" s="116"/>
      <c r="Q567" s="10"/>
    </row>
    <row r="568" spans="1:17" ht="15" thickBot="1">
      <c r="A568" s="10"/>
      <c r="B568" s="10"/>
      <c r="C568" s="10"/>
      <c r="D568" s="10"/>
      <c r="E568" s="10"/>
      <c r="F568" s="10"/>
      <c r="G568" s="116"/>
      <c r="H568" s="163"/>
      <c r="I568" s="158"/>
      <c r="J568" s="163"/>
      <c r="K568" s="10"/>
      <c r="L568" s="10"/>
      <c r="M568" s="10"/>
      <c r="N568" s="10"/>
      <c r="O568" s="12"/>
      <c r="P568" s="116"/>
      <c r="Q568" s="10"/>
    </row>
    <row r="569" spans="1:17" ht="15" thickBot="1">
      <c r="A569" s="10"/>
      <c r="B569" s="10"/>
      <c r="C569" s="10"/>
      <c r="D569" s="10"/>
      <c r="E569" s="10"/>
      <c r="F569" s="10"/>
      <c r="G569" s="116"/>
      <c r="H569" s="163"/>
      <c r="I569" s="158"/>
      <c r="J569" s="163"/>
      <c r="K569" s="10"/>
      <c r="L569" s="10"/>
      <c r="M569" s="10"/>
      <c r="N569" s="10"/>
      <c r="O569" s="12"/>
      <c r="P569" s="116"/>
      <c r="Q569" s="10"/>
    </row>
    <row r="570" spans="1:17" ht="15" thickBot="1">
      <c r="A570" s="10"/>
      <c r="B570" s="10"/>
      <c r="C570" s="10"/>
      <c r="D570" s="10"/>
      <c r="E570" s="10"/>
      <c r="F570" s="10"/>
      <c r="G570" s="116"/>
      <c r="H570" s="163"/>
      <c r="I570" s="158"/>
      <c r="J570" s="163"/>
      <c r="K570" s="10"/>
      <c r="L570" s="10"/>
      <c r="M570" s="10"/>
      <c r="N570" s="10"/>
      <c r="O570" s="12"/>
      <c r="P570" s="116"/>
      <c r="Q570" s="10"/>
    </row>
    <row r="571" spans="1:17" ht="15" thickBot="1">
      <c r="A571" s="10"/>
      <c r="B571" s="10"/>
      <c r="C571" s="10"/>
      <c r="D571" s="10"/>
      <c r="E571" s="10"/>
      <c r="F571" s="10"/>
      <c r="G571" s="116"/>
      <c r="H571" s="163"/>
      <c r="I571" s="158"/>
      <c r="J571" s="163"/>
      <c r="K571" s="10"/>
      <c r="L571" s="10"/>
      <c r="M571" s="10"/>
      <c r="N571" s="10"/>
      <c r="O571" s="12"/>
      <c r="P571" s="116"/>
      <c r="Q571" s="10"/>
    </row>
    <row r="572" spans="1:17" ht="29.25" customHeight="1" thickBot="1">
      <c r="A572" s="10"/>
      <c r="B572" s="10"/>
      <c r="C572" s="10"/>
      <c r="D572" s="10"/>
      <c r="E572" s="10"/>
      <c r="F572" s="10"/>
      <c r="G572" s="116"/>
      <c r="H572" s="163"/>
      <c r="I572" s="166"/>
      <c r="J572" s="163"/>
      <c r="K572" s="10"/>
      <c r="L572" s="10"/>
      <c r="M572" s="10"/>
      <c r="N572" s="10"/>
      <c r="O572" s="12"/>
      <c r="P572" s="116"/>
      <c r="Q572" s="10"/>
    </row>
    <row r="573" spans="1:17" ht="29.25" customHeight="1" thickBot="1">
      <c r="A573" s="10"/>
      <c r="B573" s="10"/>
      <c r="C573" s="10"/>
      <c r="D573" s="10"/>
      <c r="E573" s="10"/>
      <c r="F573" s="10"/>
      <c r="G573" s="116"/>
      <c r="H573" s="163"/>
      <c r="I573" s="166"/>
      <c r="J573" s="163"/>
      <c r="K573" s="10"/>
      <c r="L573" s="10"/>
      <c r="M573" s="10"/>
      <c r="N573" s="10"/>
      <c r="O573" s="12"/>
      <c r="P573" s="116"/>
      <c r="Q573" s="10"/>
    </row>
    <row r="574" spans="1:17" ht="15" thickBot="1">
      <c r="A574" s="10"/>
      <c r="B574" s="10"/>
      <c r="C574" s="10"/>
      <c r="D574" s="10"/>
      <c r="E574" s="10"/>
      <c r="F574" s="10"/>
      <c r="G574" s="116"/>
      <c r="H574" s="163"/>
      <c r="I574" s="158"/>
      <c r="J574" s="163"/>
      <c r="K574" s="10"/>
      <c r="L574" s="10"/>
      <c r="M574" s="10"/>
      <c r="N574" s="10"/>
      <c r="O574" s="12"/>
      <c r="P574" s="116"/>
      <c r="Q574" s="10"/>
    </row>
    <row r="575" spans="1:17" ht="15" thickBot="1">
      <c r="A575" s="10"/>
      <c r="B575" s="10"/>
      <c r="C575" s="10"/>
      <c r="D575" s="10"/>
      <c r="E575" s="10"/>
      <c r="F575" s="10"/>
      <c r="G575" s="116"/>
      <c r="H575" s="163"/>
      <c r="I575" s="158"/>
      <c r="J575" s="163"/>
      <c r="K575" s="10"/>
      <c r="L575" s="10"/>
      <c r="M575" s="10"/>
      <c r="N575" s="10"/>
      <c r="O575" s="12"/>
      <c r="P575" s="116"/>
      <c r="Q575" s="10"/>
    </row>
    <row r="576" spans="1:17" ht="15" thickBot="1">
      <c r="A576" s="10"/>
      <c r="B576" s="10"/>
      <c r="C576" s="10"/>
      <c r="D576" s="10"/>
      <c r="E576" s="10"/>
      <c r="F576" s="10"/>
      <c r="G576" s="116"/>
      <c r="H576" s="163"/>
      <c r="I576" s="158"/>
      <c r="J576" s="163"/>
      <c r="K576" s="10"/>
      <c r="L576" s="10"/>
      <c r="M576" s="10"/>
      <c r="N576" s="10"/>
      <c r="O576" s="12"/>
      <c r="P576" s="116"/>
      <c r="Q576" s="10"/>
    </row>
    <row r="577" spans="1:17" ht="15" thickBot="1">
      <c r="A577" s="10"/>
      <c r="B577" s="10"/>
      <c r="C577" s="10"/>
      <c r="D577" s="10"/>
      <c r="E577" s="10"/>
      <c r="F577" s="10"/>
      <c r="G577" s="116"/>
      <c r="H577" s="163"/>
      <c r="I577" s="166"/>
      <c r="J577" s="163"/>
      <c r="K577" s="10"/>
      <c r="L577" s="10"/>
      <c r="M577" s="10"/>
      <c r="N577" s="10"/>
      <c r="O577" s="12"/>
      <c r="P577" s="116"/>
      <c r="Q577" s="10"/>
    </row>
    <row r="578" spans="1:17" ht="15" thickBot="1">
      <c r="A578" s="10"/>
      <c r="B578" s="10"/>
      <c r="C578" s="10"/>
      <c r="D578" s="10"/>
      <c r="E578" s="10"/>
      <c r="F578" s="10"/>
      <c r="G578" s="116"/>
      <c r="H578" s="163"/>
      <c r="I578" s="158"/>
      <c r="J578" s="163"/>
      <c r="K578" s="10"/>
      <c r="L578" s="10"/>
      <c r="M578" s="10"/>
      <c r="N578" s="10"/>
      <c r="O578" s="12"/>
      <c r="P578" s="116"/>
      <c r="Q578" s="10"/>
    </row>
    <row r="579" spans="1:17" ht="15" thickBot="1">
      <c r="A579" s="10"/>
      <c r="B579" s="10"/>
      <c r="C579" s="10"/>
      <c r="D579" s="10"/>
      <c r="E579" s="10"/>
      <c r="F579" s="10"/>
      <c r="G579" s="116"/>
      <c r="H579" s="163"/>
      <c r="I579" s="158"/>
      <c r="J579" s="163"/>
      <c r="K579" s="10"/>
      <c r="L579" s="10"/>
      <c r="M579" s="10"/>
      <c r="N579" s="10"/>
      <c r="O579" s="12"/>
      <c r="P579" s="116"/>
      <c r="Q579" s="10"/>
    </row>
    <row r="580" spans="1:17" ht="15" thickBot="1">
      <c r="A580" s="10"/>
      <c r="B580" s="10"/>
      <c r="C580" s="10"/>
      <c r="D580" s="10"/>
      <c r="E580" s="10"/>
      <c r="F580" s="10"/>
      <c r="G580" s="116"/>
      <c r="H580" s="163"/>
      <c r="I580" s="158"/>
      <c r="J580" s="163"/>
      <c r="K580" s="10"/>
      <c r="L580" s="10"/>
      <c r="M580" s="10"/>
      <c r="N580" s="10"/>
      <c r="O580" s="12"/>
      <c r="P580" s="116"/>
      <c r="Q580" s="10"/>
    </row>
    <row r="581" spans="1:17" ht="15" thickBot="1">
      <c r="A581" s="10"/>
      <c r="B581" s="10"/>
      <c r="C581" s="10"/>
      <c r="D581" s="10"/>
      <c r="E581" s="10"/>
      <c r="F581" s="10"/>
      <c r="G581" s="116"/>
      <c r="H581" s="163"/>
      <c r="I581" s="166"/>
      <c r="J581" s="163"/>
      <c r="K581" s="10"/>
      <c r="L581" s="10"/>
      <c r="M581" s="10"/>
      <c r="N581" s="10"/>
      <c r="O581" s="12"/>
      <c r="P581" s="116"/>
      <c r="Q581" s="10"/>
    </row>
    <row r="582" spans="1:17" ht="15" thickBot="1">
      <c r="A582" s="10"/>
      <c r="B582" s="10"/>
      <c r="C582" s="10"/>
      <c r="D582" s="10"/>
      <c r="E582" s="10"/>
      <c r="F582" s="10"/>
      <c r="G582" s="116"/>
      <c r="H582" s="163"/>
      <c r="I582" s="158"/>
      <c r="J582" s="163"/>
      <c r="K582" s="10"/>
      <c r="L582" s="10"/>
      <c r="M582" s="10"/>
      <c r="N582" s="10"/>
      <c r="O582" s="12"/>
      <c r="P582" s="116"/>
      <c r="Q582" s="10"/>
    </row>
    <row r="583" spans="1:17" ht="15" thickBot="1">
      <c r="A583" s="10"/>
      <c r="B583" s="10"/>
      <c r="C583" s="10"/>
      <c r="D583" s="10"/>
      <c r="E583" s="10"/>
      <c r="F583" s="10"/>
      <c r="G583" s="116"/>
      <c r="H583" s="163"/>
      <c r="I583" s="158"/>
      <c r="J583" s="163"/>
      <c r="K583" s="10"/>
      <c r="L583" s="10"/>
      <c r="M583" s="10"/>
      <c r="N583" s="10"/>
      <c r="O583" s="12"/>
      <c r="P583" s="116"/>
      <c r="Q583" s="10"/>
    </row>
    <row r="584" spans="1:17" ht="15" thickBot="1">
      <c r="A584" s="10"/>
      <c r="B584" s="10"/>
      <c r="C584" s="10"/>
      <c r="D584" s="10"/>
      <c r="E584" s="10"/>
      <c r="F584" s="10"/>
      <c r="G584" s="116"/>
      <c r="H584" s="163"/>
      <c r="I584" s="158"/>
      <c r="J584" s="163"/>
      <c r="K584" s="10"/>
      <c r="L584" s="10"/>
      <c r="M584" s="10"/>
      <c r="N584" s="10"/>
      <c r="O584" s="12"/>
      <c r="P584" s="116"/>
      <c r="Q584" s="10"/>
    </row>
    <row r="585" spans="1:17" ht="29.25" customHeight="1" thickBot="1">
      <c r="A585" s="10"/>
      <c r="B585" s="10"/>
      <c r="C585" s="10"/>
      <c r="D585" s="10"/>
      <c r="E585" s="10"/>
      <c r="F585" s="10"/>
      <c r="G585" s="116"/>
      <c r="H585" s="163"/>
      <c r="I585" s="166"/>
      <c r="J585" s="163"/>
      <c r="K585" s="10"/>
      <c r="L585" s="10"/>
      <c r="M585" s="10"/>
      <c r="N585" s="10"/>
      <c r="O585" s="12"/>
      <c r="P585" s="116"/>
      <c r="Q585" s="10"/>
    </row>
    <row r="586" spans="1:17" ht="29.25" customHeight="1" thickBot="1">
      <c r="A586" s="10"/>
      <c r="B586" s="10"/>
      <c r="C586" s="10"/>
      <c r="D586" s="10"/>
      <c r="E586" s="10"/>
      <c r="F586" s="10"/>
      <c r="G586" s="116"/>
      <c r="H586" s="163"/>
      <c r="I586" s="158"/>
      <c r="J586" s="163"/>
      <c r="K586" s="10"/>
      <c r="L586" s="10"/>
      <c r="M586" s="10"/>
      <c r="N586" s="10"/>
      <c r="O586" s="12"/>
      <c r="P586" s="116"/>
      <c r="Q586" s="10"/>
    </row>
    <row r="587" spans="1:17" ht="29.25" customHeight="1" thickBot="1">
      <c r="A587" s="10"/>
      <c r="B587" s="10"/>
      <c r="C587" s="10"/>
      <c r="D587" s="10"/>
      <c r="E587" s="10"/>
      <c r="F587" s="10"/>
      <c r="G587" s="116"/>
      <c r="H587" s="163"/>
      <c r="I587" s="166"/>
      <c r="J587" s="163"/>
      <c r="K587" s="10"/>
      <c r="L587" s="10"/>
      <c r="M587" s="10"/>
      <c r="N587" s="10"/>
      <c r="O587" s="12"/>
      <c r="P587" s="116"/>
      <c r="Q587" s="10"/>
    </row>
    <row r="588" spans="1:17" ht="29.25" customHeight="1" thickBot="1">
      <c r="A588" s="10"/>
      <c r="B588" s="10"/>
      <c r="C588" s="10"/>
      <c r="D588" s="10"/>
      <c r="E588" s="10"/>
      <c r="F588" s="10"/>
      <c r="G588" s="116"/>
      <c r="H588" s="163"/>
      <c r="I588" s="158"/>
      <c r="J588" s="163"/>
      <c r="K588" s="10"/>
      <c r="L588" s="10"/>
      <c r="M588" s="10"/>
      <c r="N588" s="10"/>
      <c r="O588" s="12"/>
      <c r="P588" s="116"/>
      <c r="Q588" s="10"/>
    </row>
    <row r="589" spans="1:17" ht="29.25" customHeight="1" thickBot="1">
      <c r="A589" s="10"/>
      <c r="B589" s="10"/>
      <c r="C589" s="10"/>
      <c r="D589" s="10"/>
      <c r="E589" s="10"/>
      <c r="F589" s="10"/>
      <c r="G589" s="116"/>
      <c r="H589" s="163"/>
      <c r="I589" s="158"/>
      <c r="J589" s="163"/>
      <c r="K589" s="10"/>
      <c r="L589" s="10"/>
      <c r="M589" s="10"/>
      <c r="N589" s="10"/>
      <c r="O589" s="12"/>
      <c r="P589" s="116"/>
      <c r="Q589" s="10"/>
    </row>
    <row r="590" spans="1:17" ht="29.25" customHeight="1" thickBot="1">
      <c r="A590" s="10"/>
      <c r="B590" s="10"/>
      <c r="C590" s="10"/>
      <c r="D590" s="10"/>
      <c r="E590" s="10"/>
      <c r="F590" s="10"/>
      <c r="G590" s="116"/>
      <c r="H590" s="163"/>
      <c r="I590" s="158"/>
      <c r="J590" s="163"/>
      <c r="K590" s="10"/>
      <c r="L590" s="10"/>
      <c r="M590" s="10"/>
      <c r="N590" s="10"/>
      <c r="O590" s="12"/>
      <c r="P590" s="116"/>
      <c r="Q590" s="10"/>
    </row>
  </sheetData>
  <autoFilter ref="A2:V528" xr:uid="{1263ABF9-6286-2544-9880-0C08CC30D23A}">
    <filterColumn colId="7">
      <filters>
        <filter val="E0CS3LL"/>
      </filters>
    </filterColumn>
  </autoFilter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5557-9841-4D4A-AE89-3D9B2F0EA50E}">
  <sheetPr codeName="Sheet15"/>
  <dimension ref="A1:V590"/>
  <sheetViews>
    <sheetView zoomScale="96" zoomScaleNormal="96" workbookViewId="0">
      <selection activeCell="A2" sqref="A2:XFD2"/>
    </sheetView>
  </sheetViews>
  <sheetFormatPr baseColWidth="10" defaultColWidth="9" defaultRowHeight="12.75" customHeight="1" outlineLevelCol="1"/>
  <cols>
    <col min="1" max="1" width="27.83203125" style="4" customWidth="1"/>
    <col min="2" max="2" width="23.83203125" style="4" customWidth="1"/>
    <col min="3" max="3" width="21.1640625" style="4" customWidth="1"/>
    <col min="4" max="4" width="15" style="4" customWidth="1"/>
    <col min="5" max="5" width="51.83203125" style="4" customWidth="1"/>
    <col min="6" max="6" width="36.5" style="4" customWidth="1"/>
    <col min="7" max="7" width="12" style="22" customWidth="1"/>
    <col min="8" max="8" width="28.6640625" style="161" customWidth="1"/>
    <col min="9" max="9" width="129" style="169" customWidth="1"/>
    <col min="10" max="10" width="15.1640625" style="161" customWidth="1"/>
    <col min="11" max="13" width="29.5" style="4" customWidth="1"/>
    <col min="14" max="14" width="22.5" style="4" customWidth="1"/>
    <col min="15" max="15" width="19" style="23" customWidth="1"/>
    <col min="16" max="16" width="16.1640625" style="22" customWidth="1"/>
    <col min="17" max="17" width="13.83203125" style="4" customWidth="1"/>
    <col min="18" max="18" width="25" style="4" customWidth="1" outlineLevel="1"/>
    <col min="19" max="19" width="18" style="4" customWidth="1" outlineLevel="1"/>
    <col min="20" max="20" width="12.5" style="4" customWidth="1" outlineLevel="1"/>
    <col min="21" max="21" width="15.5" style="4" customWidth="1" outlineLevel="1"/>
    <col min="22" max="22" width="129.5" style="4" bestFit="1" customWidth="1" outlineLevel="1"/>
    <col min="23" max="16384" width="9" style="4"/>
  </cols>
  <sheetData>
    <row r="1" spans="1:22" ht="16" thickBot="1">
      <c r="A1" s="1"/>
      <c r="B1" s="1"/>
      <c r="C1" s="1"/>
      <c r="D1" s="1"/>
      <c r="E1" s="1"/>
      <c r="F1" s="1"/>
      <c r="G1" s="1"/>
      <c r="H1" s="156"/>
      <c r="I1" s="168"/>
      <c r="J1" s="156"/>
      <c r="K1" s="1"/>
      <c r="L1" s="1"/>
      <c r="M1" s="1"/>
      <c r="N1" s="1"/>
      <c r="O1" s="2"/>
      <c r="P1" s="3"/>
      <c r="Q1" s="1"/>
    </row>
    <row r="2" spans="1:22" s="9" customFormat="1" ht="32" thickTop="1" thickBo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162" t="s">
        <v>7</v>
      </c>
      <c r="I2" s="157" t="s">
        <v>8</v>
      </c>
      <c r="J2" s="162" t="s">
        <v>9</v>
      </c>
      <c r="K2" s="5" t="s">
        <v>10</v>
      </c>
      <c r="L2" s="7" t="s">
        <v>11</v>
      </c>
      <c r="M2" s="7" t="s">
        <v>12</v>
      </c>
      <c r="N2" s="5" t="s">
        <v>13</v>
      </c>
      <c r="O2" s="8" t="s">
        <v>14</v>
      </c>
      <c r="P2" s="6" t="s">
        <v>15</v>
      </c>
      <c r="Q2" s="5" t="s">
        <v>16</v>
      </c>
      <c r="R2" s="7" t="s">
        <v>17</v>
      </c>
      <c r="S2" s="7" t="s">
        <v>18</v>
      </c>
      <c r="T2" s="7" t="s">
        <v>19</v>
      </c>
      <c r="U2" s="7" t="s">
        <v>20</v>
      </c>
    </row>
    <row r="3" spans="1:22" ht="29.25" customHeight="1" thickBot="1">
      <c r="A3" s="10" t="s">
        <v>21</v>
      </c>
      <c r="B3" s="10" t="s">
        <v>22</v>
      </c>
      <c r="C3" s="10" t="s">
        <v>94</v>
      </c>
      <c r="D3" s="10" t="s">
        <v>95</v>
      </c>
      <c r="E3" s="10" t="s">
        <v>96</v>
      </c>
      <c r="F3" s="10" t="s">
        <v>97</v>
      </c>
      <c r="G3" s="11">
        <v>8980</v>
      </c>
      <c r="H3" s="163" t="s">
        <v>100</v>
      </c>
      <c r="I3" s="158" t="s">
        <v>103</v>
      </c>
      <c r="J3" s="163" t="s">
        <v>100</v>
      </c>
      <c r="K3" s="10" t="s">
        <v>101</v>
      </c>
      <c r="L3" s="10" t="s">
        <v>102</v>
      </c>
      <c r="M3" s="10" t="e">
        <f t="shared" ref="M3:M34" si="0">ROUND(IF(K3="Authorized User",L3/3,L3),2)</f>
        <v>#VALUE!</v>
      </c>
      <c r="N3" s="10">
        <v>15</v>
      </c>
      <c r="O3" s="12">
        <v>5</v>
      </c>
      <c r="P3" s="11">
        <v>8980</v>
      </c>
      <c r="Q3" s="10" t="s">
        <v>33</v>
      </c>
      <c r="R3" s="4" t="s">
        <v>1294</v>
      </c>
      <c r="S3" s="4" t="s">
        <v>1379</v>
      </c>
      <c r="T3" s="4" t="s">
        <v>1380</v>
      </c>
      <c r="U3" s="4" t="str">
        <f t="shared" ref="U3:U34" si="1">IF(ISNUMBER(SEARCH("ADD-ON",$I3)),"ADD-ON","NOT AN ADD-ON")</f>
        <v>NOT AN ADD-ON</v>
      </c>
      <c r="V3" s="4" t="str">
        <f t="shared" ref="V3:V66" si="2">CONCATENATE(R3,S3,T3,U3)</f>
        <v>ASSET CONFIGURATION MANAGERACMASSETNOT AN ADD-ON</v>
      </c>
    </row>
    <row r="4" spans="1:22" ht="29.25" customHeight="1" thickBot="1">
      <c r="A4" s="10" t="s">
        <v>21</v>
      </c>
      <c r="B4" s="10" t="s">
        <v>22</v>
      </c>
      <c r="C4" s="10" t="s">
        <v>94</v>
      </c>
      <c r="D4" s="10" t="s">
        <v>95</v>
      </c>
      <c r="E4" s="10" t="s">
        <v>96</v>
      </c>
      <c r="F4" s="10" t="s">
        <v>97</v>
      </c>
      <c r="G4" s="11">
        <v>5390</v>
      </c>
      <c r="H4" s="163" t="s">
        <v>104</v>
      </c>
      <c r="I4" s="158" t="s">
        <v>105</v>
      </c>
      <c r="J4" s="163" t="s">
        <v>100</v>
      </c>
      <c r="K4" s="10" t="s">
        <v>101</v>
      </c>
      <c r="L4" s="10" t="s">
        <v>102</v>
      </c>
      <c r="M4" s="10" t="e">
        <f t="shared" si="0"/>
        <v>#VALUE!</v>
      </c>
      <c r="N4" s="10">
        <v>15</v>
      </c>
      <c r="O4" s="12">
        <v>5</v>
      </c>
      <c r="P4" s="11">
        <v>8980</v>
      </c>
      <c r="Q4" s="10" t="s">
        <v>36</v>
      </c>
      <c r="R4" s="4" t="s">
        <v>1294</v>
      </c>
      <c r="S4" s="4" t="s">
        <v>1379</v>
      </c>
      <c r="T4" s="4" t="s">
        <v>1380</v>
      </c>
      <c r="U4" s="4" t="str">
        <f t="shared" si="1"/>
        <v>NOT AN ADD-ON</v>
      </c>
      <c r="V4" s="4" t="str">
        <f t="shared" si="2"/>
        <v>ASSET CONFIGURATION MANAGERACMASSETNOT AN ADD-ON</v>
      </c>
    </row>
    <row r="5" spans="1:22" ht="29.25" customHeight="1" thickBot="1">
      <c r="A5" s="10" t="s">
        <v>21</v>
      </c>
      <c r="B5" s="10" t="s">
        <v>22</v>
      </c>
      <c r="C5" s="10" t="s">
        <v>94</v>
      </c>
      <c r="D5" s="10" t="s">
        <v>95</v>
      </c>
      <c r="E5" s="10" t="s">
        <v>96</v>
      </c>
      <c r="F5" s="10" t="s">
        <v>97</v>
      </c>
      <c r="G5" s="11">
        <v>5740</v>
      </c>
      <c r="H5" s="163" t="s">
        <v>108</v>
      </c>
      <c r="I5" s="158" t="s">
        <v>109</v>
      </c>
      <c r="J5" s="163" t="s">
        <v>108</v>
      </c>
      <c r="K5" s="10" t="s">
        <v>30</v>
      </c>
      <c r="L5" s="10">
        <v>15</v>
      </c>
      <c r="M5" s="10">
        <f t="shared" si="0"/>
        <v>5</v>
      </c>
      <c r="N5" s="10">
        <v>15</v>
      </c>
      <c r="O5" s="12">
        <v>5</v>
      </c>
      <c r="P5" s="11">
        <v>5740</v>
      </c>
      <c r="Q5" s="10" t="s">
        <v>33</v>
      </c>
      <c r="R5" s="4" t="s">
        <v>1294</v>
      </c>
      <c r="S5" s="4" t="s">
        <v>1379</v>
      </c>
      <c r="T5" s="4" t="s">
        <v>19</v>
      </c>
      <c r="U5" s="4" t="str">
        <f t="shared" si="1"/>
        <v>NOT AN ADD-ON</v>
      </c>
      <c r="V5" s="4" t="str">
        <f t="shared" si="2"/>
        <v>ASSET CONFIGURATION MANAGERACMAUTHORIZEDNOT AN ADD-ON</v>
      </c>
    </row>
    <row r="6" spans="1:22" ht="29.25" customHeight="1" thickBot="1">
      <c r="A6" s="10" t="s">
        <v>21</v>
      </c>
      <c r="B6" s="10" t="s">
        <v>22</v>
      </c>
      <c r="C6" s="10" t="s">
        <v>94</v>
      </c>
      <c r="D6" s="10" t="s">
        <v>95</v>
      </c>
      <c r="E6" s="10" t="s">
        <v>96</v>
      </c>
      <c r="F6" s="10" t="s">
        <v>97</v>
      </c>
      <c r="G6" s="11">
        <v>3440</v>
      </c>
      <c r="H6" s="163" t="s">
        <v>110</v>
      </c>
      <c r="I6" s="158" t="s">
        <v>111</v>
      </c>
      <c r="J6" s="163" t="s">
        <v>108</v>
      </c>
      <c r="K6" s="10" t="s">
        <v>30</v>
      </c>
      <c r="L6" s="10">
        <v>15</v>
      </c>
      <c r="M6" s="10">
        <f t="shared" si="0"/>
        <v>5</v>
      </c>
      <c r="N6" s="10">
        <v>15</v>
      </c>
      <c r="O6" s="12">
        <v>5</v>
      </c>
      <c r="P6" s="11">
        <v>5740</v>
      </c>
      <c r="Q6" s="10" t="s">
        <v>36</v>
      </c>
      <c r="R6" s="4" t="s">
        <v>1294</v>
      </c>
      <c r="S6" s="4" t="s">
        <v>1379</v>
      </c>
      <c r="T6" s="4" t="s">
        <v>19</v>
      </c>
      <c r="U6" s="4" t="str">
        <f t="shared" si="1"/>
        <v>NOT AN ADD-ON</v>
      </c>
      <c r="V6" s="4" t="str">
        <f t="shared" si="2"/>
        <v>ASSET CONFIGURATION MANAGERACMAUTHORIZEDNOT AN ADD-ON</v>
      </c>
    </row>
    <row r="7" spans="1:22" ht="29.25" customHeight="1" thickBot="1">
      <c r="A7" s="10" t="s">
        <v>21</v>
      </c>
      <c r="B7" s="10" t="s">
        <v>22</v>
      </c>
      <c r="C7" s="10" t="s">
        <v>385</v>
      </c>
      <c r="D7" s="10" t="s">
        <v>386</v>
      </c>
      <c r="E7" s="10" t="s">
        <v>387</v>
      </c>
      <c r="F7" s="10" t="s">
        <v>388</v>
      </c>
      <c r="G7" s="11">
        <v>584</v>
      </c>
      <c r="H7" s="163" t="s">
        <v>391</v>
      </c>
      <c r="I7" s="158" t="s">
        <v>392</v>
      </c>
      <c r="J7" s="163" t="s">
        <v>391</v>
      </c>
      <c r="K7" s="10" t="s">
        <v>30</v>
      </c>
      <c r="L7" s="10">
        <v>0</v>
      </c>
      <c r="M7" s="10">
        <f t="shared" si="0"/>
        <v>0</v>
      </c>
      <c r="N7" s="10">
        <v>5</v>
      </c>
      <c r="O7" s="12">
        <v>1.6666666666666667</v>
      </c>
      <c r="P7" s="11">
        <v>584</v>
      </c>
      <c r="Q7" s="10" t="s">
        <v>33</v>
      </c>
      <c r="R7" s="4" t="s">
        <v>1288</v>
      </c>
      <c r="S7" s="4" t="s">
        <v>507</v>
      </c>
      <c r="T7" s="4" t="s">
        <v>19</v>
      </c>
      <c r="U7" s="4" t="str">
        <f t="shared" si="1"/>
        <v>NOT AN ADD-ON</v>
      </c>
      <c r="V7" s="4" t="str">
        <f t="shared" si="2"/>
        <v>CALIBRATIONADD-ONAUTHORIZEDNOT AN ADD-ON</v>
      </c>
    </row>
    <row r="8" spans="1:22" ht="15" thickBot="1">
      <c r="A8" s="10" t="s">
        <v>21</v>
      </c>
      <c r="B8" s="10" t="s">
        <v>22</v>
      </c>
      <c r="C8" s="10" t="s">
        <v>385</v>
      </c>
      <c r="D8" s="10" t="s">
        <v>386</v>
      </c>
      <c r="E8" s="10" t="s">
        <v>387</v>
      </c>
      <c r="F8" s="10" t="s">
        <v>388</v>
      </c>
      <c r="G8" s="11">
        <v>350</v>
      </c>
      <c r="H8" s="163" t="s">
        <v>393</v>
      </c>
      <c r="I8" s="158" t="s">
        <v>394</v>
      </c>
      <c r="J8" s="163" t="s">
        <v>391</v>
      </c>
      <c r="K8" s="10" t="s">
        <v>30</v>
      </c>
      <c r="L8" s="10">
        <v>0</v>
      </c>
      <c r="M8" s="10">
        <f t="shared" si="0"/>
        <v>0</v>
      </c>
      <c r="N8" s="10">
        <v>5</v>
      </c>
      <c r="O8" s="12">
        <v>1.6666666666666667</v>
      </c>
      <c r="P8" s="11">
        <v>584</v>
      </c>
      <c r="Q8" s="10" t="s">
        <v>36</v>
      </c>
      <c r="R8" s="4" t="s">
        <v>1288</v>
      </c>
      <c r="S8" s="4" t="s">
        <v>507</v>
      </c>
      <c r="T8" s="4" t="s">
        <v>19</v>
      </c>
      <c r="U8" s="4" t="str">
        <f t="shared" si="1"/>
        <v>NOT AN ADD-ON</v>
      </c>
      <c r="V8" s="4" t="str">
        <f t="shared" si="2"/>
        <v>CALIBRATIONADD-ONAUTHORIZEDNOT AN ADD-ON</v>
      </c>
    </row>
    <row r="9" spans="1:22" ht="15" thickBot="1">
      <c r="A9" s="10" t="s">
        <v>21</v>
      </c>
      <c r="B9" s="10" t="s">
        <v>22</v>
      </c>
      <c r="C9" s="10" t="s">
        <v>1015</v>
      </c>
      <c r="D9" s="10" t="s">
        <v>141</v>
      </c>
      <c r="E9" s="10" t="s">
        <v>142</v>
      </c>
      <c r="F9" s="10" t="s">
        <v>143</v>
      </c>
      <c r="G9" s="11">
        <v>712</v>
      </c>
      <c r="H9" s="163" t="s">
        <v>1018</v>
      </c>
      <c r="I9" s="158" t="s">
        <v>1019</v>
      </c>
      <c r="J9" s="163" t="s">
        <v>1018</v>
      </c>
      <c r="K9" s="10" t="s">
        <v>30</v>
      </c>
      <c r="L9" s="10">
        <v>0</v>
      </c>
      <c r="M9" s="10">
        <f t="shared" si="0"/>
        <v>0</v>
      </c>
      <c r="N9" s="10">
        <v>5</v>
      </c>
      <c r="O9" s="12">
        <v>1.6666666666666667</v>
      </c>
      <c r="P9" s="11">
        <v>712</v>
      </c>
      <c r="Q9" s="10" t="s">
        <v>33</v>
      </c>
      <c r="R9" s="4" t="s">
        <v>1290</v>
      </c>
      <c r="S9" s="4" t="s">
        <v>507</v>
      </c>
      <c r="T9" s="4" t="s">
        <v>19</v>
      </c>
      <c r="U9" s="4" t="str">
        <f t="shared" si="1"/>
        <v>NOT AN ADD-ON</v>
      </c>
      <c r="V9" s="4" t="str">
        <f t="shared" si="2"/>
        <v>LINEARADD-ONAUTHORIZEDNOT AN ADD-ON</v>
      </c>
    </row>
    <row r="10" spans="1:22" ht="15" thickBot="1">
      <c r="A10" s="10" t="s">
        <v>21</v>
      </c>
      <c r="B10" s="10" t="s">
        <v>22</v>
      </c>
      <c r="C10" s="10" t="s">
        <v>1015</v>
      </c>
      <c r="D10" s="10" t="s">
        <v>141</v>
      </c>
      <c r="E10" s="10" t="s">
        <v>142</v>
      </c>
      <c r="F10" s="10" t="s">
        <v>143</v>
      </c>
      <c r="G10" s="11">
        <v>427</v>
      </c>
      <c r="H10" s="163" t="s">
        <v>1020</v>
      </c>
      <c r="I10" s="158" t="s">
        <v>1021</v>
      </c>
      <c r="J10" s="163" t="s">
        <v>1018</v>
      </c>
      <c r="K10" s="10" t="s">
        <v>30</v>
      </c>
      <c r="L10" s="10">
        <v>0</v>
      </c>
      <c r="M10" s="10">
        <f t="shared" si="0"/>
        <v>0</v>
      </c>
      <c r="N10" s="10">
        <v>5</v>
      </c>
      <c r="O10" s="12">
        <v>1.6666666666666667</v>
      </c>
      <c r="P10" s="11">
        <v>712</v>
      </c>
      <c r="Q10" s="10" t="s">
        <v>36</v>
      </c>
      <c r="R10" s="4" t="s">
        <v>1290</v>
      </c>
      <c r="S10" s="4" t="s">
        <v>507</v>
      </c>
      <c r="T10" s="4" t="s">
        <v>19</v>
      </c>
      <c r="U10" s="4" t="str">
        <f t="shared" si="1"/>
        <v>NOT AN ADD-ON</v>
      </c>
      <c r="V10" s="4" t="str">
        <f t="shared" si="2"/>
        <v>LINEARADD-ONAUTHORIZEDNOT AN ADD-ON</v>
      </c>
    </row>
    <row r="11" spans="1:22" ht="29.25" customHeight="1" thickBot="1">
      <c r="A11" s="10" t="s">
        <v>21</v>
      </c>
      <c r="B11" s="10" t="s">
        <v>22</v>
      </c>
      <c r="C11" s="10" t="s">
        <v>435</v>
      </c>
      <c r="D11" s="10" t="s">
        <v>418</v>
      </c>
      <c r="E11" s="10" t="s">
        <v>419</v>
      </c>
      <c r="F11" s="10" t="s">
        <v>420</v>
      </c>
      <c r="G11" s="11">
        <v>161000</v>
      </c>
      <c r="H11" s="163" t="s">
        <v>444</v>
      </c>
      <c r="I11" s="158" t="s">
        <v>445</v>
      </c>
      <c r="J11" s="163" t="s">
        <v>444</v>
      </c>
      <c r="K11" s="10" t="s">
        <v>424</v>
      </c>
      <c r="L11" s="10">
        <v>80</v>
      </c>
      <c r="M11" s="10">
        <f t="shared" si="0"/>
        <v>80</v>
      </c>
      <c r="N11" s="10">
        <v>80</v>
      </c>
      <c r="O11" s="12">
        <v>1</v>
      </c>
      <c r="P11" s="11">
        <v>161000</v>
      </c>
      <c r="Q11" s="10" t="s">
        <v>33</v>
      </c>
      <c r="R11" s="4" t="s">
        <v>1297</v>
      </c>
      <c r="S11" s="4" t="s">
        <v>1295</v>
      </c>
      <c r="T11" s="4" t="s">
        <v>1295</v>
      </c>
      <c r="U11" s="4" t="str">
        <f t="shared" si="1"/>
        <v>NOT AN ADD-ON</v>
      </c>
      <c r="V11" s="4" t="str">
        <f t="shared" si="2"/>
        <v>ADAPTER FOR SAPADAPTERADAPTERNOT AN ADD-ON</v>
      </c>
    </row>
    <row r="12" spans="1:22" ht="15" thickBot="1">
      <c r="A12" s="10" t="s">
        <v>21</v>
      </c>
      <c r="B12" s="10" t="s">
        <v>22</v>
      </c>
      <c r="C12" s="10" t="s">
        <v>435</v>
      </c>
      <c r="D12" s="10" t="s">
        <v>418</v>
      </c>
      <c r="E12" s="10" t="s">
        <v>419</v>
      </c>
      <c r="F12" s="10" t="s">
        <v>420</v>
      </c>
      <c r="G12" s="11">
        <v>96300</v>
      </c>
      <c r="H12" s="163" t="s">
        <v>446</v>
      </c>
      <c r="I12" s="158" t="s">
        <v>447</v>
      </c>
      <c r="J12" s="163" t="s">
        <v>444</v>
      </c>
      <c r="K12" s="10" t="s">
        <v>424</v>
      </c>
      <c r="L12" s="10">
        <v>80</v>
      </c>
      <c r="M12" s="10">
        <f t="shared" si="0"/>
        <v>80</v>
      </c>
      <c r="N12" s="10">
        <v>80</v>
      </c>
      <c r="O12" s="12">
        <v>1</v>
      </c>
      <c r="P12" s="11">
        <v>161000</v>
      </c>
      <c r="Q12" s="10" t="s">
        <v>36</v>
      </c>
      <c r="R12" s="4" t="s">
        <v>1297</v>
      </c>
      <c r="S12" s="4" t="s">
        <v>1295</v>
      </c>
      <c r="T12" s="4" t="s">
        <v>1295</v>
      </c>
      <c r="U12" s="4" t="str">
        <f t="shared" si="1"/>
        <v>NOT AN ADD-ON</v>
      </c>
      <c r="V12" s="4" t="str">
        <f t="shared" si="2"/>
        <v>ADAPTER FOR SAPADAPTERADAPTERNOT AN ADD-ON</v>
      </c>
    </row>
    <row r="13" spans="1:22" ht="29.25" customHeight="1" thickBot="1">
      <c r="A13" s="10" t="s">
        <v>21</v>
      </c>
      <c r="B13" s="10" t="s">
        <v>22</v>
      </c>
      <c r="C13" s="10" t="s">
        <v>230</v>
      </c>
      <c r="D13" s="10" t="s">
        <v>141</v>
      </c>
      <c r="E13" s="10" t="s">
        <v>142</v>
      </c>
      <c r="F13" s="10" t="s">
        <v>143</v>
      </c>
      <c r="G13" s="11">
        <v>1780</v>
      </c>
      <c r="H13" s="163" t="s">
        <v>291</v>
      </c>
      <c r="I13" s="158" t="s">
        <v>292</v>
      </c>
      <c r="J13" s="163" t="s">
        <v>291</v>
      </c>
      <c r="K13" s="10" t="s">
        <v>30</v>
      </c>
      <c r="L13" s="10">
        <v>0</v>
      </c>
      <c r="M13" s="10">
        <f t="shared" si="0"/>
        <v>0</v>
      </c>
      <c r="N13" s="10">
        <v>5</v>
      </c>
      <c r="O13" s="12">
        <v>1.6666666666666667</v>
      </c>
      <c r="P13" s="11">
        <v>1780</v>
      </c>
      <c r="Q13" s="10" t="s">
        <v>33</v>
      </c>
      <c r="R13" s="4" t="s">
        <v>234</v>
      </c>
      <c r="S13" s="4" t="s">
        <v>235</v>
      </c>
      <c r="T13" s="4" t="s">
        <v>672</v>
      </c>
      <c r="U13" s="4" t="str">
        <f t="shared" si="1"/>
        <v>NOT AN ADD-ON</v>
      </c>
      <c r="V13" s="4" t="str">
        <f t="shared" si="2"/>
        <v>MANAGED SERVICE PROVIDERSMSPLIMITEDNOT AN ADD-ON</v>
      </c>
    </row>
    <row r="14" spans="1:22" ht="15" thickBot="1">
      <c r="A14" s="10" t="s">
        <v>21</v>
      </c>
      <c r="B14" s="10" t="s">
        <v>22</v>
      </c>
      <c r="C14" s="10" t="s">
        <v>230</v>
      </c>
      <c r="D14" s="10" t="s">
        <v>141</v>
      </c>
      <c r="E14" s="10" t="s">
        <v>142</v>
      </c>
      <c r="F14" s="10" t="s">
        <v>143</v>
      </c>
      <c r="G14" s="11">
        <v>1070</v>
      </c>
      <c r="H14" s="163" t="s">
        <v>293</v>
      </c>
      <c r="I14" s="166" t="s">
        <v>294</v>
      </c>
      <c r="J14" s="163" t="s">
        <v>291</v>
      </c>
      <c r="K14" s="10" t="s">
        <v>30</v>
      </c>
      <c r="L14" s="10">
        <v>0</v>
      </c>
      <c r="M14" s="10">
        <f t="shared" si="0"/>
        <v>0</v>
      </c>
      <c r="N14" s="10">
        <v>5</v>
      </c>
      <c r="O14" s="12">
        <v>1.6666666666666667</v>
      </c>
      <c r="P14" s="11">
        <v>1780</v>
      </c>
      <c r="Q14" s="10" t="s">
        <v>36</v>
      </c>
      <c r="R14" s="4" t="s">
        <v>234</v>
      </c>
      <c r="S14" s="4" t="s">
        <v>235</v>
      </c>
      <c r="T14" s="4" t="s">
        <v>672</v>
      </c>
      <c r="U14" s="4" t="str">
        <f t="shared" si="1"/>
        <v>NOT AN ADD-ON</v>
      </c>
      <c r="V14" s="4" t="str">
        <f t="shared" si="2"/>
        <v>MANAGED SERVICE PROVIDERSMSPLIMITEDNOT AN ADD-ON</v>
      </c>
    </row>
    <row r="15" spans="1:22" ht="29.25" customHeight="1" thickBot="1">
      <c r="A15" s="10" t="s">
        <v>21</v>
      </c>
      <c r="B15" s="10" t="s">
        <v>22</v>
      </c>
      <c r="C15" s="10" t="s">
        <v>230</v>
      </c>
      <c r="D15" s="10" t="s">
        <v>141</v>
      </c>
      <c r="E15" s="10" t="s">
        <v>142</v>
      </c>
      <c r="F15" s="10" t="s">
        <v>143</v>
      </c>
      <c r="G15" s="11">
        <v>3570</v>
      </c>
      <c r="H15" s="163" t="s">
        <v>279</v>
      </c>
      <c r="I15" s="158" t="s">
        <v>280</v>
      </c>
      <c r="J15" s="163" t="s">
        <v>279</v>
      </c>
      <c r="K15" s="10" t="s">
        <v>30</v>
      </c>
      <c r="L15" s="10">
        <v>5</v>
      </c>
      <c r="M15" s="10">
        <f t="shared" si="0"/>
        <v>1.67</v>
      </c>
      <c r="N15" s="10">
        <v>15</v>
      </c>
      <c r="O15" s="12">
        <v>5</v>
      </c>
      <c r="P15" s="11">
        <v>3570</v>
      </c>
      <c r="Q15" s="10" t="s">
        <v>33</v>
      </c>
      <c r="R15" s="4" t="s">
        <v>234</v>
      </c>
      <c r="S15" s="4" t="s">
        <v>235</v>
      </c>
      <c r="T15" s="4" t="s">
        <v>19</v>
      </c>
      <c r="U15" s="4" t="str">
        <f t="shared" si="1"/>
        <v>NOT AN ADD-ON</v>
      </c>
      <c r="V15" s="4" t="str">
        <f t="shared" si="2"/>
        <v>MANAGED SERVICE PROVIDERSMSPAUTHORIZEDNOT AN ADD-ON</v>
      </c>
    </row>
    <row r="16" spans="1:22" ht="15" thickBot="1">
      <c r="A16" s="10" t="s">
        <v>21</v>
      </c>
      <c r="B16" s="10" t="s">
        <v>22</v>
      </c>
      <c r="C16" s="10" t="s">
        <v>230</v>
      </c>
      <c r="D16" s="10" t="s">
        <v>141</v>
      </c>
      <c r="E16" s="10" t="s">
        <v>142</v>
      </c>
      <c r="F16" s="10" t="s">
        <v>143</v>
      </c>
      <c r="G16" s="11">
        <v>2140</v>
      </c>
      <c r="H16" s="163" t="s">
        <v>281</v>
      </c>
      <c r="I16" s="158" t="s">
        <v>282</v>
      </c>
      <c r="J16" s="163" t="s">
        <v>279</v>
      </c>
      <c r="K16" s="10" t="s">
        <v>30</v>
      </c>
      <c r="L16" s="10">
        <v>5</v>
      </c>
      <c r="M16" s="10">
        <f t="shared" si="0"/>
        <v>1.67</v>
      </c>
      <c r="N16" s="10">
        <v>15</v>
      </c>
      <c r="O16" s="12">
        <v>5</v>
      </c>
      <c r="P16" s="11">
        <v>3570</v>
      </c>
      <c r="Q16" s="10" t="s">
        <v>36</v>
      </c>
      <c r="R16" s="4" t="s">
        <v>234</v>
      </c>
      <c r="S16" s="4" t="s">
        <v>235</v>
      </c>
      <c r="T16" s="4" t="s">
        <v>19</v>
      </c>
      <c r="U16" s="4" t="str">
        <f t="shared" si="1"/>
        <v>NOT AN ADD-ON</v>
      </c>
      <c r="V16" s="4" t="str">
        <f t="shared" si="2"/>
        <v>MANAGED SERVICE PROVIDERSMSPAUTHORIZEDNOT AN ADD-ON</v>
      </c>
    </row>
    <row r="17" spans="1:22" ht="15" thickBot="1">
      <c r="A17" s="10" t="s">
        <v>21</v>
      </c>
      <c r="B17" s="10" t="s">
        <v>22</v>
      </c>
      <c r="C17" s="10" t="s">
        <v>204</v>
      </c>
      <c r="D17" s="10" t="s">
        <v>141</v>
      </c>
      <c r="E17" s="10" t="s">
        <v>142</v>
      </c>
      <c r="F17" s="10" t="s">
        <v>143</v>
      </c>
      <c r="G17" s="11">
        <v>1070</v>
      </c>
      <c r="H17" s="163" t="s">
        <v>251</v>
      </c>
      <c r="I17" s="158" t="s">
        <v>252</v>
      </c>
      <c r="J17" s="163" t="s">
        <v>251</v>
      </c>
      <c r="K17" s="10" t="s">
        <v>30</v>
      </c>
      <c r="L17" s="10">
        <v>5</v>
      </c>
      <c r="M17" s="10">
        <f t="shared" si="0"/>
        <v>1.67</v>
      </c>
      <c r="N17" s="10">
        <v>15</v>
      </c>
      <c r="O17" s="12">
        <v>5</v>
      </c>
      <c r="P17" s="11">
        <v>1070</v>
      </c>
      <c r="Q17" s="10" t="s">
        <v>33</v>
      </c>
      <c r="R17" s="4" t="s">
        <v>208</v>
      </c>
      <c r="S17" s="4" t="s">
        <v>507</v>
      </c>
      <c r="T17" s="4" t="s">
        <v>19</v>
      </c>
      <c r="U17" s="4" t="str">
        <f t="shared" si="1"/>
        <v>NOT AN ADD-ON</v>
      </c>
      <c r="V17" s="4" t="str">
        <f t="shared" si="2"/>
        <v>INTERNAL SERVICE PROVIDERSADD-ONAUTHORIZEDNOT AN ADD-ON</v>
      </c>
    </row>
    <row r="18" spans="1:22" ht="15" thickBot="1">
      <c r="A18" s="10" t="s">
        <v>21</v>
      </c>
      <c r="B18" s="10" t="s">
        <v>22</v>
      </c>
      <c r="C18" s="10" t="s">
        <v>204</v>
      </c>
      <c r="D18" s="10" t="s">
        <v>141</v>
      </c>
      <c r="E18" s="10" t="s">
        <v>142</v>
      </c>
      <c r="F18" s="10" t="s">
        <v>143</v>
      </c>
      <c r="G18" s="11">
        <v>643</v>
      </c>
      <c r="H18" s="163" t="s">
        <v>253</v>
      </c>
      <c r="I18" s="158" t="s">
        <v>254</v>
      </c>
      <c r="J18" s="163" t="s">
        <v>251</v>
      </c>
      <c r="K18" s="10" t="s">
        <v>30</v>
      </c>
      <c r="L18" s="10">
        <v>5</v>
      </c>
      <c r="M18" s="10">
        <f t="shared" si="0"/>
        <v>1.67</v>
      </c>
      <c r="N18" s="10">
        <v>15</v>
      </c>
      <c r="O18" s="12">
        <v>5</v>
      </c>
      <c r="P18" s="11">
        <v>1070</v>
      </c>
      <c r="Q18" s="10" t="s">
        <v>36</v>
      </c>
      <c r="R18" s="4" t="s">
        <v>208</v>
      </c>
      <c r="S18" s="4" t="s">
        <v>507</v>
      </c>
      <c r="T18" s="4" t="s">
        <v>19</v>
      </c>
      <c r="U18" s="4" t="str">
        <f t="shared" si="1"/>
        <v>NOT AN ADD-ON</v>
      </c>
      <c r="V18" s="4" t="str">
        <f t="shared" si="2"/>
        <v>INTERNAL SERVICE PROVIDERSADD-ONAUTHORIZEDNOT AN ADD-ON</v>
      </c>
    </row>
    <row r="19" spans="1:22" ht="29.25" customHeight="1" thickBot="1">
      <c r="A19" s="10" t="s">
        <v>21</v>
      </c>
      <c r="B19" s="10" t="s">
        <v>22</v>
      </c>
      <c r="C19" s="10" t="s">
        <v>230</v>
      </c>
      <c r="D19" s="10" t="s">
        <v>141</v>
      </c>
      <c r="E19" s="10" t="s">
        <v>142</v>
      </c>
      <c r="F19" s="10" t="s">
        <v>143</v>
      </c>
      <c r="G19" s="11">
        <v>3570</v>
      </c>
      <c r="H19" s="163" t="s">
        <v>285</v>
      </c>
      <c r="I19" s="166" t="s">
        <v>286</v>
      </c>
      <c r="J19" s="163" t="s">
        <v>285</v>
      </c>
      <c r="K19" s="10" t="s">
        <v>30</v>
      </c>
      <c r="L19" s="10">
        <v>5</v>
      </c>
      <c r="M19" s="10">
        <f t="shared" si="0"/>
        <v>1.67</v>
      </c>
      <c r="N19" s="10">
        <v>15</v>
      </c>
      <c r="O19" s="12">
        <v>5</v>
      </c>
      <c r="P19" s="11">
        <v>3570</v>
      </c>
      <c r="Q19" s="10" t="s">
        <v>33</v>
      </c>
      <c r="R19" s="4" t="s">
        <v>234</v>
      </c>
      <c r="S19" s="4" t="s">
        <v>235</v>
      </c>
      <c r="T19" s="4" t="s">
        <v>19</v>
      </c>
      <c r="U19" s="4" t="str">
        <f t="shared" si="1"/>
        <v>NOT AN ADD-ON</v>
      </c>
      <c r="V19" s="4" t="str">
        <f t="shared" si="2"/>
        <v>MANAGED SERVICE PROVIDERSMSPAUTHORIZEDNOT AN ADD-ON</v>
      </c>
    </row>
    <row r="20" spans="1:22" ht="15" thickBot="1">
      <c r="A20" s="10" t="s">
        <v>21</v>
      </c>
      <c r="B20" s="10" t="s">
        <v>22</v>
      </c>
      <c r="C20" s="10" t="s">
        <v>230</v>
      </c>
      <c r="D20" s="10" t="s">
        <v>141</v>
      </c>
      <c r="E20" s="10" t="s">
        <v>142</v>
      </c>
      <c r="F20" s="10" t="s">
        <v>143</v>
      </c>
      <c r="G20" s="11">
        <v>2140</v>
      </c>
      <c r="H20" s="163" t="s">
        <v>287</v>
      </c>
      <c r="I20" s="166" t="s">
        <v>288</v>
      </c>
      <c r="J20" s="163" t="s">
        <v>285</v>
      </c>
      <c r="K20" s="10" t="s">
        <v>30</v>
      </c>
      <c r="L20" s="10">
        <v>5</v>
      </c>
      <c r="M20" s="10">
        <f t="shared" si="0"/>
        <v>1.67</v>
      </c>
      <c r="N20" s="10">
        <v>15</v>
      </c>
      <c r="O20" s="12">
        <v>5</v>
      </c>
      <c r="P20" s="11">
        <v>3570</v>
      </c>
      <c r="Q20" s="10" t="s">
        <v>36</v>
      </c>
      <c r="R20" s="4" t="s">
        <v>234</v>
      </c>
      <c r="S20" s="4" t="s">
        <v>235</v>
      </c>
      <c r="T20" s="4" t="s">
        <v>19</v>
      </c>
      <c r="U20" s="4" t="str">
        <f t="shared" si="1"/>
        <v>NOT AN ADD-ON</v>
      </c>
      <c r="V20" s="4" t="str">
        <f t="shared" si="2"/>
        <v>MANAGED SERVICE PROVIDERSMSPAUTHORIZEDNOT AN ADD-ON</v>
      </c>
    </row>
    <row r="21" spans="1:22" ht="15" thickBot="1">
      <c r="A21" s="10" t="s">
        <v>21</v>
      </c>
      <c r="B21" s="10" t="s">
        <v>22</v>
      </c>
      <c r="C21" s="10" t="s">
        <v>1015</v>
      </c>
      <c r="D21" s="10" t="s">
        <v>141</v>
      </c>
      <c r="E21" s="10" t="s">
        <v>142</v>
      </c>
      <c r="F21" s="10" t="s">
        <v>143</v>
      </c>
      <c r="G21" s="11">
        <v>712</v>
      </c>
      <c r="H21" s="163" t="s">
        <v>1040</v>
      </c>
      <c r="I21" s="158" t="s">
        <v>1041</v>
      </c>
      <c r="J21" s="163" t="s">
        <v>1040</v>
      </c>
      <c r="K21" s="10" t="s">
        <v>30</v>
      </c>
      <c r="L21" s="10">
        <v>0</v>
      </c>
      <c r="M21" s="10">
        <f t="shared" si="0"/>
        <v>0</v>
      </c>
      <c r="N21" s="10">
        <v>5</v>
      </c>
      <c r="O21" s="12">
        <v>1.6666666666666667</v>
      </c>
      <c r="P21" s="11">
        <v>712</v>
      </c>
      <c r="Q21" s="10" t="s">
        <v>33</v>
      </c>
      <c r="R21" s="4" t="s">
        <v>1290</v>
      </c>
      <c r="S21" s="4" t="s">
        <v>507</v>
      </c>
      <c r="T21" s="4" t="s">
        <v>19</v>
      </c>
      <c r="U21" s="4" t="str">
        <f t="shared" si="1"/>
        <v>NOT AN ADD-ON</v>
      </c>
      <c r="V21" s="4" t="str">
        <f t="shared" si="2"/>
        <v>LINEARADD-ONAUTHORIZEDNOT AN ADD-ON</v>
      </c>
    </row>
    <row r="22" spans="1:22" ht="29.25" customHeight="1" thickBot="1">
      <c r="A22" s="10" t="s">
        <v>21</v>
      </c>
      <c r="B22" s="10" t="s">
        <v>22</v>
      </c>
      <c r="C22" s="10" t="s">
        <v>1015</v>
      </c>
      <c r="D22" s="10" t="s">
        <v>141</v>
      </c>
      <c r="E22" s="10" t="s">
        <v>142</v>
      </c>
      <c r="F22" s="10" t="s">
        <v>143</v>
      </c>
      <c r="G22" s="11">
        <v>427</v>
      </c>
      <c r="H22" s="163" t="s">
        <v>1042</v>
      </c>
      <c r="I22" s="158" t="s">
        <v>1043</v>
      </c>
      <c r="J22" s="163" t="s">
        <v>1040</v>
      </c>
      <c r="K22" s="10" t="s">
        <v>30</v>
      </c>
      <c r="L22" s="10">
        <v>0</v>
      </c>
      <c r="M22" s="10">
        <f t="shared" si="0"/>
        <v>0</v>
      </c>
      <c r="N22" s="10">
        <v>5</v>
      </c>
      <c r="O22" s="12">
        <v>1.6666666666666667</v>
      </c>
      <c r="P22" s="11">
        <v>712</v>
      </c>
      <c r="Q22" s="10" t="s">
        <v>36</v>
      </c>
      <c r="R22" s="4" t="s">
        <v>1290</v>
      </c>
      <c r="S22" s="4" t="s">
        <v>507</v>
      </c>
      <c r="T22" s="4" t="s">
        <v>19</v>
      </c>
      <c r="U22" s="4" t="str">
        <f t="shared" si="1"/>
        <v>NOT AN ADD-ON</v>
      </c>
      <c r="V22" s="4" t="str">
        <f t="shared" si="2"/>
        <v>LINEARADD-ONAUTHORIZEDNOT AN ADD-ON</v>
      </c>
    </row>
    <row r="23" spans="1:22" ht="15" thickBot="1">
      <c r="A23" s="10" t="s">
        <v>21</v>
      </c>
      <c r="B23" s="10" t="s">
        <v>22</v>
      </c>
      <c r="C23" s="10" t="s">
        <v>204</v>
      </c>
      <c r="D23" s="10" t="s">
        <v>141</v>
      </c>
      <c r="E23" s="10" t="s">
        <v>142</v>
      </c>
      <c r="F23" s="10" t="s">
        <v>143</v>
      </c>
      <c r="G23" s="11">
        <v>1070</v>
      </c>
      <c r="H23" s="163" t="s">
        <v>257</v>
      </c>
      <c r="I23" s="166" t="s">
        <v>258</v>
      </c>
      <c r="J23" s="163" t="s">
        <v>257</v>
      </c>
      <c r="K23" s="10" t="s">
        <v>30</v>
      </c>
      <c r="L23" s="10">
        <v>5</v>
      </c>
      <c r="M23" s="10">
        <f t="shared" si="0"/>
        <v>1.67</v>
      </c>
      <c r="N23" s="10">
        <v>15</v>
      </c>
      <c r="O23" s="12">
        <v>5</v>
      </c>
      <c r="P23" s="11">
        <v>1070</v>
      </c>
      <c r="Q23" s="10" t="s">
        <v>33</v>
      </c>
      <c r="R23" s="4" t="s">
        <v>208</v>
      </c>
      <c r="S23" s="4" t="s">
        <v>507</v>
      </c>
      <c r="T23" s="4" t="s">
        <v>19</v>
      </c>
      <c r="U23" s="4" t="str">
        <f t="shared" si="1"/>
        <v>NOT AN ADD-ON</v>
      </c>
      <c r="V23" s="4" t="str">
        <f t="shared" si="2"/>
        <v>INTERNAL SERVICE PROVIDERSADD-ONAUTHORIZEDNOT AN ADD-ON</v>
      </c>
    </row>
    <row r="24" spans="1:22" ht="15" thickBot="1">
      <c r="A24" s="10" t="s">
        <v>21</v>
      </c>
      <c r="B24" s="10" t="s">
        <v>22</v>
      </c>
      <c r="C24" s="10" t="s">
        <v>204</v>
      </c>
      <c r="D24" s="10" t="s">
        <v>141</v>
      </c>
      <c r="E24" s="10" t="s">
        <v>142</v>
      </c>
      <c r="F24" s="10" t="s">
        <v>143</v>
      </c>
      <c r="G24" s="11">
        <v>643</v>
      </c>
      <c r="H24" s="163" t="s">
        <v>259</v>
      </c>
      <c r="I24" s="166" t="s">
        <v>260</v>
      </c>
      <c r="J24" s="163" t="s">
        <v>257</v>
      </c>
      <c r="K24" s="10" t="s">
        <v>30</v>
      </c>
      <c r="L24" s="10">
        <v>5</v>
      </c>
      <c r="M24" s="10">
        <f t="shared" si="0"/>
        <v>1.67</v>
      </c>
      <c r="N24" s="10">
        <v>15</v>
      </c>
      <c r="O24" s="12">
        <v>5</v>
      </c>
      <c r="P24" s="11">
        <v>1070</v>
      </c>
      <c r="Q24" s="10" t="s">
        <v>36</v>
      </c>
      <c r="R24" s="4" t="s">
        <v>208</v>
      </c>
      <c r="S24" s="4" t="s">
        <v>507</v>
      </c>
      <c r="T24" s="4" t="s">
        <v>19</v>
      </c>
      <c r="U24" s="4" t="str">
        <f t="shared" si="1"/>
        <v>NOT AN ADD-ON</v>
      </c>
      <c r="V24" s="4" t="str">
        <f t="shared" si="2"/>
        <v>INTERNAL SERVICE PROVIDERSADD-ONAUTHORIZEDNOT AN ADD-ON</v>
      </c>
    </row>
    <row r="25" spans="1:22" ht="15" thickBot="1">
      <c r="A25" s="10" t="s">
        <v>21</v>
      </c>
      <c r="B25" s="10" t="s">
        <v>22</v>
      </c>
      <c r="C25" s="10" t="s">
        <v>230</v>
      </c>
      <c r="D25" s="10" t="s">
        <v>141</v>
      </c>
      <c r="E25" s="10" t="s">
        <v>142</v>
      </c>
      <c r="F25" s="10" t="s">
        <v>143</v>
      </c>
      <c r="G25" s="11">
        <v>1780</v>
      </c>
      <c r="H25" s="163" t="s">
        <v>297</v>
      </c>
      <c r="I25" s="166" t="s">
        <v>298</v>
      </c>
      <c r="J25" s="163" t="s">
        <v>297</v>
      </c>
      <c r="K25" s="10" t="s">
        <v>30</v>
      </c>
      <c r="L25" s="10">
        <v>0</v>
      </c>
      <c r="M25" s="10">
        <f t="shared" si="0"/>
        <v>0</v>
      </c>
      <c r="N25" s="10">
        <v>5</v>
      </c>
      <c r="O25" s="12">
        <v>1.6666666666666667</v>
      </c>
      <c r="P25" s="11">
        <v>1780</v>
      </c>
      <c r="Q25" s="10" t="s">
        <v>33</v>
      </c>
      <c r="R25" s="4" t="s">
        <v>234</v>
      </c>
      <c r="S25" s="4" t="s">
        <v>235</v>
      </c>
      <c r="T25" s="4" t="s">
        <v>672</v>
      </c>
      <c r="U25" s="4" t="str">
        <f t="shared" si="1"/>
        <v>NOT AN ADD-ON</v>
      </c>
      <c r="V25" s="4" t="str">
        <f t="shared" si="2"/>
        <v>MANAGED SERVICE PROVIDERSMSPLIMITEDNOT AN ADD-ON</v>
      </c>
    </row>
    <row r="26" spans="1:22" ht="15" thickBot="1">
      <c r="A26" s="10" t="s">
        <v>21</v>
      </c>
      <c r="B26" s="10" t="s">
        <v>22</v>
      </c>
      <c r="C26" s="10" t="s">
        <v>230</v>
      </c>
      <c r="D26" s="10" t="s">
        <v>141</v>
      </c>
      <c r="E26" s="10" t="s">
        <v>142</v>
      </c>
      <c r="F26" s="10" t="s">
        <v>143</v>
      </c>
      <c r="G26" s="11">
        <v>1070</v>
      </c>
      <c r="H26" s="163" t="s">
        <v>299</v>
      </c>
      <c r="I26" s="166" t="s">
        <v>300</v>
      </c>
      <c r="J26" s="163" t="s">
        <v>297</v>
      </c>
      <c r="K26" s="10" t="s">
        <v>30</v>
      </c>
      <c r="L26" s="10">
        <v>0</v>
      </c>
      <c r="M26" s="10">
        <f t="shared" si="0"/>
        <v>0</v>
      </c>
      <c r="N26" s="10">
        <v>5</v>
      </c>
      <c r="O26" s="12">
        <v>1.6666666666666667</v>
      </c>
      <c r="P26" s="11">
        <v>1780</v>
      </c>
      <c r="Q26" s="10" t="s">
        <v>36</v>
      </c>
      <c r="R26" s="4" t="s">
        <v>234</v>
      </c>
      <c r="S26" s="4" t="s">
        <v>235</v>
      </c>
      <c r="T26" s="4" t="s">
        <v>672</v>
      </c>
      <c r="U26" s="4" t="str">
        <f t="shared" si="1"/>
        <v>NOT AN ADD-ON</v>
      </c>
      <c r="V26" s="4" t="str">
        <f t="shared" si="2"/>
        <v>MANAGED SERVICE PROVIDERSMSPLIMITEDNOT AN ADD-ON</v>
      </c>
    </row>
    <row r="27" spans="1:22" ht="15" thickBot="1">
      <c r="A27" s="10" t="s">
        <v>21</v>
      </c>
      <c r="B27" s="10" t="s">
        <v>22</v>
      </c>
      <c r="C27" s="10" t="s">
        <v>94</v>
      </c>
      <c r="D27" s="10" t="s">
        <v>95</v>
      </c>
      <c r="E27" s="10" t="s">
        <v>96</v>
      </c>
      <c r="F27" s="10" t="s">
        <v>97</v>
      </c>
      <c r="G27" s="11">
        <v>8980</v>
      </c>
      <c r="H27" s="163" t="s">
        <v>130</v>
      </c>
      <c r="I27" s="158" t="s">
        <v>131</v>
      </c>
      <c r="J27" s="163" t="s">
        <v>130</v>
      </c>
      <c r="K27" s="10" t="s">
        <v>101</v>
      </c>
      <c r="L27" s="10" t="s">
        <v>102</v>
      </c>
      <c r="M27" s="10" t="e">
        <f t="shared" si="0"/>
        <v>#VALUE!</v>
      </c>
      <c r="N27" s="10">
        <v>15</v>
      </c>
      <c r="O27" s="12">
        <v>5</v>
      </c>
      <c r="P27" s="11">
        <v>8980</v>
      </c>
      <c r="Q27" s="10" t="s">
        <v>33</v>
      </c>
      <c r="R27" s="4" t="s">
        <v>1294</v>
      </c>
      <c r="S27" s="4" t="s">
        <v>1379</v>
      </c>
      <c r="T27" s="4" t="s">
        <v>1380</v>
      </c>
      <c r="U27" s="4" t="str">
        <f t="shared" si="1"/>
        <v>NOT AN ADD-ON</v>
      </c>
      <c r="V27" s="4" t="str">
        <f t="shared" si="2"/>
        <v>ASSET CONFIGURATION MANAGERACMASSETNOT AN ADD-ON</v>
      </c>
    </row>
    <row r="28" spans="1:22" ht="15" thickBot="1">
      <c r="A28" s="10" t="s">
        <v>21</v>
      </c>
      <c r="B28" s="10" t="s">
        <v>22</v>
      </c>
      <c r="C28" s="10" t="s">
        <v>94</v>
      </c>
      <c r="D28" s="10" t="s">
        <v>95</v>
      </c>
      <c r="E28" s="10" t="s">
        <v>96</v>
      </c>
      <c r="F28" s="10" t="s">
        <v>97</v>
      </c>
      <c r="G28" s="11">
        <v>5390</v>
      </c>
      <c r="H28" s="163" t="s">
        <v>132</v>
      </c>
      <c r="I28" s="158" t="s">
        <v>133</v>
      </c>
      <c r="J28" s="163" t="s">
        <v>130</v>
      </c>
      <c r="K28" s="10" t="s">
        <v>101</v>
      </c>
      <c r="L28" s="10" t="s">
        <v>102</v>
      </c>
      <c r="M28" s="10" t="e">
        <f t="shared" si="0"/>
        <v>#VALUE!</v>
      </c>
      <c r="N28" s="10">
        <v>15</v>
      </c>
      <c r="O28" s="12">
        <v>5</v>
      </c>
      <c r="P28" s="11">
        <v>8980</v>
      </c>
      <c r="Q28" s="10" t="s">
        <v>36</v>
      </c>
      <c r="R28" s="4" t="s">
        <v>1294</v>
      </c>
      <c r="S28" s="4" t="s">
        <v>1379</v>
      </c>
      <c r="T28" s="4" t="s">
        <v>1380</v>
      </c>
      <c r="U28" s="4" t="str">
        <f t="shared" si="1"/>
        <v>NOT AN ADD-ON</v>
      </c>
      <c r="V28" s="4" t="str">
        <f t="shared" si="2"/>
        <v>ASSET CONFIGURATION MANAGERACMASSETNOT AN ADD-ON</v>
      </c>
    </row>
    <row r="29" spans="1:22" ht="15" thickBot="1">
      <c r="A29" s="10" t="s">
        <v>21</v>
      </c>
      <c r="B29" s="10" t="s">
        <v>22</v>
      </c>
      <c r="C29" s="10" t="s">
        <v>94</v>
      </c>
      <c r="D29" s="10" t="s">
        <v>95</v>
      </c>
      <c r="E29" s="10" t="s">
        <v>96</v>
      </c>
      <c r="F29" s="10" t="s">
        <v>97</v>
      </c>
      <c r="G29" s="11">
        <v>5740</v>
      </c>
      <c r="H29" s="163" t="s">
        <v>136</v>
      </c>
      <c r="I29" s="158" t="s">
        <v>137</v>
      </c>
      <c r="J29" s="163" t="s">
        <v>136</v>
      </c>
      <c r="K29" s="10" t="s">
        <v>30</v>
      </c>
      <c r="L29" s="10">
        <v>15</v>
      </c>
      <c r="M29" s="10">
        <f t="shared" si="0"/>
        <v>5</v>
      </c>
      <c r="N29" s="10">
        <v>15</v>
      </c>
      <c r="O29" s="12">
        <v>5</v>
      </c>
      <c r="P29" s="11">
        <v>5740</v>
      </c>
      <c r="Q29" s="10" t="s">
        <v>33</v>
      </c>
      <c r="R29" s="4" t="s">
        <v>1294</v>
      </c>
      <c r="S29" s="4" t="s">
        <v>1379</v>
      </c>
      <c r="T29" s="4" t="s">
        <v>19</v>
      </c>
      <c r="U29" s="4" t="str">
        <f t="shared" si="1"/>
        <v>NOT AN ADD-ON</v>
      </c>
      <c r="V29" s="4" t="str">
        <f t="shared" si="2"/>
        <v>ASSET CONFIGURATION MANAGERACMAUTHORIZEDNOT AN ADD-ON</v>
      </c>
    </row>
    <row r="30" spans="1:22" ht="15" thickBot="1">
      <c r="A30" s="10" t="s">
        <v>21</v>
      </c>
      <c r="B30" s="10" t="s">
        <v>22</v>
      </c>
      <c r="C30" s="10" t="s">
        <v>94</v>
      </c>
      <c r="D30" s="10" t="s">
        <v>95</v>
      </c>
      <c r="E30" s="10" t="s">
        <v>96</v>
      </c>
      <c r="F30" s="10" t="s">
        <v>97</v>
      </c>
      <c r="G30" s="11">
        <v>3440</v>
      </c>
      <c r="H30" s="163" t="s">
        <v>138</v>
      </c>
      <c r="I30" s="158" t="s">
        <v>139</v>
      </c>
      <c r="J30" s="163" t="s">
        <v>136</v>
      </c>
      <c r="K30" s="10" t="s">
        <v>30</v>
      </c>
      <c r="L30" s="10">
        <v>15</v>
      </c>
      <c r="M30" s="10">
        <f t="shared" si="0"/>
        <v>5</v>
      </c>
      <c r="N30" s="10">
        <v>15</v>
      </c>
      <c r="O30" s="12">
        <v>5</v>
      </c>
      <c r="P30" s="11">
        <v>5740</v>
      </c>
      <c r="Q30" s="10" t="s">
        <v>36</v>
      </c>
      <c r="R30" s="4" t="s">
        <v>1294</v>
      </c>
      <c r="S30" s="4" t="s">
        <v>1379</v>
      </c>
      <c r="T30" s="4" t="s">
        <v>19</v>
      </c>
      <c r="U30" s="4" t="str">
        <f t="shared" si="1"/>
        <v>NOT AN ADD-ON</v>
      </c>
      <c r="V30" s="4" t="str">
        <f t="shared" si="2"/>
        <v>ASSET CONFIGURATION MANAGERACMAUTHORIZEDNOT AN ADD-ON</v>
      </c>
    </row>
    <row r="31" spans="1:22" ht="15" thickBot="1">
      <c r="A31" s="10" t="s">
        <v>21</v>
      </c>
      <c r="B31" s="10" t="s">
        <v>22</v>
      </c>
      <c r="C31" s="10" t="s">
        <v>417</v>
      </c>
      <c r="D31" s="10" t="s">
        <v>418</v>
      </c>
      <c r="E31" s="10" t="s">
        <v>419</v>
      </c>
      <c r="F31" s="10" t="s">
        <v>420</v>
      </c>
      <c r="G31" s="11">
        <v>161000</v>
      </c>
      <c r="H31" s="163" t="s">
        <v>423</v>
      </c>
      <c r="I31" s="158" t="s">
        <v>425</v>
      </c>
      <c r="J31" s="163" t="s">
        <v>423</v>
      </c>
      <c r="K31" s="10" t="s">
        <v>424</v>
      </c>
      <c r="L31" s="10">
        <v>80</v>
      </c>
      <c r="M31" s="10">
        <f t="shared" si="0"/>
        <v>80</v>
      </c>
      <c r="N31" s="10">
        <v>80</v>
      </c>
      <c r="O31" s="12">
        <v>1</v>
      </c>
      <c r="P31" s="11">
        <v>161000</v>
      </c>
      <c r="Q31" s="10" t="s">
        <v>33</v>
      </c>
      <c r="R31" s="4" t="s">
        <v>1296</v>
      </c>
      <c r="S31" s="4" t="s">
        <v>1295</v>
      </c>
      <c r="T31" s="4" t="s">
        <v>1295</v>
      </c>
      <c r="U31" s="4" t="str">
        <f t="shared" si="1"/>
        <v>NOT AN ADD-ON</v>
      </c>
      <c r="V31" s="4" t="str">
        <f t="shared" si="2"/>
        <v>ADAPTER FOR ORACLEADAPTERADAPTERNOT AN ADD-ON</v>
      </c>
    </row>
    <row r="32" spans="1:22" ht="15" thickBot="1">
      <c r="A32" s="10" t="s">
        <v>21</v>
      </c>
      <c r="B32" s="10" t="s">
        <v>22</v>
      </c>
      <c r="C32" s="10" t="s">
        <v>417</v>
      </c>
      <c r="D32" s="10" t="s">
        <v>418</v>
      </c>
      <c r="E32" s="10" t="s">
        <v>419</v>
      </c>
      <c r="F32" s="10" t="s">
        <v>420</v>
      </c>
      <c r="G32" s="11">
        <v>96300</v>
      </c>
      <c r="H32" s="163" t="s">
        <v>426</v>
      </c>
      <c r="I32" s="166" t="s">
        <v>427</v>
      </c>
      <c r="J32" s="163" t="s">
        <v>423</v>
      </c>
      <c r="K32" s="10" t="s">
        <v>424</v>
      </c>
      <c r="L32" s="10">
        <v>80</v>
      </c>
      <c r="M32" s="10">
        <f t="shared" si="0"/>
        <v>80</v>
      </c>
      <c r="N32" s="10">
        <v>80</v>
      </c>
      <c r="O32" s="12">
        <v>1</v>
      </c>
      <c r="P32" s="11">
        <v>161000</v>
      </c>
      <c r="Q32" s="10" t="s">
        <v>36</v>
      </c>
      <c r="R32" s="4" t="s">
        <v>1296</v>
      </c>
      <c r="S32" s="4" t="s">
        <v>1295</v>
      </c>
      <c r="T32" s="4" t="s">
        <v>1295</v>
      </c>
      <c r="U32" s="4" t="str">
        <f t="shared" si="1"/>
        <v>NOT AN ADD-ON</v>
      </c>
      <c r="V32" s="4" t="str">
        <f t="shared" si="2"/>
        <v>ADAPTER FOR ORACLEADAPTERADAPTERNOT AN ADD-ON</v>
      </c>
    </row>
    <row r="33" spans="1:22" ht="15" thickBot="1">
      <c r="A33" s="10" t="s">
        <v>21</v>
      </c>
      <c r="B33" s="10" t="s">
        <v>22</v>
      </c>
      <c r="C33" s="10" t="s">
        <v>435</v>
      </c>
      <c r="D33" s="10" t="s">
        <v>418</v>
      </c>
      <c r="E33" s="10" t="s">
        <v>419</v>
      </c>
      <c r="F33" s="10" t="s">
        <v>420</v>
      </c>
      <c r="G33" s="11">
        <v>161000</v>
      </c>
      <c r="H33" s="163" t="s">
        <v>438</v>
      </c>
      <c r="I33" s="158" t="s">
        <v>439</v>
      </c>
      <c r="J33" s="163" t="s">
        <v>438</v>
      </c>
      <c r="K33" s="10" t="s">
        <v>424</v>
      </c>
      <c r="L33" s="10">
        <v>80</v>
      </c>
      <c r="M33" s="10">
        <f t="shared" si="0"/>
        <v>80</v>
      </c>
      <c r="N33" s="10">
        <v>80</v>
      </c>
      <c r="O33" s="12">
        <v>1</v>
      </c>
      <c r="P33" s="11">
        <v>161000</v>
      </c>
      <c r="Q33" s="10" t="s">
        <v>33</v>
      </c>
      <c r="R33" s="4" t="s">
        <v>1297</v>
      </c>
      <c r="S33" s="4" t="s">
        <v>1295</v>
      </c>
      <c r="T33" s="4" t="s">
        <v>1295</v>
      </c>
      <c r="U33" s="4" t="str">
        <f t="shared" si="1"/>
        <v>NOT AN ADD-ON</v>
      </c>
      <c r="V33" s="4" t="str">
        <f t="shared" si="2"/>
        <v>ADAPTER FOR SAPADAPTERADAPTERNOT AN ADD-ON</v>
      </c>
    </row>
    <row r="34" spans="1:22" ht="15" thickBot="1">
      <c r="A34" s="10" t="s">
        <v>21</v>
      </c>
      <c r="B34" s="10" t="s">
        <v>22</v>
      </c>
      <c r="C34" s="10" t="s">
        <v>435</v>
      </c>
      <c r="D34" s="10" t="s">
        <v>418</v>
      </c>
      <c r="E34" s="10" t="s">
        <v>419</v>
      </c>
      <c r="F34" s="10" t="s">
        <v>420</v>
      </c>
      <c r="G34" s="11">
        <v>96300</v>
      </c>
      <c r="H34" s="163" t="s">
        <v>440</v>
      </c>
      <c r="I34" s="158" t="s">
        <v>441</v>
      </c>
      <c r="J34" s="163" t="s">
        <v>438</v>
      </c>
      <c r="K34" s="10" t="s">
        <v>424</v>
      </c>
      <c r="L34" s="10">
        <v>80</v>
      </c>
      <c r="M34" s="10">
        <f t="shared" si="0"/>
        <v>80</v>
      </c>
      <c r="N34" s="10">
        <v>80</v>
      </c>
      <c r="O34" s="12">
        <v>1</v>
      </c>
      <c r="P34" s="11">
        <v>161000</v>
      </c>
      <c r="Q34" s="10" t="s">
        <v>36</v>
      </c>
      <c r="R34" s="4" t="s">
        <v>1297</v>
      </c>
      <c r="S34" s="4" t="s">
        <v>1295</v>
      </c>
      <c r="T34" s="4" t="s">
        <v>1295</v>
      </c>
      <c r="U34" s="4" t="str">
        <f t="shared" si="1"/>
        <v>NOT AN ADD-ON</v>
      </c>
      <c r="V34" s="4" t="str">
        <f t="shared" si="2"/>
        <v>ADAPTER FOR SAPADAPTERADAPTERNOT AN ADD-ON</v>
      </c>
    </row>
    <row r="35" spans="1:22" ht="15" thickBot="1">
      <c r="A35" s="10" t="s">
        <v>21</v>
      </c>
      <c r="B35" s="10" t="s">
        <v>22</v>
      </c>
      <c r="C35" s="10" t="s">
        <v>385</v>
      </c>
      <c r="D35" s="10" t="s">
        <v>386</v>
      </c>
      <c r="E35" s="10" t="s">
        <v>387</v>
      </c>
      <c r="F35" s="10" t="s">
        <v>388</v>
      </c>
      <c r="G35" s="11">
        <v>584</v>
      </c>
      <c r="H35" s="163" t="s">
        <v>413</v>
      </c>
      <c r="I35" s="158" t="s">
        <v>414</v>
      </c>
      <c r="J35" s="163" t="s">
        <v>413</v>
      </c>
      <c r="K35" s="10" t="s">
        <v>30</v>
      </c>
      <c r="L35" s="10">
        <v>0</v>
      </c>
      <c r="M35" s="10">
        <f t="shared" ref="M35:M66" si="3">ROUND(IF(K35="Authorized User",L35/3,L35),2)</f>
        <v>0</v>
      </c>
      <c r="N35" s="15">
        <v>5</v>
      </c>
      <c r="O35" s="16">
        <v>1.67</v>
      </c>
      <c r="P35" s="11">
        <v>584</v>
      </c>
      <c r="Q35" s="10" t="s">
        <v>33</v>
      </c>
      <c r="R35" s="4" t="s">
        <v>1288</v>
      </c>
      <c r="S35" s="4" t="s">
        <v>507</v>
      </c>
      <c r="T35" s="4" t="s">
        <v>19</v>
      </c>
      <c r="U35" s="4" t="str">
        <f t="shared" ref="U35:U52" si="4">IF(ISNUMBER(SEARCH("ADD-ON",$I35)),"ADD-ON","NOT AN ADD-ON")</f>
        <v>NOT AN ADD-ON</v>
      </c>
      <c r="V35" s="4" t="str">
        <f t="shared" si="2"/>
        <v>CALIBRATIONADD-ONAUTHORIZEDNOT AN ADD-ON</v>
      </c>
    </row>
    <row r="36" spans="1:22" ht="15" thickBot="1">
      <c r="A36" s="10" t="s">
        <v>21</v>
      </c>
      <c r="B36" s="10" t="s">
        <v>22</v>
      </c>
      <c r="C36" s="10" t="s">
        <v>385</v>
      </c>
      <c r="D36" s="10" t="s">
        <v>386</v>
      </c>
      <c r="E36" s="10" t="s">
        <v>387</v>
      </c>
      <c r="F36" s="10" t="s">
        <v>388</v>
      </c>
      <c r="G36" s="11">
        <v>350</v>
      </c>
      <c r="H36" s="163" t="s">
        <v>415</v>
      </c>
      <c r="I36" s="158" t="s">
        <v>416</v>
      </c>
      <c r="J36" s="163" t="s">
        <v>413</v>
      </c>
      <c r="K36" s="10" t="s">
        <v>30</v>
      </c>
      <c r="L36" s="10">
        <v>0</v>
      </c>
      <c r="M36" s="10">
        <f t="shared" si="3"/>
        <v>0</v>
      </c>
      <c r="N36" s="15">
        <v>5</v>
      </c>
      <c r="O36" s="16">
        <v>1.67</v>
      </c>
      <c r="P36" s="11">
        <v>584</v>
      </c>
      <c r="Q36" s="10" t="s">
        <v>36</v>
      </c>
      <c r="R36" s="4" t="s">
        <v>1288</v>
      </c>
      <c r="S36" s="4" t="s">
        <v>507</v>
      </c>
      <c r="T36" s="4" t="s">
        <v>19</v>
      </c>
      <c r="U36" s="4" t="str">
        <f t="shared" si="4"/>
        <v>NOT AN ADD-ON</v>
      </c>
      <c r="V36" s="4" t="str">
        <f t="shared" si="2"/>
        <v>CALIBRATIONADD-ONAUTHORIZEDNOT AN ADD-ON</v>
      </c>
    </row>
    <row r="37" spans="1:22" ht="15" thickBot="1">
      <c r="A37" s="10" t="s">
        <v>21</v>
      </c>
      <c r="B37" s="10" t="s">
        <v>22</v>
      </c>
      <c r="C37" s="10" t="s">
        <v>301</v>
      </c>
      <c r="D37" s="10" t="s">
        <v>141</v>
      </c>
      <c r="E37" s="10" t="s">
        <v>142</v>
      </c>
      <c r="F37" s="10" t="s">
        <v>143</v>
      </c>
      <c r="G37" s="11">
        <v>2020</v>
      </c>
      <c r="H37" s="163" t="s">
        <v>304</v>
      </c>
      <c r="I37" s="158" t="s">
        <v>309</v>
      </c>
      <c r="J37" s="163" t="s">
        <v>304</v>
      </c>
      <c r="K37" s="10" t="s">
        <v>30</v>
      </c>
      <c r="L37" s="10">
        <v>0</v>
      </c>
      <c r="M37" s="10">
        <f t="shared" si="3"/>
        <v>0</v>
      </c>
      <c r="N37" s="10">
        <v>10</v>
      </c>
      <c r="O37" s="12">
        <v>3.3333333333333335</v>
      </c>
      <c r="P37" s="11">
        <v>2020</v>
      </c>
      <c r="Q37" s="10" t="s">
        <v>33</v>
      </c>
      <c r="R37" s="4" t="s">
        <v>1285</v>
      </c>
      <c r="S37" s="4" t="s">
        <v>507</v>
      </c>
      <c r="T37" s="4" t="s">
        <v>19</v>
      </c>
      <c r="U37" s="4" t="str">
        <f t="shared" si="4"/>
        <v>NOT AN ADD-ON</v>
      </c>
      <c r="V37" s="4" t="str">
        <f t="shared" si="2"/>
        <v>SCHEDULERADD-ONAUTHORIZEDNOT AN ADD-ON</v>
      </c>
    </row>
    <row r="38" spans="1:22" ht="15" thickBot="1">
      <c r="A38" s="10" t="s">
        <v>21</v>
      </c>
      <c r="B38" s="10" t="s">
        <v>22</v>
      </c>
      <c r="C38" s="10" t="s">
        <v>301</v>
      </c>
      <c r="D38" s="10" t="s">
        <v>141</v>
      </c>
      <c r="E38" s="10" t="s">
        <v>142</v>
      </c>
      <c r="F38" s="10" t="s">
        <v>143</v>
      </c>
      <c r="G38" s="11">
        <v>1190</v>
      </c>
      <c r="H38" s="163" t="s">
        <v>310</v>
      </c>
      <c r="I38" s="158" t="s">
        <v>311</v>
      </c>
      <c r="J38" s="163" t="s">
        <v>304</v>
      </c>
      <c r="K38" s="10" t="s">
        <v>30</v>
      </c>
      <c r="L38" s="10">
        <v>0</v>
      </c>
      <c r="M38" s="10">
        <f t="shared" si="3"/>
        <v>0</v>
      </c>
      <c r="N38" s="10">
        <v>10</v>
      </c>
      <c r="O38" s="12">
        <v>3.3333333333333335</v>
      </c>
      <c r="P38" s="11">
        <v>2020</v>
      </c>
      <c r="Q38" s="10" t="s">
        <v>36</v>
      </c>
      <c r="R38" s="4" t="s">
        <v>1285</v>
      </c>
      <c r="S38" s="4" t="s">
        <v>507</v>
      </c>
      <c r="T38" s="4" t="s">
        <v>19</v>
      </c>
      <c r="U38" s="4" t="str">
        <f t="shared" si="4"/>
        <v>NOT AN ADD-ON</v>
      </c>
      <c r="V38" s="4" t="str">
        <f t="shared" si="2"/>
        <v>SCHEDULERADD-ONAUTHORIZEDNOT AN ADD-ON</v>
      </c>
    </row>
    <row r="39" spans="1:22" ht="15" thickBot="1">
      <c r="A39" s="10" t="s">
        <v>21</v>
      </c>
      <c r="B39" s="10" t="s">
        <v>22</v>
      </c>
      <c r="C39" s="10" t="s">
        <v>301</v>
      </c>
      <c r="D39" s="10" t="s">
        <v>141</v>
      </c>
      <c r="E39" s="10" t="s">
        <v>142</v>
      </c>
      <c r="F39" s="10" t="s">
        <v>143</v>
      </c>
      <c r="G39" s="11">
        <v>2020</v>
      </c>
      <c r="H39" s="163" t="s">
        <v>330</v>
      </c>
      <c r="I39" s="158" t="s">
        <v>335</v>
      </c>
      <c r="J39" s="163" t="s">
        <v>330</v>
      </c>
      <c r="K39" s="10" t="s">
        <v>30</v>
      </c>
      <c r="L39" s="10">
        <v>0</v>
      </c>
      <c r="M39" s="10">
        <f t="shared" si="3"/>
        <v>0</v>
      </c>
      <c r="N39" s="10">
        <v>10</v>
      </c>
      <c r="O39" s="12">
        <v>3.3333333333333335</v>
      </c>
      <c r="P39" s="11">
        <v>2020</v>
      </c>
      <c r="Q39" s="10" t="s">
        <v>33</v>
      </c>
      <c r="R39" s="4" t="s">
        <v>1285</v>
      </c>
      <c r="S39" s="4" t="s">
        <v>507</v>
      </c>
      <c r="T39" s="4" t="s">
        <v>19</v>
      </c>
      <c r="U39" s="4" t="str">
        <f t="shared" si="4"/>
        <v>NOT AN ADD-ON</v>
      </c>
      <c r="V39" s="4" t="str">
        <f t="shared" si="2"/>
        <v>SCHEDULERADD-ONAUTHORIZEDNOT AN ADD-ON</v>
      </c>
    </row>
    <row r="40" spans="1:22" ht="15" thickBot="1">
      <c r="A40" s="10" t="s">
        <v>21</v>
      </c>
      <c r="B40" s="10" t="s">
        <v>22</v>
      </c>
      <c r="C40" s="10" t="s">
        <v>301</v>
      </c>
      <c r="D40" s="10" t="s">
        <v>141</v>
      </c>
      <c r="E40" s="10" t="s">
        <v>142</v>
      </c>
      <c r="F40" s="10" t="s">
        <v>143</v>
      </c>
      <c r="G40" s="11">
        <v>1190</v>
      </c>
      <c r="H40" s="163" t="s">
        <v>336</v>
      </c>
      <c r="I40" s="158" t="s">
        <v>337</v>
      </c>
      <c r="J40" s="163" t="s">
        <v>330</v>
      </c>
      <c r="K40" s="10" t="s">
        <v>30</v>
      </c>
      <c r="L40" s="10">
        <v>0</v>
      </c>
      <c r="M40" s="10">
        <f t="shared" si="3"/>
        <v>0</v>
      </c>
      <c r="N40" s="10">
        <v>10</v>
      </c>
      <c r="O40" s="12">
        <v>3.3333333333333335</v>
      </c>
      <c r="P40" s="11">
        <v>2020</v>
      </c>
      <c r="Q40" s="10" t="s">
        <v>36</v>
      </c>
      <c r="R40" s="4" t="s">
        <v>1285</v>
      </c>
      <c r="S40" s="4" t="s">
        <v>507</v>
      </c>
      <c r="T40" s="4" t="s">
        <v>19</v>
      </c>
      <c r="U40" s="4" t="str">
        <f t="shared" si="4"/>
        <v>NOT AN ADD-ON</v>
      </c>
      <c r="V40" s="4" t="str">
        <f t="shared" si="2"/>
        <v>SCHEDULERADD-ONAUTHORIZEDNOT AN ADD-ON</v>
      </c>
    </row>
    <row r="41" spans="1:22" ht="15" thickBot="1">
      <c r="A41" s="10" t="s">
        <v>21</v>
      </c>
      <c r="B41" s="10" t="s">
        <v>22</v>
      </c>
      <c r="C41" s="10" t="s">
        <v>140</v>
      </c>
      <c r="D41" s="10" t="s">
        <v>141</v>
      </c>
      <c r="E41" s="10" t="s">
        <v>142</v>
      </c>
      <c r="F41" s="10" t="s">
        <v>143</v>
      </c>
      <c r="G41" s="11">
        <v>3200</v>
      </c>
      <c r="H41" s="163" t="s">
        <v>263</v>
      </c>
      <c r="I41" s="158" t="s">
        <v>266</v>
      </c>
      <c r="J41" s="163" t="s">
        <v>263</v>
      </c>
      <c r="K41" s="10" t="s">
        <v>30</v>
      </c>
      <c r="L41" s="10">
        <v>5</v>
      </c>
      <c r="M41" s="10">
        <f t="shared" si="3"/>
        <v>1.67</v>
      </c>
      <c r="N41" s="10">
        <v>5</v>
      </c>
      <c r="O41" s="12">
        <v>1.6666666666666667</v>
      </c>
      <c r="P41" s="11">
        <v>3200</v>
      </c>
      <c r="Q41" s="10" t="s">
        <v>33</v>
      </c>
      <c r="R41" s="4" t="s">
        <v>1278</v>
      </c>
      <c r="S41" s="4" t="s">
        <v>1278</v>
      </c>
      <c r="T41" s="4" t="s">
        <v>672</v>
      </c>
      <c r="U41" s="4" t="str">
        <f t="shared" si="4"/>
        <v>NOT AN ADD-ON</v>
      </c>
      <c r="V41" s="4" t="str">
        <f t="shared" si="2"/>
        <v>ASSET MANAGEMENT (CORE)ASSET MANAGEMENT (CORE)LIMITEDNOT AN ADD-ON</v>
      </c>
    </row>
    <row r="42" spans="1:22" ht="15" thickBot="1">
      <c r="A42" s="10" t="s">
        <v>21</v>
      </c>
      <c r="B42" s="10" t="s">
        <v>22</v>
      </c>
      <c r="C42" s="10" t="s">
        <v>140</v>
      </c>
      <c r="D42" s="10" t="s">
        <v>141</v>
      </c>
      <c r="E42" s="10" t="s">
        <v>142</v>
      </c>
      <c r="F42" s="10" t="s">
        <v>143</v>
      </c>
      <c r="G42" s="11">
        <v>1920</v>
      </c>
      <c r="H42" s="163" t="s">
        <v>267</v>
      </c>
      <c r="I42" s="158" t="s">
        <v>268</v>
      </c>
      <c r="J42" s="163" t="s">
        <v>263</v>
      </c>
      <c r="K42" s="10" t="s">
        <v>30</v>
      </c>
      <c r="L42" s="10">
        <v>5</v>
      </c>
      <c r="M42" s="10">
        <f t="shared" si="3"/>
        <v>1.67</v>
      </c>
      <c r="N42" s="10">
        <v>5</v>
      </c>
      <c r="O42" s="12">
        <v>1.6666666666666667</v>
      </c>
      <c r="P42" s="11">
        <v>3200</v>
      </c>
      <c r="Q42" s="10" t="s">
        <v>36</v>
      </c>
      <c r="R42" s="4" t="s">
        <v>1278</v>
      </c>
      <c r="S42" s="4" t="s">
        <v>1278</v>
      </c>
      <c r="T42" s="4" t="s">
        <v>672</v>
      </c>
      <c r="U42" s="4" t="str">
        <f t="shared" si="4"/>
        <v>NOT AN ADD-ON</v>
      </c>
      <c r="V42" s="4" t="str">
        <f t="shared" si="2"/>
        <v>ASSET MANAGEMENT (CORE)ASSET MANAGEMENT (CORE)LIMITEDNOT AN ADD-ON</v>
      </c>
    </row>
    <row r="43" spans="1:22" ht="15" thickBot="1">
      <c r="A43" s="10" t="s">
        <v>21</v>
      </c>
      <c r="B43" s="10" t="s">
        <v>22</v>
      </c>
      <c r="C43" s="10" t="s">
        <v>140</v>
      </c>
      <c r="D43" s="10" t="s">
        <v>141</v>
      </c>
      <c r="E43" s="10" t="s">
        <v>142</v>
      </c>
      <c r="F43" s="10" t="s">
        <v>143</v>
      </c>
      <c r="G43" s="11">
        <v>6390</v>
      </c>
      <c r="H43" s="163" t="s">
        <v>146</v>
      </c>
      <c r="I43" s="158" t="s">
        <v>149</v>
      </c>
      <c r="J43" s="163" t="s">
        <v>146</v>
      </c>
      <c r="K43" s="10" t="s">
        <v>30</v>
      </c>
      <c r="L43" s="10">
        <v>10</v>
      </c>
      <c r="M43" s="10">
        <f t="shared" si="3"/>
        <v>3.33</v>
      </c>
      <c r="N43" s="10">
        <v>10</v>
      </c>
      <c r="O43" s="12">
        <v>3.3333333333333335</v>
      </c>
      <c r="P43" s="11">
        <v>6390</v>
      </c>
      <c r="Q43" s="10" t="s">
        <v>33</v>
      </c>
      <c r="R43" s="4" t="s">
        <v>1278</v>
      </c>
      <c r="S43" s="4" t="s">
        <v>1278</v>
      </c>
      <c r="T43" s="4" t="s">
        <v>19</v>
      </c>
      <c r="U43" s="4" t="str">
        <f t="shared" si="4"/>
        <v>NOT AN ADD-ON</v>
      </c>
      <c r="V43" s="4" t="str">
        <f t="shared" si="2"/>
        <v>ASSET MANAGEMENT (CORE)ASSET MANAGEMENT (CORE)AUTHORIZEDNOT AN ADD-ON</v>
      </c>
    </row>
    <row r="44" spans="1:22" ht="15" thickBot="1">
      <c r="A44" s="10" t="s">
        <v>21</v>
      </c>
      <c r="B44" s="10" t="s">
        <v>22</v>
      </c>
      <c r="C44" s="10" t="s">
        <v>140</v>
      </c>
      <c r="D44" s="10" t="s">
        <v>141</v>
      </c>
      <c r="E44" s="10" t="s">
        <v>142</v>
      </c>
      <c r="F44" s="10" t="s">
        <v>143</v>
      </c>
      <c r="G44" s="11">
        <v>3830</v>
      </c>
      <c r="H44" s="163" t="s">
        <v>150</v>
      </c>
      <c r="I44" s="158" t="s">
        <v>151</v>
      </c>
      <c r="J44" s="163" t="s">
        <v>146</v>
      </c>
      <c r="K44" s="10" t="s">
        <v>30</v>
      </c>
      <c r="L44" s="10">
        <v>10</v>
      </c>
      <c r="M44" s="10">
        <f t="shared" si="3"/>
        <v>3.33</v>
      </c>
      <c r="N44" s="10">
        <v>10</v>
      </c>
      <c r="O44" s="12">
        <v>3.3333333333333335</v>
      </c>
      <c r="P44" s="11">
        <v>6390</v>
      </c>
      <c r="Q44" s="10" t="s">
        <v>36</v>
      </c>
      <c r="R44" s="4" t="s">
        <v>1278</v>
      </c>
      <c r="S44" s="4" t="s">
        <v>1278</v>
      </c>
      <c r="T44" s="4" t="s">
        <v>19</v>
      </c>
      <c r="U44" s="4" t="str">
        <f t="shared" si="4"/>
        <v>NOT AN ADD-ON</v>
      </c>
      <c r="V44" s="4" t="str">
        <f t="shared" si="2"/>
        <v>ASSET MANAGEMENT (CORE)ASSET MANAGEMENT (CORE)AUTHORIZEDNOT AN ADD-ON</v>
      </c>
    </row>
    <row r="45" spans="1:22" ht="15" thickBot="1">
      <c r="A45" s="10" t="s">
        <v>21</v>
      </c>
      <c r="B45" s="10" t="s">
        <v>22</v>
      </c>
      <c r="C45" s="10" t="s">
        <v>140</v>
      </c>
      <c r="D45" s="10" t="s">
        <v>141</v>
      </c>
      <c r="E45" s="10" t="s">
        <v>142</v>
      </c>
      <c r="F45" s="10" t="s">
        <v>143</v>
      </c>
      <c r="G45" s="11">
        <v>6390</v>
      </c>
      <c r="H45" s="163" t="s">
        <v>224</v>
      </c>
      <c r="I45" s="158" t="s">
        <v>227</v>
      </c>
      <c r="J45" s="163" t="s">
        <v>224</v>
      </c>
      <c r="K45" s="10" t="s">
        <v>30</v>
      </c>
      <c r="L45" s="10">
        <v>10</v>
      </c>
      <c r="M45" s="10">
        <f t="shared" si="3"/>
        <v>3.33</v>
      </c>
      <c r="N45" s="10">
        <v>10</v>
      </c>
      <c r="O45" s="12">
        <v>3.3333333333333335</v>
      </c>
      <c r="P45" s="11">
        <v>6390</v>
      </c>
      <c r="Q45" s="10" t="s">
        <v>33</v>
      </c>
      <c r="R45" s="4" t="s">
        <v>1278</v>
      </c>
      <c r="S45" s="4" t="s">
        <v>1278</v>
      </c>
      <c r="T45" s="4" t="s">
        <v>19</v>
      </c>
      <c r="U45" s="4" t="str">
        <f t="shared" si="4"/>
        <v>NOT AN ADD-ON</v>
      </c>
      <c r="V45" s="4" t="str">
        <f t="shared" si="2"/>
        <v>ASSET MANAGEMENT (CORE)ASSET MANAGEMENT (CORE)AUTHORIZEDNOT AN ADD-ON</v>
      </c>
    </row>
    <row r="46" spans="1:22" ht="15" thickBot="1">
      <c r="A46" s="10" t="s">
        <v>21</v>
      </c>
      <c r="B46" s="10" t="s">
        <v>22</v>
      </c>
      <c r="C46" s="10" t="s">
        <v>140</v>
      </c>
      <c r="D46" s="10" t="s">
        <v>141</v>
      </c>
      <c r="E46" s="10" t="s">
        <v>142</v>
      </c>
      <c r="F46" s="10" t="s">
        <v>143</v>
      </c>
      <c r="G46" s="11">
        <v>3830</v>
      </c>
      <c r="H46" s="163" t="s">
        <v>228</v>
      </c>
      <c r="I46" s="158" t="s">
        <v>229</v>
      </c>
      <c r="J46" s="163" t="s">
        <v>224</v>
      </c>
      <c r="K46" s="10" t="s">
        <v>30</v>
      </c>
      <c r="L46" s="10">
        <v>10</v>
      </c>
      <c r="M46" s="10">
        <f t="shared" si="3"/>
        <v>3.33</v>
      </c>
      <c r="N46" s="10">
        <v>10</v>
      </c>
      <c r="O46" s="12">
        <v>3.3333333333333335</v>
      </c>
      <c r="P46" s="11">
        <v>6390</v>
      </c>
      <c r="Q46" s="10" t="s">
        <v>36</v>
      </c>
      <c r="R46" s="4" t="s">
        <v>1278</v>
      </c>
      <c r="S46" s="4" t="s">
        <v>1278</v>
      </c>
      <c r="T46" s="4" t="s">
        <v>19</v>
      </c>
      <c r="U46" s="4" t="str">
        <f t="shared" si="4"/>
        <v>NOT AN ADD-ON</v>
      </c>
      <c r="V46" s="4" t="str">
        <f t="shared" si="2"/>
        <v>ASSET MANAGEMENT (CORE)ASSET MANAGEMENT (CORE)AUTHORIZEDNOT AN ADD-ON</v>
      </c>
    </row>
    <row r="47" spans="1:22" ht="15" thickBot="1">
      <c r="A47" s="10" t="s">
        <v>21</v>
      </c>
      <c r="B47" s="10" t="s">
        <v>22</v>
      </c>
      <c r="C47" s="10" t="s">
        <v>140</v>
      </c>
      <c r="D47" s="10" t="s">
        <v>141</v>
      </c>
      <c r="E47" s="10" t="s">
        <v>142</v>
      </c>
      <c r="F47" s="10" t="s">
        <v>143</v>
      </c>
      <c r="G47" s="11">
        <v>3200</v>
      </c>
      <c r="H47" s="163" t="s">
        <v>271</v>
      </c>
      <c r="I47" s="158" t="s">
        <v>274</v>
      </c>
      <c r="J47" s="163" t="s">
        <v>271</v>
      </c>
      <c r="K47" s="10" t="s">
        <v>30</v>
      </c>
      <c r="L47" s="10">
        <v>5</v>
      </c>
      <c r="M47" s="10">
        <f t="shared" si="3"/>
        <v>1.67</v>
      </c>
      <c r="N47" s="10">
        <v>5</v>
      </c>
      <c r="O47" s="12">
        <v>1.6666666666666667</v>
      </c>
      <c r="P47" s="11">
        <v>3200</v>
      </c>
      <c r="Q47" s="10" t="s">
        <v>33</v>
      </c>
      <c r="R47" s="4" t="s">
        <v>1278</v>
      </c>
      <c r="S47" s="4" t="s">
        <v>1278</v>
      </c>
      <c r="T47" s="4" t="s">
        <v>672</v>
      </c>
      <c r="U47" s="4" t="str">
        <f t="shared" si="4"/>
        <v>NOT AN ADD-ON</v>
      </c>
      <c r="V47" s="4" t="str">
        <f t="shared" si="2"/>
        <v>ASSET MANAGEMENT (CORE)ASSET MANAGEMENT (CORE)LIMITEDNOT AN ADD-ON</v>
      </c>
    </row>
    <row r="48" spans="1:22" ht="15" thickBot="1">
      <c r="A48" s="10" t="s">
        <v>21</v>
      </c>
      <c r="B48" s="10" t="s">
        <v>22</v>
      </c>
      <c r="C48" s="10" t="s">
        <v>140</v>
      </c>
      <c r="D48" s="10" t="s">
        <v>141</v>
      </c>
      <c r="E48" s="10" t="s">
        <v>142</v>
      </c>
      <c r="F48" s="10" t="s">
        <v>143</v>
      </c>
      <c r="G48" s="11">
        <v>1920</v>
      </c>
      <c r="H48" s="163" t="s">
        <v>275</v>
      </c>
      <c r="I48" s="158" t="s">
        <v>276</v>
      </c>
      <c r="J48" s="163" t="s">
        <v>271</v>
      </c>
      <c r="K48" s="10" t="s">
        <v>30</v>
      </c>
      <c r="L48" s="10">
        <v>5</v>
      </c>
      <c r="M48" s="10">
        <f t="shared" si="3"/>
        <v>1.67</v>
      </c>
      <c r="N48" s="10">
        <v>5</v>
      </c>
      <c r="O48" s="12">
        <v>1.6666666666666667</v>
      </c>
      <c r="P48" s="11">
        <v>3200</v>
      </c>
      <c r="Q48" s="10" t="s">
        <v>36</v>
      </c>
      <c r="R48" s="4" t="s">
        <v>1278</v>
      </c>
      <c r="S48" s="4" t="s">
        <v>1278</v>
      </c>
      <c r="T48" s="4" t="s">
        <v>672</v>
      </c>
      <c r="U48" s="4" t="str">
        <f t="shared" si="4"/>
        <v>NOT AN ADD-ON</v>
      </c>
      <c r="V48" s="4" t="str">
        <f t="shared" si="2"/>
        <v>ASSET MANAGEMENT (CORE)ASSET MANAGEMENT (CORE)LIMITEDNOT AN ADD-ON</v>
      </c>
    </row>
    <row r="49" spans="1:22" ht="15" thickBot="1">
      <c r="A49" s="10" t="s">
        <v>21</v>
      </c>
      <c r="B49" s="10" t="s">
        <v>22</v>
      </c>
      <c r="C49" s="10" t="s">
        <v>593</v>
      </c>
      <c r="D49" s="10" t="s">
        <v>594</v>
      </c>
      <c r="E49" s="10" t="s">
        <v>595</v>
      </c>
      <c r="F49" s="10" t="s">
        <v>596</v>
      </c>
      <c r="G49" s="11">
        <v>7660</v>
      </c>
      <c r="H49" s="163" t="s">
        <v>621</v>
      </c>
      <c r="I49" s="158" t="s">
        <v>628</v>
      </c>
      <c r="J49" s="163" t="s">
        <v>621</v>
      </c>
      <c r="K49" s="10" t="s">
        <v>30</v>
      </c>
      <c r="L49" s="10">
        <v>15</v>
      </c>
      <c r="M49" s="10">
        <f t="shared" si="3"/>
        <v>5</v>
      </c>
      <c r="N49" s="10">
        <v>15</v>
      </c>
      <c r="O49" s="12">
        <v>5</v>
      </c>
      <c r="P49" s="11">
        <v>7660</v>
      </c>
      <c r="Q49" s="10" t="s">
        <v>33</v>
      </c>
      <c r="R49" s="4" t="s">
        <v>1281</v>
      </c>
      <c r="S49" s="4" t="s">
        <v>1279</v>
      </c>
      <c r="T49" s="4" t="s">
        <v>19</v>
      </c>
      <c r="U49" s="4" t="str">
        <f t="shared" si="4"/>
        <v>NOT AN ADD-ON</v>
      </c>
      <c r="V49" s="4" t="str">
        <f t="shared" si="2"/>
        <v>NUCLEAR POWERINDUSTRY SOLUTIONAUTHORIZEDNOT AN ADD-ON</v>
      </c>
    </row>
    <row r="50" spans="1:22" ht="15" thickBot="1">
      <c r="A50" s="10" t="s">
        <v>21</v>
      </c>
      <c r="B50" s="10" t="s">
        <v>22</v>
      </c>
      <c r="C50" s="10" t="s">
        <v>593</v>
      </c>
      <c r="D50" s="10" t="s">
        <v>594</v>
      </c>
      <c r="E50" s="10" t="s">
        <v>595</v>
      </c>
      <c r="F50" s="10" t="s">
        <v>596</v>
      </c>
      <c r="G50" s="11">
        <v>4600</v>
      </c>
      <c r="H50" s="163" t="s">
        <v>629</v>
      </c>
      <c r="I50" s="158" t="s">
        <v>630</v>
      </c>
      <c r="J50" s="163" t="s">
        <v>621</v>
      </c>
      <c r="K50" s="10" t="s">
        <v>30</v>
      </c>
      <c r="L50" s="10">
        <v>15</v>
      </c>
      <c r="M50" s="10">
        <f t="shared" si="3"/>
        <v>5</v>
      </c>
      <c r="N50" s="10">
        <v>15</v>
      </c>
      <c r="O50" s="12">
        <v>5</v>
      </c>
      <c r="P50" s="11">
        <v>7660</v>
      </c>
      <c r="Q50" s="10" t="s">
        <v>36</v>
      </c>
      <c r="R50" s="4" t="s">
        <v>1281</v>
      </c>
      <c r="S50" s="4" t="s">
        <v>1279</v>
      </c>
      <c r="T50" s="4" t="s">
        <v>19</v>
      </c>
      <c r="U50" s="4" t="str">
        <f t="shared" si="4"/>
        <v>NOT AN ADD-ON</v>
      </c>
      <c r="V50" s="4" t="str">
        <f t="shared" si="2"/>
        <v>NUCLEAR POWERINDUSTRY SOLUTIONAUTHORIZEDNOT AN ADD-ON</v>
      </c>
    </row>
    <row r="51" spans="1:22" ht="15" thickBot="1">
      <c r="A51" s="10" t="s">
        <v>21</v>
      </c>
      <c r="B51" s="10" t="s">
        <v>22</v>
      </c>
      <c r="C51" s="10" t="s">
        <v>593</v>
      </c>
      <c r="D51" s="10" t="s">
        <v>594</v>
      </c>
      <c r="E51" s="10" t="s">
        <v>595</v>
      </c>
      <c r="F51" s="10" t="s">
        <v>596</v>
      </c>
      <c r="G51" s="11">
        <v>2680</v>
      </c>
      <c r="H51" s="163" t="s">
        <v>619</v>
      </c>
      <c r="I51" s="166" t="s">
        <v>620</v>
      </c>
      <c r="J51" s="163" t="s">
        <v>621</v>
      </c>
      <c r="K51" s="10" t="s">
        <v>30</v>
      </c>
      <c r="L51" s="10">
        <v>15</v>
      </c>
      <c r="M51" s="10">
        <f t="shared" si="3"/>
        <v>5</v>
      </c>
      <c r="N51" s="10">
        <v>15</v>
      </c>
      <c r="O51" s="12">
        <v>5</v>
      </c>
      <c r="P51" s="11">
        <v>7660</v>
      </c>
      <c r="Q51" s="10" t="s">
        <v>48</v>
      </c>
      <c r="R51" s="4" t="s">
        <v>1281</v>
      </c>
      <c r="S51" s="4" t="s">
        <v>1279</v>
      </c>
      <c r="T51" s="4" t="s">
        <v>19</v>
      </c>
      <c r="U51" s="4" t="str">
        <f t="shared" si="4"/>
        <v>NOT AN ADD-ON</v>
      </c>
      <c r="V51" s="4" t="str">
        <f t="shared" si="2"/>
        <v>NUCLEAR POWERINDUSTRY SOLUTIONAUTHORIZEDNOT AN ADD-ON</v>
      </c>
    </row>
    <row r="52" spans="1:22" ht="15" thickBot="1">
      <c r="A52" s="10" t="s">
        <v>21</v>
      </c>
      <c r="B52" s="10" t="s">
        <v>22</v>
      </c>
      <c r="C52" s="10" t="s">
        <v>593</v>
      </c>
      <c r="D52" s="10" t="s">
        <v>594</v>
      </c>
      <c r="E52" s="10" t="s">
        <v>595</v>
      </c>
      <c r="F52" s="10" t="s">
        <v>596</v>
      </c>
      <c r="G52" s="11">
        <v>5470</v>
      </c>
      <c r="H52" s="163" t="s">
        <v>622</v>
      </c>
      <c r="I52" s="166" t="s">
        <v>623</v>
      </c>
      <c r="J52" s="163" t="s">
        <v>621</v>
      </c>
      <c r="K52" s="10" t="s">
        <v>30</v>
      </c>
      <c r="L52" s="10">
        <v>15</v>
      </c>
      <c r="M52" s="10">
        <f t="shared" si="3"/>
        <v>5</v>
      </c>
      <c r="N52" s="10">
        <v>15</v>
      </c>
      <c r="O52" s="12">
        <v>5</v>
      </c>
      <c r="P52" s="11">
        <v>7660</v>
      </c>
      <c r="Q52" s="10" t="s">
        <v>48</v>
      </c>
      <c r="R52" s="4" t="s">
        <v>1281</v>
      </c>
      <c r="S52" s="4" t="s">
        <v>1279</v>
      </c>
      <c r="T52" s="4" t="s">
        <v>19</v>
      </c>
      <c r="U52" s="4" t="str">
        <f t="shared" si="4"/>
        <v>NOT AN ADD-ON</v>
      </c>
      <c r="V52" s="4" t="str">
        <f t="shared" si="2"/>
        <v>NUCLEAR POWERINDUSTRY SOLUTIONAUTHORIZEDNOT AN ADD-ON</v>
      </c>
    </row>
    <row r="53" spans="1:22" ht="15" thickBot="1">
      <c r="A53" s="10" t="s">
        <v>21</v>
      </c>
      <c r="B53" s="10" t="s">
        <v>22</v>
      </c>
      <c r="C53" s="10" t="s">
        <v>593</v>
      </c>
      <c r="D53" s="10" t="s">
        <v>594</v>
      </c>
      <c r="E53" s="10" t="s">
        <v>595</v>
      </c>
      <c r="F53" s="10" t="s">
        <v>596</v>
      </c>
      <c r="G53" s="11">
        <v>2150</v>
      </c>
      <c r="H53" s="163" t="s">
        <v>599</v>
      </c>
      <c r="I53" s="158" t="s">
        <v>600</v>
      </c>
      <c r="J53" s="163" t="s">
        <v>599</v>
      </c>
      <c r="K53" s="10" t="s">
        <v>30</v>
      </c>
      <c r="L53" s="10">
        <v>5</v>
      </c>
      <c r="M53" s="10">
        <f t="shared" si="3"/>
        <v>1.67</v>
      </c>
      <c r="N53" s="10">
        <v>15</v>
      </c>
      <c r="O53" s="12">
        <v>5</v>
      </c>
      <c r="P53" s="11">
        <v>2150</v>
      </c>
      <c r="Q53" s="10" t="s">
        <v>33</v>
      </c>
      <c r="R53" s="4" t="s">
        <v>1281</v>
      </c>
      <c r="S53" s="4" t="s">
        <v>1279</v>
      </c>
      <c r="T53" s="4" t="s">
        <v>19</v>
      </c>
      <c r="U53" s="4" t="s">
        <v>507</v>
      </c>
      <c r="V53" s="4" t="str">
        <f t="shared" si="2"/>
        <v>NUCLEAR POWERINDUSTRY SOLUTIONAUTHORIZEDADD-ON</v>
      </c>
    </row>
    <row r="54" spans="1:22" ht="15" thickBot="1">
      <c r="A54" s="10" t="s">
        <v>21</v>
      </c>
      <c r="B54" s="10" t="s">
        <v>22</v>
      </c>
      <c r="C54" s="10" t="s">
        <v>593</v>
      </c>
      <c r="D54" s="10" t="s">
        <v>594</v>
      </c>
      <c r="E54" s="10" t="s">
        <v>595</v>
      </c>
      <c r="F54" s="10" t="s">
        <v>596</v>
      </c>
      <c r="G54" s="11">
        <v>1300</v>
      </c>
      <c r="H54" s="163" t="s">
        <v>601</v>
      </c>
      <c r="I54" s="158" t="s">
        <v>602</v>
      </c>
      <c r="J54" s="163" t="s">
        <v>599</v>
      </c>
      <c r="K54" s="10" t="s">
        <v>30</v>
      </c>
      <c r="L54" s="10">
        <v>5</v>
      </c>
      <c r="M54" s="10">
        <f t="shared" si="3"/>
        <v>1.67</v>
      </c>
      <c r="N54" s="10">
        <v>15</v>
      </c>
      <c r="O54" s="12">
        <v>5</v>
      </c>
      <c r="P54" s="11">
        <v>2150</v>
      </c>
      <c r="Q54" s="10" t="s">
        <v>36</v>
      </c>
      <c r="R54" s="4" t="s">
        <v>1281</v>
      </c>
      <c r="S54" s="4" t="s">
        <v>1279</v>
      </c>
      <c r="T54" s="4" t="s">
        <v>19</v>
      </c>
      <c r="U54" s="4" t="s">
        <v>507</v>
      </c>
      <c r="V54" s="4" t="str">
        <f t="shared" si="2"/>
        <v>NUCLEAR POWERINDUSTRY SOLUTIONAUTHORIZEDADD-ON</v>
      </c>
    </row>
    <row r="55" spans="1:22" ht="15" thickBot="1">
      <c r="A55" s="10" t="s">
        <v>21</v>
      </c>
      <c r="B55" s="10" t="s">
        <v>22</v>
      </c>
      <c r="C55" s="10" t="s">
        <v>593</v>
      </c>
      <c r="D55" s="10" t="s">
        <v>594</v>
      </c>
      <c r="E55" s="10" t="s">
        <v>595</v>
      </c>
      <c r="F55" s="10" t="s">
        <v>596</v>
      </c>
      <c r="G55" s="11">
        <v>7660</v>
      </c>
      <c r="H55" s="163" t="s">
        <v>659</v>
      </c>
      <c r="I55" s="158" t="s">
        <v>666</v>
      </c>
      <c r="J55" s="163" t="s">
        <v>659</v>
      </c>
      <c r="K55" s="10" t="s">
        <v>30</v>
      </c>
      <c r="L55" s="10">
        <v>15</v>
      </c>
      <c r="M55" s="10">
        <f t="shared" si="3"/>
        <v>5</v>
      </c>
      <c r="N55" s="10">
        <v>15</v>
      </c>
      <c r="O55" s="12">
        <v>5</v>
      </c>
      <c r="P55" s="11">
        <v>7660</v>
      </c>
      <c r="Q55" s="10" t="s">
        <v>33</v>
      </c>
      <c r="R55" s="4" t="s">
        <v>1281</v>
      </c>
      <c r="S55" s="4" t="s">
        <v>1279</v>
      </c>
      <c r="T55" s="4" t="s">
        <v>19</v>
      </c>
      <c r="U55" s="4" t="str">
        <f>IF(ISNUMBER(SEARCH("ADD-ON",$I55)),"ADD-ON","NOT AN ADD-ON")</f>
        <v>NOT AN ADD-ON</v>
      </c>
      <c r="V55" s="4" t="str">
        <f t="shared" si="2"/>
        <v>NUCLEAR POWERINDUSTRY SOLUTIONAUTHORIZEDNOT AN ADD-ON</v>
      </c>
    </row>
    <row r="56" spans="1:22" ht="15" thickBot="1">
      <c r="A56" s="10" t="s">
        <v>21</v>
      </c>
      <c r="B56" s="10" t="s">
        <v>22</v>
      </c>
      <c r="C56" s="10" t="s">
        <v>593</v>
      </c>
      <c r="D56" s="10" t="s">
        <v>594</v>
      </c>
      <c r="E56" s="10" t="s">
        <v>595</v>
      </c>
      <c r="F56" s="10" t="s">
        <v>596</v>
      </c>
      <c r="G56" s="11">
        <v>4600</v>
      </c>
      <c r="H56" s="163" t="s">
        <v>667</v>
      </c>
      <c r="I56" s="158" t="s">
        <v>668</v>
      </c>
      <c r="J56" s="163" t="s">
        <v>659</v>
      </c>
      <c r="K56" s="10" t="s">
        <v>30</v>
      </c>
      <c r="L56" s="10">
        <v>15</v>
      </c>
      <c r="M56" s="10">
        <f t="shared" si="3"/>
        <v>5</v>
      </c>
      <c r="N56" s="10">
        <v>15</v>
      </c>
      <c r="O56" s="12">
        <v>5</v>
      </c>
      <c r="P56" s="11">
        <v>7660</v>
      </c>
      <c r="Q56" s="10" t="s">
        <v>36</v>
      </c>
      <c r="R56" s="4" t="s">
        <v>1281</v>
      </c>
      <c r="S56" s="4" t="s">
        <v>1279</v>
      </c>
      <c r="T56" s="4" t="s">
        <v>19</v>
      </c>
      <c r="U56" s="4" t="str">
        <f>IF(ISNUMBER(SEARCH("ADD-ON",$I56)),"ADD-ON","NOT AN ADD-ON")</f>
        <v>NOT AN ADD-ON</v>
      </c>
      <c r="V56" s="4" t="str">
        <f t="shared" si="2"/>
        <v>NUCLEAR POWERINDUSTRY SOLUTIONAUTHORIZEDNOT AN ADD-ON</v>
      </c>
    </row>
    <row r="57" spans="1:22" ht="27" thickBot="1">
      <c r="A57" s="10" t="s">
        <v>21</v>
      </c>
      <c r="B57" s="10" t="s">
        <v>22</v>
      </c>
      <c r="C57" s="10" t="s">
        <v>593</v>
      </c>
      <c r="D57" s="10" t="s">
        <v>594</v>
      </c>
      <c r="E57" s="10" t="s">
        <v>595</v>
      </c>
      <c r="F57" s="10" t="s">
        <v>596</v>
      </c>
      <c r="G57" s="11">
        <v>5470</v>
      </c>
      <c r="H57" s="163" t="s">
        <v>660</v>
      </c>
      <c r="I57" s="166" t="s">
        <v>661</v>
      </c>
      <c r="J57" s="163" t="s">
        <v>659</v>
      </c>
      <c r="K57" s="10" t="s">
        <v>30</v>
      </c>
      <c r="L57" s="10">
        <v>15</v>
      </c>
      <c r="M57" s="10">
        <f t="shared" si="3"/>
        <v>5</v>
      </c>
      <c r="N57" s="10">
        <v>15</v>
      </c>
      <c r="O57" s="12">
        <v>5</v>
      </c>
      <c r="P57" s="11">
        <v>7660</v>
      </c>
      <c r="Q57" s="10" t="s">
        <v>48</v>
      </c>
      <c r="R57" s="4" t="s">
        <v>1281</v>
      </c>
      <c r="S57" s="4" t="s">
        <v>1279</v>
      </c>
      <c r="T57" s="4" t="s">
        <v>19</v>
      </c>
      <c r="U57" s="4" t="str">
        <f>IF(ISNUMBER(SEARCH("ADD-ON",$I57)),"ADD-ON","NOT AN ADD-ON")</f>
        <v>NOT AN ADD-ON</v>
      </c>
      <c r="V57" s="4" t="str">
        <f t="shared" si="2"/>
        <v>NUCLEAR POWERINDUSTRY SOLUTIONAUTHORIZEDNOT AN ADD-ON</v>
      </c>
    </row>
    <row r="58" spans="1:22" ht="29.25" customHeight="1" thickBot="1">
      <c r="A58" s="10" t="s">
        <v>21</v>
      </c>
      <c r="B58" s="10" t="s">
        <v>22</v>
      </c>
      <c r="C58" s="10" t="s">
        <v>593</v>
      </c>
      <c r="D58" s="10" t="s">
        <v>594</v>
      </c>
      <c r="E58" s="10" t="s">
        <v>595</v>
      </c>
      <c r="F58" s="10" t="s">
        <v>596</v>
      </c>
      <c r="G58" s="11">
        <v>2680</v>
      </c>
      <c r="H58" s="163" t="s">
        <v>657</v>
      </c>
      <c r="I58" s="166" t="s">
        <v>658</v>
      </c>
      <c r="J58" s="163" t="s">
        <v>659</v>
      </c>
      <c r="K58" s="10" t="s">
        <v>30</v>
      </c>
      <c r="L58" s="10">
        <v>15</v>
      </c>
      <c r="M58" s="10">
        <f t="shared" si="3"/>
        <v>5</v>
      </c>
      <c r="N58" s="10">
        <v>15</v>
      </c>
      <c r="O58" s="12">
        <v>5</v>
      </c>
      <c r="P58" s="11">
        <v>7660</v>
      </c>
      <c r="Q58" s="10" t="s">
        <v>48</v>
      </c>
      <c r="R58" s="4" t="s">
        <v>1281</v>
      </c>
      <c r="S58" s="4" t="s">
        <v>1279</v>
      </c>
      <c r="T58" s="4" t="s">
        <v>19</v>
      </c>
      <c r="U58" s="4" t="str">
        <f>IF(ISNUMBER(SEARCH("ADD-ON",$I58)),"ADD-ON","NOT AN ADD-ON")</f>
        <v>NOT AN ADD-ON</v>
      </c>
      <c r="V58" s="4" t="str">
        <f t="shared" si="2"/>
        <v>NUCLEAR POWERINDUSTRY SOLUTIONAUTHORIZEDNOT AN ADD-ON</v>
      </c>
    </row>
    <row r="59" spans="1:22" ht="29.25" customHeight="1" thickBot="1">
      <c r="A59" s="10" t="s">
        <v>21</v>
      </c>
      <c r="B59" s="10" t="s">
        <v>22</v>
      </c>
      <c r="C59" s="10" t="s">
        <v>593</v>
      </c>
      <c r="D59" s="10" t="s">
        <v>594</v>
      </c>
      <c r="E59" s="10" t="s">
        <v>595</v>
      </c>
      <c r="F59" s="10" t="s">
        <v>596</v>
      </c>
      <c r="G59" s="11">
        <v>2150</v>
      </c>
      <c r="H59" s="163" t="s">
        <v>653</v>
      </c>
      <c r="I59" s="158" t="s">
        <v>654</v>
      </c>
      <c r="J59" s="163" t="s">
        <v>653</v>
      </c>
      <c r="K59" s="10" t="s">
        <v>30</v>
      </c>
      <c r="L59" s="10">
        <v>5</v>
      </c>
      <c r="M59" s="10">
        <f t="shared" si="3"/>
        <v>1.67</v>
      </c>
      <c r="N59" s="10">
        <v>15</v>
      </c>
      <c r="O59" s="12">
        <v>5</v>
      </c>
      <c r="P59" s="11">
        <v>2150</v>
      </c>
      <c r="Q59" s="10" t="s">
        <v>33</v>
      </c>
      <c r="R59" s="4" t="s">
        <v>1281</v>
      </c>
      <c r="S59" s="4" t="s">
        <v>1279</v>
      </c>
      <c r="T59" s="4" t="s">
        <v>19</v>
      </c>
      <c r="U59" s="4" t="s">
        <v>507</v>
      </c>
      <c r="V59" s="4" t="str">
        <f t="shared" si="2"/>
        <v>NUCLEAR POWERINDUSTRY SOLUTIONAUTHORIZEDADD-ON</v>
      </c>
    </row>
    <row r="60" spans="1:22" ht="29.25" customHeight="1" thickBot="1">
      <c r="A60" s="10" t="s">
        <v>21</v>
      </c>
      <c r="B60" s="10" t="s">
        <v>22</v>
      </c>
      <c r="C60" s="10" t="s">
        <v>593</v>
      </c>
      <c r="D60" s="10" t="s">
        <v>594</v>
      </c>
      <c r="E60" s="10" t="s">
        <v>595</v>
      </c>
      <c r="F60" s="10" t="s">
        <v>596</v>
      </c>
      <c r="G60" s="11">
        <v>1300</v>
      </c>
      <c r="H60" s="163" t="s">
        <v>655</v>
      </c>
      <c r="I60" s="158" t="s">
        <v>656</v>
      </c>
      <c r="J60" s="163" t="s">
        <v>653</v>
      </c>
      <c r="K60" s="10" t="s">
        <v>30</v>
      </c>
      <c r="L60" s="10">
        <v>5</v>
      </c>
      <c r="M60" s="10">
        <f t="shared" si="3"/>
        <v>1.67</v>
      </c>
      <c r="N60" s="10">
        <v>15</v>
      </c>
      <c r="O60" s="12">
        <v>5</v>
      </c>
      <c r="P60" s="11">
        <v>2150</v>
      </c>
      <c r="Q60" s="10" t="s">
        <v>36</v>
      </c>
      <c r="R60" s="4" t="s">
        <v>1281</v>
      </c>
      <c r="S60" s="4" t="s">
        <v>1279</v>
      </c>
      <c r="T60" s="4" t="s">
        <v>19</v>
      </c>
      <c r="U60" s="4" t="s">
        <v>507</v>
      </c>
      <c r="V60" s="4" t="str">
        <f t="shared" si="2"/>
        <v>NUCLEAR POWERINDUSTRY SOLUTIONAUTHORIZEDADD-ON</v>
      </c>
    </row>
    <row r="61" spans="1:22" ht="15" thickBot="1">
      <c r="A61" s="10" t="s">
        <v>21</v>
      </c>
      <c r="B61" s="10" t="s">
        <v>22</v>
      </c>
      <c r="C61" s="10" t="s">
        <v>686</v>
      </c>
      <c r="D61" s="10" t="s">
        <v>687</v>
      </c>
      <c r="E61" s="10" t="s">
        <v>688</v>
      </c>
      <c r="F61" s="10" t="s">
        <v>689</v>
      </c>
      <c r="G61" s="11">
        <v>7660</v>
      </c>
      <c r="H61" s="163" t="s">
        <v>714</v>
      </c>
      <c r="I61" s="158" t="s">
        <v>721</v>
      </c>
      <c r="J61" s="163" t="s">
        <v>714</v>
      </c>
      <c r="K61" s="10" t="s">
        <v>30</v>
      </c>
      <c r="L61" s="10">
        <v>15</v>
      </c>
      <c r="M61" s="10">
        <f t="shared" si="3"/>
        <v>5</v>
      </c>
      <c r="N61" s="10">
        <v>15</v>
      </c>
      <c r="O61" s="12">
        <v>5</v>
      </c>
      <c r="P61" s="11">
        <v>7660</v>
      </c>
      <c r="Q61" s="10" t="s">
        <v>33</v>
      </c>
      <c r="R61" s="4" t="s">
        <v>1282</v>
      </c>
      <c r="S61" s="4" t="s">
        <v>1279</v>
      </c>
      <c r="T61" s="4" t="s">
        <v>19</v>
      </c>
      <c r="U61" s="4" t="str">
        <f>IF(ISNUMBER(SEARCH("ADD-ON",$I61)),"ADD-ON","NOT AN ADD-ON")</f>
        <v>NOT AN ADD-ON</v>
      </c>
      <c r="V61" s="4" t="str">
        <f t="shared" si="2"/>
        <v>OIL AND GASINDUSTRY SOLUTIONAUTHORIZEDNOT AN ADD-ON</v>
      </c>
    </row>
    <row r="62" spans="1:22" ht="15" thickBot="1">
      <c r="A62" s="10" t="s">
        <v>21</v>
      </c>
      <c r="B62" s="10" t="s">
        <v>22</v>
      </c>
      <c r="C62" s="10" t="s">
        <v>686</v>
      </c>
      <c r="D62" s="10" t="s">
        <v>687</v>
      </c>
      <c r="E62" s="10" t="s">
        <v>688</v>
      </c>
      <c r="F62" s="10" t="s">
        <v>689</v>
      </c>
      <c r="G62" s="11">
        <v>4600</v>
      </c>
      <c r="H62" s="163" t="s">
        <v>722</v>
      </c>
      <c r="I62" s="158" t="s">
        <v>723</v>
      </c>
      <c r="J62" s="163" t="s">
        <v>714</v>
      </c>
      <c r="K62" s="10" t="s">
        <v>30</v>
      </c>
      <c r="L62" s="10">
        <v>15</v>
      </c>
      <c r="M62" s="10">
        <f t="shared" si="3"/>
        <v>5</v>
      </c>
      <c r="N62" s="10">
        <v>15</v>
      </c>
      <c r="O62" s="12">
        <v>5</v>
      </c>
      <c r="P62" s="11">
        <v>7660</v>
      </c>
      <c r="Q62" s="10" t="s">
        <v>36</v>
      </c>
      <c r="R62" s="4" t="s">
        <v>1282</v>
      </c>
      <c r="S62" s="4" t="s">
        <v>1279</v>
      </c>
      <c r="T62" s="4" t="s">
        <v>19</v>
      </c>
      <c r="U62" s="4" t="str">
        <f>IF(ISNUMBER(SEARCH("ADD-ON",$I62)),"ADD-ON","NOT AN ADD-ON")</f>
        <v>NOT AN ADD-ON</v>
      </c>
      <c r="V62" s="4" t="str">
        <f t="shared" si="2"/>
        <v>OIL AND GASINDUSTRY SOLUTIONAUTHORIZEDNOT AN ADD-ON</v>
      </c>
    </row>
    <row r="63" spans="1:22" ht="15" thickBot="1">
      <c r="A63" s="10" t="s">
        <v>21</v>
      </c>
      <c r="B63" s="10" t="s">
        <v>22</v>
      </c>
      <c r="C63" s="10" t="s">
        <v>686</v>
      </c>
      <c r="D63" s="10" t="s">
        <v>687</v>
      </c>
      <c r="E63" s="10" t="s">
        <v>688</v>
      </c>
      <c r="F63" s="10" t="s">
        <v>689</v>
      </c>
      <c r="G63" s="11">
        <v>5470</v>
      </c>
      <c r="H63" s="163" t="s">
        <v>715</v>
      </c>
      <c r="I63" s="166" t="s">
        <v>716</v>
      </c>
      <c r="J63" s="163" t="s">
        <v>714</v>
      </c>
      <c r="K63" s="10" t="s">
        <v>30</v>
      </c>
      <c r="L63" s="10">
        <v>15</v>
      </c>
      <c r="M63" s="10">
        <f t="shared" si="3"/>
        <v>5</v>
      </c>
      <c r="N63" s="10">
        <v>15</v>
      </c>
      <c r="O63" s="12">
        <v>5</v>
      </c>
      <c r="P63" s="11">
        <v>7660</v>
      </c>
      <c r="Q63" s="10" t="s">
        <v>48</v>
      </c>
      <c r="R63" s="4" t="s">
        <v>1282</v>
      </c>
      <c r="S63" s="4" t="s">
        <v>1279</v>
      </c>
      <c r="T63" s="4" t="s">
        <v>19</v>
      </c>
      <c r="U63" s="4" t="str">
        <f>IF(ISNUMBER(SEARCH("ADD-ON",$I63)),"ADD-ON","NOT AN ADD-ON")</f>
        <v>NOT AN ADD-ON</v>
      </c>
      <c r="V63" s="4" t="str">
        <f t="shared" si="2"/>
        <v>OIL AND GASINDUSTRY SOLUTIONAUTHORIZEDNOT AN ADD-ON</v>
      </c>
    </row>
    <row r="64" spans="1:22" ht="15" thickBot="1">
      <c r="A64" s="10" t="s">
        <v>21</v>
      </c>
      <c r="B64" s="10" t="s">
        <v>22</v>
      </c>
      <c r="C64" s="10" t="s">
        <v>686</v>
      </c>
      <c r="D64" s="10" t="s">
        <v>687</v>
      </c>
      <c r="E64" s="10" t="s">
        <v>688</v>
      </c>
      <c r="F64" s="10" t="s">
        <v>689</v>
      </c>
      <c r="G64" s="11">
        <v>2680</v>
      </c>
      <c r="H64" s="163" t="s">
        <v>712</v>
      </c>
      <c r="I64" s="166" t="s">
        <v>713</v>
      </c>
      <c r="J64" s="163" t="s">
        <v>714</v>
      </c>
      <c r="K64" s="10" t="s">
        <v>30</v>
      </c>
      <c r="L64" s="10">
        <v>15</v>
      </c>
      <c r="M64" s="10">
        <f t="shared" si="3"/>
        <v>5</v>
      </c>
      <c r="N64" s="10">
        <v>15</v>
      </c>
      <c r="O64" s="12">
        <v>5</v>
      </c>
      <c r="P64" s="11">
        <v>7660</v>
      </c>
      <c r="Q64" s="10" t="s">
        <v>48</v>
      </c>
      <c r="R64" s="4" t="s">
        <v>1282</v>
      </c>
      <c r="S64" s="4" t="s">
        <v>1279</v>
      </c>
      <c r="T64" s="4" t="s">
        <v>19</v>
      </c>
      <c r="U64" s="4" t="str">
        <f>IF(ISNUMBER(SEARCH("ADD-ON",$I64)),"ADD-ON","NOT AN ADD-ON")</f>
        <v>NOT AN ADD-ON</v>
      </c>
      <c r="V64" s="4" t="str">
        <f t="shared" si="2"/>
        <v>OIL AND GASINDUSTRY SOLUTIONAUTHORIZEDNOT AN ADD-ON</v>
      </c>
    </row>
    <row r="65" spans="1:22" ht="29.25" customHeight="1" thickBot="1">
      <c r="A65" s="10" t="s">
        <v>21</v>
      </c>
      <c r="B65" s="10" t="s">
        <v>22</v>
      </c>
      <c r="C65" s="10" t="s">
        <v>686</v>
      </c>
      <c r="D65" s="10" t="s">
        <v>687</v>
      </c>
      <c r="E65" s="10" t="s">
        <v>688</v>
      </c>
      <c r="F65" s="10" t="s">
        <v>689</v>
      </c>
      <c r="G65" s="11">
        <v>2150</v>
      </c>
      <c r="H65" s="163" t="s">
        <v>692</v>
      </c>
      <c r="I65" s="158" t="s">
        <v>693</v>
      </c>
      <c r="J65" s="163" t="s">
        <v>692</v>
      </c>
      <c r="K65" s="10" t="s">
        <v>30</v>
      </c>
      <c r="L65" s="10">
        <v>5</v>
      </c>
      <c r="M65" s="10">
        <f t="shared" si="3"/>
        <v>1.67</v>
      </c>
      <c r="N65" s="10">
        <v>15</v>
      </c>
      <c r="O65" s="12">
        <v>5</v>
      </c>
      <c r="P65" s="11">
        <v>2150</v>
      </c>
      <c r="Q65" s="10" t="s">
        <v>33</v>
      </c>
      <c r="R65" s="4" t="s">
        <v>1282</v>
      </c>
      <c r="S65" s="4" t="s">
        <v>1279</v>
      </c>
      <c r="T65" s="4" t="s">
        <v>19</v>
      </c>
      <c r="U65" s="4" t="s">
        <v>507</v>
      </c>
      <c r="V65" s="4" t="str">
        <f t="shared" si="2"/>
        <v>OIL AND GASINDUSTRY SOLUTIONAUTHORIZEDADD-ON</v>
      </c>
    </row>
    <row r="66" spans="1:22" ht="15" thickBot="1">
      <c r="A66" s="10" t="s">
        <v>21</v>
      </c>
      <c r="B66" s="10" t="s">
        <v>22</v>
      </c>
      <c r="C66" s="10" t="s">
        <v>686</v>
      </c>
      <c r="D66" s="10" t="s">
        <v>687</v>
      </c>
      <c r="E66" s="10" t="s">
        <v>688</v>
      </c>
      <c r="F66" s="10" t="s">
        <v>689</v>
      </c>
      <c r="G66" s="11">
        <v>1300</v>
      </c>
      <c r="H66" s="163" t="s">
        <v>694</v>
      </c>
      <c r="I66" s="158" t="s">
        <v>695</v>
      </c>
      <c r="J66" s="163" t="s">
        <v>692</v>
      </c>
      <c r="K66" s="10" t="s">
        <v>30</v>
      </c>
      <c r="L66" s="10">
        <v>5</v>
      </c>
      <c r="M66" s="10">
        <f t="shared" si="3"/>
        <v>1.67</v>
      </c>
      <c r="N66" s="10">
        <v>15</v>
      </c>
      <c r="O66" s="12">
        <v>5</v>
      </c>
      <c r="P66" s="11">
        <v>2150</v>
      </c>
      <c r="Q66" s="10" t="s">
        <v>36</v>
      </c>
      <c r="R66" s="4" t="s">
        <v>1282</v>
      </c>
      <c r="S66" s="4" t="s">
        <v>1279</v>
      </c>
      <c r="T66" s="4" t="s">
        <v>19</v>
      </c>
      <c r="U66" s="4" t="s">
        <v>507</v>
      </c>
      <c r="V66" s="4" t="str">
        <f t="shared" si="2"/>
        <v>OIL AND GASINDUSTRY SOLUTIONAUTHORIZEDADD-ON</v>
      </c>
    </row>
    <row r="67" spans="1:22" ht="15" thickBot="1">
      <c r="A67" s="10" t="s">
        <v>21</v>
      </c>
      <c r="B67" s="10" t="s">
        <v>22</v>
      </c>
      <c r="C67" s="10" t="s">
        <v>686</v>
      </c>
      <c r="D67" s="10" t="s">
        <v>687</v>
      </c>
      <c r="E67" s="10" t="s">
        <v>688</v>
      </c>
      <c r="F67" s="10" t="s">
        <v>689</v>
      </c>
      <c r="G67" s="11">
        <v>7660</v>
      </c>
      <c r="H67" s="163" t="s">
        <v>758</v>
      </c>
      <c r="I67" s="158" t="s">
        <v>759</v>
      </c>
      <c r="J67" s="163" t="s">
        <v>758</v>
      </c>
      <c r="K67" s="10" t="s">
        <v>30</v>
      </c>
      <c r="L67" s="10">
        <v>15</v>
      </c>
      <c r="M67" s="10">
        <f t="shared" ref="M67:M98" si="5">ROUND(IF(K67="Authorized User",L67/3,L67),2)</f>
        <v>5</v>
      </c>
      <c r="N67" s="10">
        <v>15</v>
      </c>
      <c r="O67" s="12">
        <v>5</v>
      </c>
      <c r="P67" s="11">
        <v>7660</v>
      </c>
      <c r="Q67" s="10" t="s">
        <v>33</v>
      </c>
      <c r="R67" s="4" t="s">
        <v>1282</v>
      </c>
      <c r="S67" s="4" t="s">
        <v>1279</v>
      </c>
      <c r="T67" s="4" t="s">
        <v>19</v>
      </c>
      <c r="U67" s="4" t="str">
        <f>IF(ISNUMBER(SEARCH("ADD-ON",$I67)),"ADD-ON","NOT AN ADD-ON")</f>
        <v>NOT AN ADD-ON</v>
      </c>
      <c r="V67" s="4" t="str">
        <f t="shared" ref="V67:V130" si="6">CONCATENATE(R67,S67,T67,U67)</f>
        <v>OIL AND GASINDUSTRY SOLUTIONAUTHORIZEDNOT AN ADD-ON</v>
      </c>
    </row>
    <row r="68" spans="1:22" ht="15" thickBot="1">
      <c r="A68" s="10" t="s">
        <v>21</v>
      </c>
      <c r="B68" s="10" t="s">
        <v>22</v>
      </c>
      <c r="C68" s="10" t="s">
        <v>686</v>
      </c>
      <c r="D68" s="10" t="s">
        <v>687</v>
      </c>
      <c r="E68" s="10" t="s">
        <v>688</v>
      </c>
      <c r="F68" s="10" t="s">
        <v>689</v>
      </c>
      <c r="G68" s="11">
        <v>4600</v>
      </c>
      <c r="H68" s="163" t="s">
        <v>760</v>
      </c>
      <c r="I68" s="158" t="s">
        <v>761</v>
      </c>
      <c r="J68" s="163" t="s">
        <v>758</v>
      </c>
      <c r="K68" s="10" t="s">
        <v>30</v>
      </c>
      <c r="L68" s="10">
        <v>15</v>
      </c>
      <c r="M68" s="10">
        <f t="shared" si="5"/>
        <v>5</v>
      </c>
      <c r="N68" s="10">
        <v>15</v>
      </c>
      <c r="O68" s="12">
        <v>5</v>
      </c>
      <c r="P68" s="11">
        <v>7660</v>
      </c>
      <c r="Q68" s="10" t="s">
        <v>36</v>
      </c>
      <c r="R68" s="4" t="s">
        <v>1282</v>
      </c>
      <c r="S68" s="4" t="s">
        <v>1279</v>
      </c>
      <c r="T68" s="4" t="s">
        <v>19</v>
      </c>
      <c r="U68" s="4" t="str">
        <f>IF(ISNUMBER(SEARCH("ADD-ON",$I68)),"ADD-ON","NOT AN ADD-ON")</f>
        <v>NOT AN ADD-ON</v>
      </c>
      <c r="V68" s="4" t="str">
        <f t="shared" si="6"/>
        <v>OIL AND GASINDUSTRY SOLUTIONAUTHORIZEDNOT AN ADD-ON</v>
      </c>
    </row>
    <row r="69" spans="1:22" ht="29.25" customHeight="1" thickBot="1">
      <c r="A69" s="10" t="s">
        <v>21</v>
      </c>
      <c r="B69" s="10" t="s">
        <v>22</v>
      </c>
      <c r="C69" s="10" t="s">
        <v>686</v>
      </c>
      <c r="D69" s="10" t="s">
        <v>687</v>
      </c>
      <c r="E69" s="10" t="s">
        <v>688</v>
      </c>
      <c r="F69" s="10" t="s">
        <v>689</v>
      </c>
      <c r="G69" s="11">
        <v>2680</v>
      </c>
      <c r="H69" s="163" t="s">
        <v>750</v>
      </c>
      <c r="I69" s="166" t="s">
        <v>751</v>
      </c>
      <c r="J69" s="163" t="s">
        <v>746</v>
      </c>
      <c r="K69" s="10" t="s">
        <v>30</v>
      </c>
      <c r="L69" s="10">
        <v>15</v>
      </c>
      <c r="M69" s="10">
        <f t="shared" si="5"/>
        <v>5</v>
      </c>
      <c r="N69" s="10">
        <v>15</v>
      </c>
      <c r="O69" s="12">
        <v>5</v>
      </c>
      <c r="P69" s="11">
        <v>7660</v>
      </c>
      <c r="Q69" s="10" t="s">
        <v>48</v>
      </c>
      <c r="R69" s="4" t="s">
        <v>1282</v>
      </c>
      <c r="S69" s="4" t="s">
        <v>1279</v>
      </c>
      <c r="T69" s="4" t="s">
        <v>19</v>
      </c>
      <c r="U69" s="4" t="str">
        <f>IF(ISNUMBER(SEARCH("ADD-ON",$I69)),"ADD-ON","NOT AN ADD-ON")</f>
        <v>NOT AN ADD-ON</v>
      </c>
      <c r="V69" s="4" t="str">
        <f t="shared" si="6"/>
        <v>OIL AND GASINDUSTRY SOLUTIONAUTHORIZEDNOT AN ADD-ON</v>
      </c>
    </row>
    <row r="70" spans="1:22" ht="29.25" customHeight="1" thickBot="1">
      <c r="A70" s="10" t="s">
        <v>21</v>
      </c>
      <c r="B70" s="10" t="s">
        <v>22</v>
      </c>
      <c r="C70" s="10" t="s">
        <v>686</v>
      </c>
      <c r="D70" s="10" t="s">
        <v>687</v>
      </c>
      <c r="E70" s="10" t="s">
        <v>688</v>
      </c>
      <c r="F70" s="10" t="s">
        <v>689</v>
      </c>
      <c r="G70" s="11">
        <v>5470</v>
      </c>
      <c r="H70" s="163" t="s">
        <v>752</v>
      </c>
      <c r="I70" s="166" t="s">
        <v>753</v>
      </c>
      <c r="J70" s="163" t="s">
        <v>746</v>
      </c>
      <c r="K70" s="10" t="s">
        <v>30</v>
      </c>
      <c r="L70" s="10">
        <v>15</v>
      </c>
      <c r="M70" s="10">
        <f t="shared" si="5"/>
        <v>5</v>
      </c>
      <c r="N70" s="10">
        <v>15</v>
      </c>
      <c r="O70" s="12">
        <v>5</v>
      </c>
      <c r="P70" s="11">
        <v>7660</v>
      </c>
      <c r="Q70" s="10" t="s">
        <v>48</v>
      </c>
      <c r="R70" s="4" t="s">
        <v>1282</v>
      </c>
      <c r="S70" s="4" t="s">
        <v>1279</v>
      </c>
      <c r="T70" s="4" t="s">
        <v>19</v>
      </c>
      <c r="U70" s="4" t="str">
        <f>IF(ISNUMBER(SEARCH("ADD-ON",$I70)),"ADD-ON","NOT AN ADD-ON")</f>
        <v>NOT AN ADD-ON</v>
      </c>
      <c r="V70" s="4" t="str">
        <f t="shared" si="6"/>
        <v>OIL AND GASINDUSTRY SOLUTIONAUTHORIZEDNOT AN ADD-ON</v>
      </c>
    </row>
    <row r="71" spans="1:22" ht="15" thickBot="1">
      <c r="A71" s="10" t="s">
        <v>21</v>
      </c>
      <c r="B71" s="10" t="s">
        <v>22</v>
      </c>
      <c r="C71" s="10" t="s">
        <v>686</v>
      </c>
      <c r="D71" s="10" t="s">
        <v>687</v>
      </c>
      <c r="E71" s="10" t="s">
        <v>688</v>
      </c>
      <c r="F71" s="10" t="s">
        <v>689</v>
      </c>
      <c r="G71" s="11">
        <v>2150</v>
      </c>
      <c r="H71" s="163" t="s">
        <v>746</v>
      </c>
      <c r="I71" s="158" t="s">
        <v>747</v>
      </c>
      <c r="J71" s="163" t="s">
        <v>746</v>
      </c>
      <c r="K71" s="10" t="s">
        <v>30</v>
      </c>
      <c r="L71" s="10">
        <v>5</v>
      </c>
      <c r="M71" s="10">
        <f t="shared" si="5"/>
        <v>1.67</v>
      </c>
      <c r="N71" s="10">
        <v>15</v>
      </c>
      <c r="O71" s="12">
        <v>5</v>
      </c>
      <c r="P71" s="11">
        <v>2150</v>
      </c>
      <c r="Q71" s="10" t="s">
        <v>33</v>
      </c>
      <c r="R71" s="4" t="s">
        <v>1282</v>
      </c>
      <c r="S71" s="4" t="s">
        <v>1279</v>
      </c>
      <c r="T71" s="4" t="s">
        <v>19</v>
      </c>
      <c r="U71" s="4" t="s">
        <v>507</v>
      </c>
      <c r="V71" s="4" t="str">
        <f t="shared" si="6"/>
        <v>OIL AND GASINDUSTRY SOLUTIONAUTHORIZEDADD-ON</v>
      </c>
    </row>
    <row r="72" spans="1:22" ht="15" thickBot="1">
      <c r="A72" s="10" t="s">
        <v>21</v>
      </c>
      <c r="B72" s="10" t="s">
        <v>22</v>
      </c>
      <c r="C72" s="10" t="s">
        <v>686</v>
      </c>
      <c r="D72" s="10" t="s">
        <v>687</v>
      </c>
      <c r="E72" s="10" t="s">
        <v>688</v>
      </c>
      <c r="F72" s="10" t="s">
        <v>689</v>
      </c>
      <c r="G72" s="11">
        <v>1300</v>
      </c>
      <c r="H72" s="163" t="s">
        <v>748</v>
      </c>
      <c r="I72" s="158" t="s">
        <v>749</v>
      </c>
      <c r="J72" s="163" t="s">
        <v>746</v>
      </c>
      <c r="K72" s="10" t="s">
        <v>30</v>
      </c>
      <c r="L72" s="10">
        <v>5</v>
      </c>
      <c r="M72" s="10">
        <f t="shared" si="5"/>
        <v>1.67</v>
      </c>
      <c r="N72" s="10">
        <v>15</v>
      </c>
      <c r="O72" s="12">
        <v>5</v>
      </c>
      <c r="P72" s="11">
        <v>2150</v>
      </c>
      <c r="Q72" s="10" t="s">
        <v>36</v>
      </c>
      <c r="R72" s="4" t="s">
        <v>1282</v>
      </c>
      <c r="S72" s="4" t="s">
        <v>1279</v>
      </c>
      <c r="T72" s="4" t="s">
        <v>19</v>
      </c>
      <c r="U72" s="4" t="s">
        <v>507</v>
      </c>
      <c r="V72" s="4" t="str">
        <f t="shared" si="6"/>
        <v>OIL AND GASINDUSTRY SOLUTIONAUTHORIZEDADD-ON</v>
      </c>
    </row>
    <row r="73" spans="1:22" ht="29.25" customHeight="1" thickBot="1">
      <c r="A73" s="10" t="s">
        <v>21</v>
      </c>
      <c r="B73" s="10" t="s">
        <v>22</v>
      </c>
      <c r="C73" s="10" t="s">
        <v>778</v>
      </c>
      <c r="D73" s="10" t="s">
        <v>779</v>
      </c>
      <c r="E73" s="10" t="s">
        <v>780</v>
      </c>
      <c r="F73" s="10" t="s">
        <v>781</v>
      </c>
      <c r="G73" s="11">
        <v>7660</v>
      </c>
      <c r="H73" s="163" t="s">
        <v>806</v>
      </c>
      <c r="I73" s="158" t="s">
        <v>813</v>
      </c>
      <c r="J73" s="163" t="s">
        <v>806</v>
      </c>
      <c r="K73" s="10" t="s">
        <v>30</v>
      </c>
      <c r="L73" s="10">
        <v>15</v>
      </c>
      <c r="M73" s="10">
        <f t="shared" si="5"/>
        <v>5</v>
      </c>
      <c r="N73" s="10">
        <v>15</v>
      </c>
      <c r="O73" s="12">
        <v>5</v>
      </c>
      <c r="P73" s="11">
        <v>7660</v>
      </c>
      <c r="Q73" s="10" t="s">
        <v>33</v>
      </c>
      <c r="R73" s="4" t="s">
        <v>1283</v>
      </c>
      <c r="S73" s="4" t="s">
        <v>1279</v>
      </c>
      <c r="T73" s="4" t="s">
        <v>19</v>
      </c>
      <c r="U73" s="4" t="str">
        <f>IF(ISNUMBER(SEARCH("ADD-ON",$I73)),"ADD-ON","NOT AN ADD-ON")</f>
        <v>NOT AN ADD-ON</v>
      </c>
      <c r="V73" s="4" t="str">
        <f t="shared" si="6"/>
        <v>TRANSPORATIONINDUSTRY SOLUTIONAUTHORIZEDNOT AN ADD-ON</v>
      </c>
    </row>
    <row r="74" spans="1:22" ht="15" thickBot="1">
      <c r="A74" s="10" t="s">
        <v>21</v>
      </c>
      <c r="B74" s="10" t="s">
        <v>22</v>
      </c>
      <c r="C74" s="10" t="s">
        <v>778</v>
      </c>
      <c r="D74" s="10" t="s">
        <v>779</v>
      </c>
      <c r="E74" s="10" t="s">
        <v>780</v>
      </c>
      <c r="F74" s="10" t="s">
        <v>781</v>
      </c>
      <c r="G74" s="11">
        <v>4600</v>
      </c>
      <c r="H74" s="163" t="s">
        <v>814</v>
      </c>
      <c r="I74" s="158" t="s">
        <v>815</v>
      </c>
      <c r="J74" s="163" t="s">
        <v>806</v>
      </c>
      <c r="K74" s="10" t="s">
        <v>30</v>
      </c>
      <c r="L74" s="10">
        <v>15</v>
      </c>
      <c r="M74" s="10">
        <f t="shared" si="5"/>
        <v>5</v>
      </c>
      <c r="N74" s="10">
        <v>15</v>
      </c>
      <c r="O74" s="12">
        <v>5</v>
      </c>
      <c r="P74" s="11">
        <v>7660</v>
      </c>
      <c r="Q74" s="10" t="s">
        <v>36</v>
      </c>
      <c r="R74" s="4" t="s">
        <v>1283</v>
      </c>
      <c r="S74" s="4" t="s">
        <v>1279</v>
      </c>
      <c r="T74" s="4" t="s">
        <v>19</v>
      </c>
      <c r="U74" s="4" t="str">
        <f>IF(ISNUMBER(SEARCH("ADD-ON",$I74)),"ADD-ON","NOT AN ADD-ON")</f>
        <v>NOT AN ADD-ON</v>
      </c>
      <c r="V74" s="4" t="str">
        <f t="shared" si="6"/>
        <v>TRANSPORATIONINDUSTRY SOLUTIONAUTHORIZEDNOT AN ADD-ON</v>
      </c>
    </row>
    <row r="75" spans="1:22" ht="29.25" customHeight="1" thickBot="1">
      <c r="A75" s="10" t="s">
        <v>21</v>
      </c>
      <c r="B75" s="10" t="s">
        <v>22</v>
      </c>
      <c r="C75" s="10" t="s">
        <v>778</v>
      </c>
      <c r="D75" s="10" t="s">
        <v>779</v>
      </c>
      <c r="E75" s="10" t="s">
        <v>780</v>
      </c>
      <c r="F75" s="10" t="s">
        <v>781</v>
      </c>
      <c r="G75" s="11">
        <v>2680</v>
      </c>
      <c r="H75" s="163" t="s">
        <v>804</v>
      </c>
      <c r="I75" s="166" t="s">
        <v>805</v>
      </c>
      <c r="J75" s="163" t="s">
        <v>806</v>
      </c>
      <c r="K75" s="10" t="s">
        <v>30</v>
      </c>
      <c r="L75" s="10">
        <v>15</v>
      </c>
      <c r="M75" s="10">
        <f t="shared" si="5"/>
        <v>5</v>
      </c>
      <c r="N75" s="10">
        <v>15</v>
      </c>
      <c r="O75" s="12">
        <v>5</v>
      </c>
      <c r="P75" s="11">
        <v>7660</v>
      </c>
      <c r="Q75" s="10" t="s">
        <v>48</v>
      </c>
      <c r="R75" s="4" t="s">
        <v>1283</v>
      </c>
      <c r="S75" s="4" t="s">
        <v>1279</v>
      </c>
      <c r="T75" s="4" t="s">
        <v>19</v>
      </c>
      <c r="U75" s="4" t="str">
        <f>IF(ISNUMBER(SEARCH("ADD-ON",$I75)),"ADD-ON","NOT AN ADD-ON")</f>
        <v>NOT AN ADD-ON</v>
      </c>
      <c r="V75" s="4" t="str">
        <f t="shared" si="6"/>
        <v>TRANSPORATIONINDUSTRY SOLUTIONAUTHORIZEDNOT AN ADD-ON</v>
      </c>
    </row>
    <row r="76" spans="1:22" ht="15" thickBot="1">
      <c r="A76" s="10" t="s">
        <v>21</v>
      </c>
      <c r="B76" s="10" t="s">
        <v>22</v>
      </c>
      <c r="C76" s="10" t="s">
        <v>778</v>
      </c>
      <c r="D76" s="10" t="s">
        <v>779</v>
      </c>
      <c r="E76" s="10" t="s">
        <v>780</v>
      </c>
      <c r="F76" s="10" t="s">
        <v>781</v>
      </c>
      <c r="G76" s="11">
        <v>5470</v>
      </c>
      <c r="H76" s="163" t="s">
        <v>807</v>
      </c>
      <c r="I76" s="166" t="s">
        <v>808</v>
      </c>
      <c r="J76" s="163" t="s">
        <v>806</v>
      </c>
      <c r="K76" s="10" t="s">
        <v>30</v>
      </c>
      <c r="L76" s="10">
        <v>15</v>
      </c>
      <c r="M76" s="10">
        <f t="shared" si="5"/>
        <v>5</v>
      </c>
      <c r="N76" s="10">
        <v>15</v>
      </c>
      <c r="O76" s="12">
        <v>5</v>
      </c>
      <c r="P76" s="11">
        <v>7660</v>
      </c>
      <c r="Q76" s="10" t="s">
        <v>48</v>
      </c>
      <c r="R76" s="4" t="s">
        <v>1283</v>
      </c>
      <c r="S76" s="4" t="s">
        <v>1279</v>
      </c>
      <c r="T76" s="4" t="s">
        <v>19</v>
      </c>
      <c r="U76" s="4" t="str">
        <f>IF(ISNUMBER(SEARCH("ADD-ON",$I76)),"ADD-ON","NOT AN ADD-ON")</f>
        <v>NOT AN ADD-ON</v>
      </c>
      <c r="V76" s="4" t="str">
        <f t="shared" si="6"/>
        <v>TRANSPORATIONINDUSTRY SOLUTIONAUTHORIZEDNOT AN ADD-ON</v>
      </c>
    </row>
    <row r="77" spans="1:22" ht="29.25" customHeight="1" thickBot="1">
      <c r="A77" s="10" t="s">
        <v>21</v>
      </c>
      <c r="B77" s="10" t="s">
        <v>22</v>
      </c>
      <c r="C77" s="10" t="s">
        <v>778</v>
      </c>
      <c r="D77" s="10" t="s">
        <v>779</v>
      </c>
      <c r="E77" s="10" t="s">
        <v>780</v>
      </c>
      <c r="F77" s="10" t="s">
        <v>781</v>
      </c>
      <c r="G77" s="11">
        <v>2150</v>
      </c>
      <c r="H77" s="163" t="s">
        <v>784</v>
      </c>
      <c r="I77" s="158" t="s">
        <v>785</v>
      </c>
      <c r="J77" s="163" t="s">
        <v>784</v>
      </c>
      <c r="K77" s="10" t="s">
        <v>30</v>
      </c>
      <c r="L77" s="10">
        <v>5</v>
      </c>
      <c r="M77" s="10">
        <f t="shared" si="5"/>
        <v>1.67</v>
      </c>
      <c r="N77" s="10">
        <v>15</v>
      </c>
      <c r="O77" s="12">
        <v>5</v>
      </c>
      <c r="P77" s="11">
        <v>2150</v>
      </c>
      <c r="Q77" s="10" t="s">
        <v>33</v>
      </c>
      <c r="R77" s="4" t="s">
        <v>1283</v>
      </c>
      <c r="S77" s="4" t="s">
        <v>1279</v>
      </c>
      <c r="T77" s="4" t="s">
        <v>19</v>
      </c>
      <c r="U77" s="4" t="s">
        <v>507</v>
      </c>
      <c r="V77" s="4" t="str">
        <f t="shared" si="6"/>
        <v>TRANSPORATIONINDUSTRY SOLUTIONAUTHORIZEDADD-ON</v>
      </c>
    </row>
    <row r="78" spans="1:22" ht="29.25" customHeight="1" thickBot="1">
      <c r="A78" s="10" t="s">
        <v>21</v>
      </c>
      <c r="B78" s="10" t="s">
        <v>22</v>
      </c>
      <c r="C78" s="10" t="s">
        <v>778</v>
      </c>
      <c r="D78" s="10" t="s">
        <v>779</v>
      </c>
      <c r="E78" s="10" t="s">
        <v>780</v>
      </c>
      <c r="F78" s="10" t="s">
        <v>781</v>
      </c>
      <c r="G78" s="11">
        <v>1300</v>
      </c>
      <c r="H78" s="163" t="s">
        <v>786</v>
      </c>
      <c r="I78" s="158" t="s">
        <v>787</v>
      </c>
      <c r="J78" s="163" t="s">
        <v>784</v>
      </c>
      <c r="K78" s="10" t="s">
        <v>30</v>
      </c>
      <c r="L78" s="10">
        <v>5</v>
      </c>
      <c r="M78" s="10">
        <f t="shared" si="5"/>
        <v>1.67</v>
      </c>
      <c r="N78" s="10">
        <v>15</v>
      </c>
      <c r="O78" s="12">
        <v>5</v>
      </c>
      <c r="P78" s="11">
        <v>2150</v>
      </c>
      <c r="Q78" s="10" t="s">
        <v>36</v>
      </c>
      <c r="R78" s="4" t="s">
        <v>1283</v>
      </c>
      <c r="S78" s="4" t="s">
        <v>1279</v>
      </c>
      <c r="T78" s="4" t="s">
        <v>19</v>
      </c>
      <c r="U78" s="4" t="s">
        <v>507</v>
      </c>
      <c r="V78" s="4" t="str">
        <f t="shared" si="6"/>
        <v>TRANSPORATIONINDUSTRY SOLUTIONAUTHORIZEDADD-ON</v>
      </c>
    </row>
    <row r="79" spans="1:22" ht="29.25" customHeight="1" thickBot="1">
      <c r="A79" s="10" t="s">
        <v>21</v>
      </c>
      <c r="B79" s="10" t="s">
        <v>22</v>
      </c>
      <c r="C79" s="10" t="s">
        <v>778</v>
      </c>
      <c r="D79" s="10" t="s">
        <v>779</v>
      </c>
      <c r="E79" s="10" t="s">
        <v>780</v>
      </c>
      <c r="F79" s="10" t="s">
        <v>781</v>
      </c>
      <c r="G79" s="11">
        <v>7660</v>
      </c>
      <c r="H79" s="163" t="s">
        <v>844</v>
      </c>
      <c r="I79" s="158" t="s">
        <v>851</v>
      </c>
      <c r="J79" s="163" t="s">
        <v>844</v>
      </c>
      <c r="K79" s="10" t="s">
        <v>30</v>
      </c>
      <c r="L79" s="10">
        <v>15</v>
      </c>
      <c r="M79" s="10">
        <f t="shared" si="5"/>
        <v>5</v>
      </c>
      <c r="N79" s="10">
        <v>15</v>
      </c>
      <c r="O79" s="12">
        <v>5</v>
      </c>
      <c r="P79" s="11">
        <v>7660</v>
      </c>
      <c r="Q79" s="10" t="s">
        <v>33</v>
      </c>
      <c r="R79" s="4" t="s">
        <v>1283</v>
      </c>
      <c r="S79" s="4" t="s">
        <v>1279</v>
      </c>
      <c r="T79" s="4" t="s">
        <v>19</v>
      </c>
      <c r="U79" s="4" t="str">
        <f>IF(ISNUMBER(SEARCH("ADD-ON",$I79)),"ADD-ON","NOT AN ADD-ON")</f>
        <v>NOT AN ADD-ON</v>
      </c>
      <c r="V79" s="4" t="str">
        <f t="shared" si="6"/>
        <v>TRANSPORATIONINDUSTRY SOLUTIONAUTHORIZEDNOT AN ADD-ON</v>
      </c>
    </row>
    <row r="80" spans="1:22" ht="15" thickBot="1">
      <c r="A80" s="10" t="s">
        <v>21</v>
      </c>
      <c r="B80" s="10" t="s">
        <v>22</v>
      </c>
      <c r="C80" s="10" t="s">
        <v>778</v>
      </c>
      <c r="D80" s="10" t="s">
        <v>779</v>
      </c>
      <c r="E80" s="10" t="s">
        <v>780</v>
      </c>
      <c r="F80" s="10" t="s">
        <v>781</v>
      </c>
      <c r="G80" s="11">
        <v>4600</v>
      </c>
      <c r="H80" s="163" t="s">
        <v>852</v>
      </c>
      <c r="I80" s="158" t="s">
        <v>853</v>
      </c>
      <c r="J80" s="163" t="s">
        <v>844</v>
      </c>
      <c r="K80" s="10" t="s">
        <v>30</v>
      </c>
      <c r="L80" s="10">
        <v>15</v>
      </c>
      <c r="M80" s="10">
        <f t="shared" si="5"/>
        <v>5</v>
      </c>
      <c r="N80" s="10">
        <v>15</v>
      </c>
      <c r="O80" s="12">
        <v>5</v>
      </c>
      <c r="P80" s="11">
        <v>7660</v>
      </c>
      <c r="Q80" s="10" t="s">
        <v>36</v>
      </c>
      <c r="R80" s="4" t="s">
        <v>1283</v>
      </c>
      <c r="S80" s="4" t="s">
        <v>1279</v>
      </c>
      <c r="T80" s="4" t="s">
        <v>19</v>
      </c>
      <c r="U80" s="4" t="str">
        <f>IF(ISNUMBER(SEARCH("ADD-ON",$I80)),"ADD-ON","NOT AN ADD-ON")</f>
        <v>NOT AN ADD-ON</v>
      </c>
      <c r="V80" s="4" t="str">
        <f t="shared" si="6"/>
        <v>TRANSPORATIONINDUSTRY SOLUTIONAUTHORIZEDNOT AN ADD-ON</v>
      </c>
    </row>
    <row r="81" spans="1:22" ht="29.25" customHeight="1" thickBot="1">
      <c r="A81" s="10" t="s">
        <v>21</v>
      </c>
      <c r="B81" s="10" t="s">
        <v>22</v>
      </c>
      <c r="C81" s="10" t="s">
        <v>778</v>
      </c>
      <c r="D81" s="10" t="s">
        <v>779</v>
      </c>
      <c r="E81" s="10" t="s">
        <v>780</v>
      </c>
      <c r="F81" s="10" t="s">
        <v>781</v>
      </c>
      <c r="G81" s="11">
        <v>2680</v>
      </c>
      <c r="H81" s="163" t="s">
        <v>842</v>
      </c>
      <c r="I81" s="166" t="s">
        <v>843</v>
      </c>
      <c r="J81" s="163" t="s">
        <v>844</v>
      </c>
      <c r="K81" s="10" t="s">
        <v>30</v>
      </c>
      <c r="L81" s="10">
        <v>15</v>
      </c>
      <c r="M81" s="10">
        <f t="shared" si="5"/>
        <v>5</v>
      </c>
      <c r="N81" s="10">
        <v>15</v>
      </c>
      <c r="O81" s="12">
        <v>5</v>
      </c>
      <c r="P81" s="11">
        <v>7660</v>
      </c>
      <c r="Q81" s="10" t="s">
        <v>48</v>
      </c>
      <c r="R81" s="4" t="s">
        <v>1283</v>
      </c>
      <c r="S81" s="4" t="s">
        <v>1279</v>
      </c>
      <c r="T81" s="4" t="s">
        <v>19</v>
      </c>
      <c r="U81" s="4" t="str">
        <f>IF(ISNUMBER(SEARCH("ADD-ON",$I81)),"ADD-ON","NOT AN ADD-ON")</f>
        <v>NOT AN ADD-ON</v>
      </c>
      <c r="V81" s="4" t="str">
        <f t="shared" si="6"/>
        <v>TRANSPORATIONINDUSTRY SOLUTIONAUTHORIZEDNOT AN ADD-ON</v>
      </c>
    </row>
    <row r="82" spans="1:22" ht="27" thickBot="1">
      <c r="A82" s="10" t="s">
        <v>21</v>
      </c>
      <c r="B82" s="10" t="s">
        <v>22</v>
      </c>
      <c r="C82" s="10" t="s">
        <v>778</v>
      </c>
      <c r="D82" s="10" t="s">
        <v>779</v>
      </c>
      <c r="E82" s="10" t="s">
        <v>780</v>
      </c>
      <c r="F82" s="10" t="s">
        <v>781</v>
      </c>
      <c r="G82" s="11">
        <v>5470</v>
      </c>
      <c r="H82" s="163" t="s">
        <v>845</v>
      </c>
      <c r="I82" s="166" t="s">
        <v>846</v>
      </c>
      <c r="J82" s="163" t="s">
        <v>844</v>
      </c>
      <c r="K82" s="10" t="s">
        <v>30</v>
      </c>
      <c r="L82" s="10">
        <v>15</v>
      </c>
      <c r="M82" s="10">
        <f t="shared" si="5"/>
        <v>5</v>
      </c>
      <c r="N82" s="10">
        <v>15</v>
      </c>
      <c r="O82" s="12">
        <v>5</v>
      </c>
      <c r="P82" s="11">
        <v>7660</v>
      </c>
      <c r="Q82" s="10" t="s">
        <v>48</v>
      </c>
      <c r="R82" s="4" t="s">
        <v>1283</v>
      </c>
      <c r="S82" s="4" t="s">
        <v>1279</v>
      </c>
      <c r="T82" s="4" t="s">
        <v>19</v>
      </c>
      <c r="U82" s="4" t="str">
        <f>IF(ISNUMBER(SEARCH("ADD-ON",$I82)),"ADD-ON","NOT AN ADD-ON")</f>
        <v>NOT AN ADD-ON</v>
      </c>
      <c r="V82" s="4" t="str">
        <f t="shared" si="6"/>
        <v>TRANSPORATIONINDUSTRY SOLUTIONAUTHORIZEDNOT AN ADD-ON</v>
      </c>
    </row>
    <row r="83" spans="1:22" ht="15" thickBot="1">
      <c r="A83" s="10" t="s">
        <v>21</v>
      </c>
      <c r="B83" s="10" t="s">
        <v>22</v>
      </c>
      <c r="C83" s="10" t="s">
        <v>778</v>
      </c>
      <c r="D83" s="10" t="s">
        <v>779</v>
      </c>
      <c r="E83" s="10" t="s">
        <v>780</v>
      </c>
      <c r="F83" s="10" t="s">
        <v>781</v>
      </c>
      <c r="G83" s="11">
        <v>2150</v>
      </c>
      <c r="H83" s="163" t="s">
        <v>838</v>
      </c>
      <c r="I83" s="158" t="s">
        <v>839</v>
      </c>
      <c r="J83" s="163" t="s">
        <v>838</v>
      </c>
      <c r="K83" s="10" t="s">
        <v>30</v>
      </c>
      <c r="L83" s="10">
        <v>5</v>
      </c>
      <c r="M83" s="10">
        <f t="shared" si="5"/>
        <v>1.67</v>
      </c>
      <c r="N83" s="10">
        <v>15</v>
      </c>
      <c r="O83" s="12">
        <v>5</v>
      </c>
      <c r="P83" s="11">
        <v>2150</v>
      </c>
      <c r="Q83" s="10" t="s">
        <v>33</v>
      </c>
      <c r="R83" s="4" t="s">
        <v>1283</v>
      </c>
      <c r="S83" s="4" t="s">
        <v>1279</v>
      </c>
      <c r="T83" s="4" t="s">
        <v>19</v>
      </c>
      <c r="U83" s="4" t="s">
        <v>507</v>
      </c>
      <c r="V83" s="4" t="str">
        <f t="shared" si="6"/>
        <v>TRANSPORATIONINDUSTRY SOLUTIONAUTHORIZEDADD-ON</v>
      </c>
    </row>
    <row r="84" spans="1:22" ht="29.25" customHeight="1" thickBot="1">
      <c r="A84" s="10" t="s">
        <v>21</v>
      </c>
      <c r="B84" s="10" t="s">
        <v>22</v>
      </c>
      <c r="C84" s="10" t="s">
        <v>778</v>
      </c>
      <c r="D84" s="10" t="s">
        <v>779</v>
      </c>
      <c r="E84" s="10" t="s">
        <v>780</v>
      </c>
      <c r="F84" s="10" t="s">
        <v>781</v>
      </c>
      <c r="G84" s="11">
        <v>1300</v>
      </c>
      <c r="H84" s="163" t="s">
        <v>840</v>
      </c>
      <c r="I84" s="158" t="s">
        <v>841</v>
      </c>
      <c r="J84" s="163" t="s">
        <v>838</v>
      </c>
      <c r="K84" s="10" t="s">
        <v>30</v>
      </c>
      <c r="L84" s="10">
        <v>5</v>
      </c>
      <c r="M84" s="10">
        <f t="shared" si="5"/>
        <v>1.67</v>
      </c>
      <c r="N84" s="10">
        <v>15</v>
      </c>
      <c r="O84" s="12">
        <v>5</v>
      </c>
      <c r="P84" s="11">
        <v>2150</v>
      </c>
      <c r="Q84" s="10" t="s">
        <v>36</v>
      </c>
      <c r="R84" s="4" t="s">
        <v>1283</v>
      </c>
      <c r="S84" s="4" t="s">
        <v>1279</v>
      </c>
      <c r="T84" s="4" t="s">
        <v>19</v>
      </c>
      <c r="U84" s="4" t="s">
        <v>507</v>
      </c>
      <c r="V84" s="4" t="str">
        <f t="shared" si="6"/>
        <v>TRANSPORATIONINDUSTRY SOLUTIONAUTHORIZEDADD-ON</v>
      </c>
    </row>
    <row r="85" spans="1:22" ht="29.25" customHeight="1" thickBot="1">
      <c r="A85" s="10" t="s">
        <v>21</v>
      </c>
      <c r="B85" s="10" t="s">
        <v>22</v>
      </c>
      <c r="C85" s="10" t="s">
        <v>870</v>
      </c>
      <c r="D85" s="10" t="s">
        <v>871</v>
      </c>
      <c r="E85" s="10" t="s">
        <v>872</v>
      </c>
      <c r="F85" s="10" t="s">
        <v>873</v>
      </c>
      <c r="G85" s="11">
        <v>7660</v>
      </c>
      <c r="H85" s="163" t="s">
        <v>898</v>
      </c>
      <c r="I85" s="158" t="s">
        <v>905</v>
      </c>
      <c r="J85" s="163" t="s">
        <v>898</v>
      </c>
      <c r="K85" s="10" t="s">
        <v>30</v>
      </c>
      <c r="L85" s="10">
        <v>15</v>
      </c>
      <c r="M85" s="10">
        <f t="shared" si="5"/>
        <v>5</v>
      </c>
      <c r="N85" s="10">
        <v>15</v>
      </c>
      <c r="O85" s="12">
        <v>5</v>
      </c>
      <c r="P85" s="11">
        <v>7660</v>
      </c>
      <c r="Q85" s="10" t="s">
        <v>33</v>
      </c>
      <c r="R85" s="4" t="s">
        <v>1284</v>
      </c>
      <c r="S85" s="4" t="s">
        <v>1279</v>
      </c>
      <c r="T85" s="4" t="s">
        <v>19</v>
      </c>
      <c r="U85" s="4" t="str">
        <f>IF(ISNUMBER(SEARCH("ADD-ON",$I85)),"ADD-ON","NOT AN ADD-ON")</f>
        <v>NOT AN ADD-ON</v>
      </c>
      <c r="V85" s="4" t="str">
        <f t="shared" si="6"/>
        <v>UTILITIESINDUSTRY SOLUTIONAUTHORIZEDNOT AN ADD-ON</v>
      </c>
    </row>
    <row r="86" spans="1:22" ht="15" thickBot="1">
      <c r="A86" s="10" t="s">
        <v>21</v>
      </c>
      <c r="B86" s="10" t="s">
        <v>22</v>
      </c>
      <c r="C86" s="10" t="s">
        <v>870</v>
      </c>
      <c r="D86" s="10" t="s">
        <v>871</v>
      </c>
      <c r="E86" s="10" t="s">
        <v>872</v>
      </c>
      <c r="F86" s="10" t="s">
        <v>873</v>
      </c>
      <c r="G86" s="11">
        <v>4600</v>
      </c>
      <c r="H86" s="163" t="s">
        <v>906</v>
      </c>
      <c r="I86" s="158" t="s">
        <v>907</v>
      </c>
      <c r="J86" s="163" t="s">
        <v>898</v>
      </c>
      <c r="K86" s="10" t="s">
        <v>30</v>
      </c>
      <c r="L86" s="10">
        <v>15</v>
      </c>
      <c r="M86" s="10">
        <f t="shared" si="5"/>
        <v>5</v>
      </c>
      <c r="N86" s="10">
        <v>15</v>
      </c>
      <c r="O86" s="12">
        <v>5</v>
      </c>
      <c r="P86" s="11">
        <v>7660</v>
      </c>
      <c r="Q86" s="10" t="s">
        <v>36</v>
      </c>
      <c r="R86" s="4" t="s">
        <v>1284</v>
      </c>
      <c r="S86" s="4" t="s">
        <v>1279</v>
      </c>
      <c r="T86" s="4" t="s">
        <v>19</v>
      </c>
      <c r="U86" s="4" t="str">
        <f>IF(ISNUMBER(SEARCH("ADD-ON",$I86)),"ADD-ON","NOT AN ADD-ON")</f>
        <v>NOT AN ADD-ON</v>
      </c>
      <c r="V86" s="4" t="str">
        <f t="shared" si="6"/>
        <v>UTILITIESINDUSTRY SOLUTIONAUTHORIZEDNOT AN ADD-ON</v>
      </c>
    </row>
    <row r="87" spans="1:22" ht="15" thickBot="1">
      <c r="A87" s="10" t="s">
        <v>21</v>
      </c>
      <c r="B87" s="10" t="s">
        <v>22</v>
      </c>
      <c r="C87" s="10" t="s">
        <v>870</v>
      </c>
      <c r="D87" s="10" t="s">
        <v>871</v>
      </c>
      <c r="E87" s="10" t="s">
        <v>872</v>
      </c>
      <c r="F87" s="10" t="s">
        <v>873</v>
      </c>
      <c r="G87" s="11">
        <v>2680</v>
      </c>
      <c r="H87" s="163" t="s">
        <v>896</v>
      </c>
      <c r="I87" s="166" t="s">
        <v>897</v>
      </c>
      <c r="J87" s="163" t="s">
        <v>898</v>
      </c>
      <c r="K87" s="10" t="s">
        <v>30</v>
      </c>
      <c r="L87" s="10">
        <v>15</v>
      </c>
      <c r="M87" s="10">
        <f t="shared" si="5"/>
        <v>5</v>
      </c>
      <c r="N87" s="10">
        <v>15</v>
      </c>
      <c r="O87" s="12">
        <v>5</v>
      </c>
      <c r="P87" s="11">
        <v>7660</v>
      </c>
      <c r="Q87" s="10" t="s">
        <v>48</v>
      </c>
      <c r="R87" s="4" t="s">
        <v>1284</v>
      </c>
      <c r="S87" s="4" t="s">
        <v>1279</v>
      </c>
      <c r="T87" s="4" t="s">
        <v>19</v>
      </c>
      <c r="U87" s="4" t="str">
        <f>IF(ISNUMBER(SEARCH("ADD-ON",$I87)),"ADD-ON","NOT AN ADD-ON")</f>
        <v>NOT AN ADD-ON</v>
      </c>
      <c r="V87" s="4" t="str">
        <f t="shared" si="6"/>
        <v>UTILITIESINDUSTRY SOLUTIONAUTHORIZEDNOT AN ADD-ON</v>
      </c>
    </row>
    <row r="88" spans="1:22" ht="29.25" customHeight="1" thickBot="1">
      <c r="A88" s="10" t="s">
        <v>21</v>
      </c>
      <c r="B88" s="10" t="s">
        <v>22</v>
      </c>
      <c r="C88" s="10" t="s">
        <v>870</v>
      </c>
      <c r="D88" s="10" t="s">
        <v>871</v>
      </c>
      <c r="E88" s="10" t="s">
        <v>872</v>
      </c>
      <c r="F88" s="10" t="s">
        <v>873</v>
      </c>
      <c r="G88" s="11">
        <v>5470</v>
      </c>
      <c r="H88" s="163" t="s">
        <v>899</v>
      </c>
      <c r="I88" s="166" t="s">
        <v>900</v>
      </c>
      <c r="J88" s="163" t="s">
        <v>898</v>
      </c>
      <c r="K88" s="10" t="s">
        <v>30</v>
      </c>
      <c r="L88" s="10">
        <v>15</v>
      </c>
      <c r="M88" s="10">
        <f t="shared" si="5"/>
        <v>5</v>
      </c>
      <c r="N88" s="10">
        <v>15</v>
      </c>
      <c r="O88" s="12">
        <v>5</v>
      </c>
      <c r="P88" s="11">
        <v>7660</v>
      </c>
      <c r="Q88" s="10" t="s">
        <v>48</v>
      </c>
      <c r="R88" s="4" t="s">
        <v>1284</v>
      </c>
      <c r="S88" s="4" t="s">
        <v>1279</v>
      </c>
      <c r="T88" s="4" t="s">
        <v>19</v>
      </c>
      <c r="U88" s="4" t="str">
        <f>IF(ISNUMBER(SEARCH("ADD-ON",$I88)),"ADD-ON","NOT AN ADD-ON")</f>
        <v>NOT AN ADD-ON</v>
      </c>
      <c r="V88" s="4" t="str">
        <f t="shared" si="6"/>
        <v>UTILITIESINDUSTRY SOLUTIONAUTHORIZEDNOT AN ADD-ON</v>
      </c>
    </row>
    <row r="89" spans="1:22" ht="29.25" customHeight="1" thickBot="1">
      <c r="A89" s="10" t="s">
        <v>21</v>
      </c>
      <c r="B89" s="10" t="s">
        <v>22</v>
      </c>
      <c r="C89" s="10" t="s">
        <v>870</v>
      </c>
      <c r="D89" s="10" t="s">
        <v>871</v>
      </c>
      <c r="E89" s="10" t="s">
        <v>872</v>
      </c>
      <c r="F89" s="10" t="s">
        <v>873</v>
      </c>
      <c r="G89" s="11">
        <v>2150</v>
      </c>
      <c r="H89" s="163" t="s">
        <v>876</v>
      </c>
      <c r="I89" s="158" t="s">
        <v>877</v>
      </c>
      <c r="J89" s="163" t="s">
        <v>876</v>
      </c>
      <c r="K89" s="10" t="s">
        <v>30</v>
      </c>
      <c r="L89" s="10">
        <v>5</v>
      </c>
      <c r="M89" s="10">
        <f t="shared" si="5"/>
        <v>1.67</v>
      </c>
      <c r="N89" s="10">
        <v>15</v>
      </c>
      <c r="O89" s="12">
        <v>5</v>
      </c>
      <c r="P89" s="11">
        <v>2150</v>
      </c>
      <c r="Q89" s="10" t="s">
        <v>33</v>
      </c>
      <c r="R89" s="4" t="s">
        <v>1284</v>
      </c>
      <c r="S89" s="4" t="s">
        <v>1279</v>
      </c>
      <c r="T89" s="4" t="s">
        <v>19</v>
      </c>
      <c r="U89" s="4" t="s">
        <v>507</v>
      </c>
      <c r="V89" s="4" t="str">
        <f t="shared" si="6"/>
        <v>UTILITIESINDUSTRY SOLUTIONAUTHORIZEDADD-ON</v>
      </c>
    </row>
    <row r="90" spans="1:22" ht="15" thickBot="1">
      <c r="A90" s="10" t="s">
        <v>21</v>
      </c>
      <c r="B90" s="10" t="s">
        <v>22</v>
      </c>
      <c r="C90" s="10" t="s">
        <v>870</v>
      </c>
      <c r="D90" s="10" t="s">
        <v>871</v>
      </c>
      <c r="E90" s="10" t="s">
        <v>872</v>
      </c>
      <c r="F90" s="10" t="s">
        <v>873</v>
      </c>
      <c r="G90" s="11">
        <v>1300</v>
      </c>
      <c r="H90" s="163" t="s">
        <v>878</v>
      </c>
      <c r="I90" s="158" t="s">
        <v>879</v>
      </c>
      <c r="J90" s="163" t="s">
        <v>876</v>
      </c>
      <c r="K90" s="10" t="s">
        <v>30</v>
      </c>
      <c r="L90" s="10">
        <v>5</v>
      </c>
      <c r="M90" s="10">
        <f t="shared" si="5"/>
        <v>1.67</v>
      </c>
      <c r="N90" s="10">
        <v>15</v>
      </c>
      <c r="O90" s="12">
        <v>5</v>
      </c>
      <c r="P90" s="11">
        <v>2150</v>
      </c>
      <c r="Q90" s="10" t="s">
        <v>36</v>
      </c>
      <c r="R90" s="4" t="s">
        <v>1284</v>
      </c>
      <c r="S90" s="4" t="s">
        <v>1279</v>
      </c>
      <c r="T90" s="4" t="s">
        <v>19</v>
      </c>
      <c r="U90" s="4" t="s">
        <v>507</v>
      </c>
      <c r="V90" s="4" t="str">
        <f t="shared" si="6"/>
        <v>UTILITIESINDUSTRY SOLUTIONAUTHORIZEDADD-ON</v>
      </c>
    </row>
    <row r="91" spans="1:22" ht="29.25" customHeight="1" thickBot="1">
      <c r="A91" s="10" t="s">
        <v>21</v>
      </c>
      <c r="B91" s="10" t="s">
        <v>22</v>
      </c>
      <c r="C91" s="10" t="s">
        <v>870</v>
      </c>
      <c r="D91" s="10" t="s">
        <v>871</v>
      </c>
      <c r="E91" s="10" t="s">
        <v>872</v>
      </c>
      <c r="F91" s="10" t="s">
        <v>873</v>
      </c>
      <c r="G91" s="11">
        <v>7660</v>
      </c>
      <c r="H91" s="163" t="s">
        <v>932</v>
      </c>
      <c r="I91" s="158" t="s">
        <v>939</v>
      </c>
      <c r="J91" s="163" t="s">
        <v>932</v>
      </c>
      <c r="K91" s="10" t="s">
        <v>30</v>
      </c>
      <c r="L91" s="10">
        <v>15</v>
      </c>
      <c r="M91" s="10">
        <f t="shared" si="5"/>
        <v>5</v>
      </c>
      <c r="N91" s="10">
        <v>15</v>
      </c>
      <c r="O91" s="12">
        <v>5</v>
      </c>
      <c r="P91" s="11">
        <v>7660</v>
      </c>
      <c r="Q91" s="10" t="s">
        <v>33</v>
      </c>
      <c r="R91" s="4" t="s">
        <v>1284</v>
      </c>
      <c r="S91" s="4" t="s">
        <v>1279</v>
      </c>
      <c r="T91" s="4" t="s">
        <v>19</v>
      </c>
      <c r="U91" s="4" t="str">
        <f t="shared" ref="U91:U100" si="7">IF(ISNUMBER(SEARCH("ADD-ON",$I91)),"ADD-ON","NOT AN ADD-ON")</f>
        <v>NOT AN ADD-ON</v>
      </c>
      <c r="V91" s="4" t="str">
        <f t="shared" si="6"/>
        <v>UTILITIESINDUSTRY SOLUTIONAUTHORIZEDNOT AN ADD-ON</v>
      </c>
    </row>
    <row r="92" spans="1:22" ht="29.25" customHeight="1" thickBot="1">
      <c r="A92" s="10" t="s">
        <v>21</v>
      </c>
      <c r="B92" s="10" t="s">
        <v>22</v>
      </c>
      <c r="C92" s="10" t="s">
        <v>870</v>
      </c>
      <c r="D92" s="10" t="s">
        <v>871</v>
      </c>
      <c r="E92" s="10" t="s">
        <v>872</v>
      </c>
      <c r="F92" s="10" t="s">
        <v>873</v>
      </c>
      <c r="G92" s="11">
        <v>4600</v>
      </c>
      <c r="H92" s="163" t="s">
        <v>940</v>
      </c>
      <c r="I92" s="158" t="s">
        <v>941</v>
      </c>
      <c r="J92" s="163" t="s">
        <v>932</v>
      </c>
      <c r="K92" s="10" t="s">
        <v>30</v>
      </c>
      <c r="L92" s="10">
        <v>15</v>
      </c>
      <c r="M92" s="10">
        <f t="shared" si="5"/>
        <v>5</v>
      </c>
      <c r="N92" s="10">
        <v>15</v>
      </c>
      <c r="O92" s="12">
        <v>5</v>
      </c>
      <c r="P92" s="11">
        <v>7660</v>
      </c>
      <c r="Q92" s="10" t="s">
        <v>36</v>
      </c>
      <c r="R92" s="4" t="s">
        <v>1284</v>
      </c>
      <c r="S92" s="4" t="s">
        <v>1279</v>
      </c>
      <c r="T92" s="4" t="s">
        <v>19</v>
      </c>
      <c r="U92" s="4" t="str">
        <f t="shared" si="7"/>
        <v>NOT AN ADD-ON</v>
      </c>
      <c r="V92" s="4" t="str">
        <f t="shared" si="6"/>
        <v>UTILITIESINDUSTRY SOLUTIONAUTHORIZEDNOT AN ADD-ON</v>
      </c>
    </row>
    <row r="93" spans="1:22" ht="27" thickBot="1">
      <c r="A93" s="10" t="s">
        <v>21</v>
      </c>
      <c r="B93" s="10" t="s">
        <v>22</v>
      </c>
      <c r="C93" s="10" t="s">
        <v>870</v>
      </c>
      <c r="D93" s="10" t="s">
        <v>871</v>
      </c>
      <c r="E93" s="10" t="s">
        <v>872</v>
      </c>
      <c r="F93" s="10" t="s">
        <v>873</v>
      </c>
      <c r="G93" s="11">
        <v>5470</v>
      </c>
      <c r="H93" s="163" t="s">
        <v>933</v>
      </c>
      <c r="I93" s="166" t="s">
        <v>934</v>
      </c>
      <c r="J93" s="163" t="s">
        <v>932</v>
      </c>
      <c r="K93" s="10" t="s">
        <v>30</v>
      </c>
      <c r="L93" s="10">
        <v>15</v>
      </c>
      <c r="M93" s="10">
        <f t="shared" si="5"/>
        <v>5</v>
      </c>
      <c r="N93" s="10">
        <v>15</v>
      </c>
      <c r="O93" s="12">
        <v>5</v>
      </c>
      <c r="P93" s="11">
        <v>7660</v>
      </c>
      <c r="Q93" s="10" t="s">
        <v>48</v>
      </c>
      <c r="R93" s="4" t="s">
        <v>1284</v>
      </c>
      <c r="S93" s="4" t="s">
        <v>1279</v>
      </c>
      <c r="T93" s="4" t="s">
        <v>19</v>
      </c>
      <c r="U93" s="4" t="str">
        <f t="shared" si="7"/>
        <v>NOT AN ADD-ON</v>
      </c>
      <c r="V93" s="4" t="str">
        <f t="shared" si="6"/>
        <v>UTILITIESINDUSTRY SOLUTIONAUTHORIZEDNOT AN ADD-ON</v>
      </c>
    </row>
    <row r="94" spans="1:22" ht="27" thickBot="1">
      <c r="A94" s="10" t="s">
        <v>21</v>
      </c>
      <c r="B94" s="10" t="s">
        <v>22</v>
      </c>
      <c r="C94" s="10" t="s">
        <v>870</v>
      </c>
      <c r="D94" s="10" t="s">
        <v>871</v>
      </c>
      <c r="E94" s="10" t="s">
        <v>872</v>
      </c>
      <c r="F94" s="10" t="s">
        <v>873</v>
      </c>
      <c r="G94" s="11">
        <v>2680</v>
      </c>
      <c r="H94" s="163" t="s">
        <v>930</v>
      </c>
      <c r="I94" s="166" t="s">
        <v>931</v>
      </c>
      <c r="J94" s="163" t="s">
        <v>932</v>
      </c>
      <c r="K94" s="10" t="s">
        <v>30</v>
      </c>
      <c r="L94" s="10">
        <v>15</v>
      </c>
      <c r="M94" s="10">
        <f t="shared" si="5"/>
        <v>5</v>
      </c>
      <c r="N94" s="10">
        <v>15</v>
      </c>
      <c r="O94" s="12">
        <v>5</v>
      </c>
      <c r="P94" s="11">
        <v>7660</v>
      </c>
      <c r="Q94" s="10" t="s">
        <v>48</v>
      </c>
      <c r="R94" s="4" t="s">
        <v>1284</v>
      </c>
      <c r="S94" s="4" t="s">
        <v>1279</v>
      </c>
      <c r="T94" s="4" t="s">
        <v>19</v>
      </c>
      <c r="U94" s="4" t="str">
        <f t="shared" si="7"/>
        <v>NOT AN ADD-ON</v>
      </c>
      <c r="V94" s="4" t="str">
        <f t="shared" si="6"/>
        <v>UTILITIESINDUSTRY SOLUTIONAUTHORIZEDNOT AN ADD-ON</v>
      </c>
    </row>
    <row r="95" spans="1:22" ht="29.25" customHeight="1" thickBot="1">
      <c r="A95" s="10" t="s">
        <v>21</v>
      </c>
      <c r="B95" s="10" t="s">
        <v>22</v>
      </c>
      <c r="C95" s="10" t="s">
        <v>870</v>
      </c>
      <c r="D95" s="10" t="s">
        <v>871</v>
      </c>
      <c r="E95" s="10" t="s">
        <v>872</v>
      </c>
      <c r="F95" s="10" t="s">
        <v>873</v>
      </c>
      <c r="G95" s="11">
        <v>2150</v>
      </c>
      <c r="H95" s="163" t="s">
        <v>926</v>
      </c>
      <c r="I95" s="158" t="s">
        <v>927</v>
      </c>
      <c r="J95" s="163" t="s">
        <v>926</v>
      </c>
      <c r="K95" s="10" t="s">
        <v>30</v>
      </c>
      <c r="L95" s="10">
        <v>15</v>
      </c>
      <c r="M95" s="10">
        <f t="shared" si="5"/>
        <v>5</v>
      </c>
      <c r="N95" s="10">
        <v>15</v>
      </c>
      <c r="O95" s="12">
        <v>5</v>
      </c>
      <c r="P95" s="11">
        <v>2150</v>
      </c>
      <c r="Q95" s="10" t="s">
        <v>33</v>
      </c>
      <c r="R95" s="4" t="s">
        <v>1284</v>
      </c>
      <c r="S95" s="4" t="s">
        <v>1279</v>
      </c>
      <c r="T95" s="4" t="s">
        <v>19</v>
      </c>
      <c r="U95" s="4" t="str">
        <f t="shared" si="7"/>
        <v>NOT AN ADD-ON</v>
      </c>
      <c r="V95" s="4" t="str">
        <f t="shared" si="6"/>
        <v>UTILITIESINDUSTRY SOLUTIONAUTHORIZEDNOT AN ADD-ON</v>
      </c>
    </row>
    <row r="96" spans="1:22" ht="15" thickBot="1">
      <c r="A96" s="10" t="s">
        <v>21</v>
      </c>
      <c r="B96" s="10" t="s">
        <v>22</v>
      </c>
      <c r="C96" s="10" t="s">
        <v>870</v>
      </c>
      <c r="D96" s="10" t="s">
        <v>871</v>
      </c>
      <c r="E96" s="10" t="s">
        <v>872</v>
      </c>
      <c r="F96" s="10" t="s">
        <v>873</v>
      </c>
      <c r="G96" s="11">
        <v>1300</v>
      </c>
      <c r="H96" s="163" t="s">
        <v>928</v>
      </c>
      <c r="I96" s="158" t="s">
        <v>929</v>
      </c>
      <c r="J96" s="163" t="s">
        <v>926</v>
      </c>
      <c r="K96" s="10" t="s">
        <v>30</v>
      </c>
      <c r="L96" s="10">
        <v>15</v>
      </c>
      <c r="M96" s="10">
        <f t="shared" si="5"/>
        <v>5</v>
      </c>
      <c r="N96" s="10">
        <v>15</v>
      </c>
      <c r="O96" s="12">
        <v>5</v>
      </c>
      <c r="P96" s="11">
        <v>2150</v>
      </c>
      <c r="Q96" s="10" t="s">
        <v>36</v>
      </c>
      <c r="R96" s="4" t="s">
        <v>1284</v>
      </c>
      <c r="S96" s="4" t="s">
        <v>1279</v>
      </c>
      <c r="T96" s="4" t="s">
        <v>19</v>
      </c>
      <c r="U96" s="4" t="str">
        <f t="shared" si="7"/>
        <v>NOT AN ADD-ON</v>
      </c>
      <c r="V96" s="4" t="str">
        <f t="shared" si="6"/>
        <v>UTILITIESINDUSTRY SOLUTIONAUTHORIZEDNOT AN ADD-ON</v>
      </c>
    </row>
    <row r="97" spans="1:22" ht="15" thickBot="1">
      <c r="A97" s="10" t="s">
        <v>21</v>
      </c>
      <c r="B97" s="10" t="s">
        <v>22</v>
      </c>
      <c r="C97" s="10" t="s">
        <v>500</v>
      </c>
      <c r="D97" s="10" t="s">
        <v>501</v>
      </c>
      <c r="E97" s="10" t="s">
        <v>502</v>
      </c>
      <c r="F97" s="10" t="s">
        <v>503</v>
      </c>
      <c r="G97" s="11">
        <v>6980</v>
      </c>
      <c r="H97" s="163" t="s">
        <v>529</v>
      </c>
      <c r="I97" s="158" t="s">
        <v>536</v>
      </c>
      <c r="J97" s="163" t="s">
        <v>529</v>
      </c>
      <c r="K97" s="10" t="s">
        <v>30</v>
      </c>
      <c r="L97" s="10">
        <v>10</v>
      </c>
      <c r="M97" s="10">
        <f t="shared" si="5"/>
        <v>3.33</v>
      </c>
      <c r="N97" s="15">
        <v>5</v>
      </c>
      <c r="O97" s="16">
        <v>1.67</v>
      </c>
      <c r="P97" s="11">
        <v>6980</v>
      </c>
      <c r="Q97" s="10" t="s">
        <v>33</v>
      </c>
      <c r="R97" s="4" t="s">
        <v>1292</v>
      </c>
      <c r="S97" s="4" t="s">
        <v>1292</v>
      </c>
      <c r="T97" s="4" t="s">
        <v>19</v>
      </c>
      <c r="U97" s="4" t="str">
        <f t="shared" si="7"/>
        <v>NOT AN ADD-ON</v>
      </c>
      <c r="V97" s="4" t="str">
        <f t="shared" si="6"/>
        <v>LIFE SCIENCESLIFE SCIENCESAUTHORIZEDNOT AN ADD-ON</v>
      </c>
    </row>
    <row r="98" spans="1:22" ht="29.25" customHeight="1" thickBot="1">
      <c r="A98" s="10" t="s">
        <v>21</v>
      </c>
      <c r="B98" s="10" t="s">
        <v>22</v>
      </c>
      <c r="C98" s="10" t="s">
        <v>500</v>
      </c>
      <c r="D98" s="10" t="s">
        <v>501</v>
      </c>
      <c r="E98" s="10" t="s">
        <v>502</v>
      </c>
      <c r="F98" s="10" t="s">
        <v>503</v>
      </c>
      <c r="G98" s="11">
        <v>4180</v>
      </c>
      <c r="H98" s="163" t="s">
        <v>537</v>
      </c>
      <c r="I98" s="158" t="s">
        <v>538</v>
      </c>
      <c r="J98" s="163" t="s">
        <v>529</v>
      </c>
      <c r="K98" s="10" t="s">
        <v>30</v>
      </c>
      <c r="L98" s="10">
        <v>10</v>
      </c>
      <c r="M98" s="10">
        <f t="shared" si="5"/>
        <v>3.33</v>
      </c>
      <c r="N98" s="15">
        <v>5</v>
      </c>
      <c r="O98" s="16">
        <v>1.67</v>
      </c>
      <c r="P98" s="11">
        <v>6980</v>
      </c>
      <c r="Q98" s="10" t="s">
        <v>36</v>
      </c>
      <c r="R98" s="4" t="s">
        <v>1292</v>
      </c>
      <c r="S98" s="4" t="s">
        <v>1292</v>
      </c>
      <c r="T98" s="4" t="s">
        <v>19</v>
      </c>
      <c r="U98" s="4" t="str">
        <f t="shared" si="7"/>
        <v>NOT AN ADD-ON</v>
      </c>
      <c r="V98" s="4" t="str">
        <f t="shared" si="6"/>
        <v>LIFE SCIENCESLIFE SCIENCESAUTHORIZEDNOT AN ADD-ON</v>
      </c>
    </row>
    <row r="99" spans="1:22" ht="29.25" customHeight="1" thickBot="1">
      <c r="A99" s="10" t="s">
        <v>21</v>
      </c>
      <c r="B99" s="10" t="s">
        <v>22</v>
      </c>
      <c r="C99" s="10" t="s">
        <v>500</v>
      </c>
      <c r="D99" s="10" t="s">
        <v>501</v>
      </c>
      <c r="E99" s="10" t="s">
        <v>502</v>
      </c>
      <c r="F99" s="10" t="s">
        <v>503</v>
      </c>
      <c r="G99" s="11">
        <v>4710</v>
      </c>
      <c r="H99" s="163" t="s">
        <v>530</v>
      </c>
      <c r="I99" s="166" t="s">
        <v>531</v>
      </c>
      <c r="J99" s="163" t="s">
        <v>529</v>
      </c>
      <c r="K99" s="10" t="s">
        <v>30</v>
      </c>
      <c r="L99" s="10">
        <v>10</v>
      </c>
      <c r="M99" s="10">
        <f t="shared" ref="M99:M130" si="8">ROUND(IF(K99="Authorized User",L99/3,L99),2)</f>
        <v>3.33</v>
      </c>
      <c r="N99" s="15">
        <v>5</v>
      </c>
      <c r="O99" s="16">
        <v>1.67</v>
      </c>
      <c r="P99" s="11">
        <v>6980</v>
      </c>
      <c r="Q99" s="10" t="s">
        <v>48</v>
      </c>
      <c r="R99" s="4" t="s">
        <v>1292</v>
      </c>
      <c r="S99" s="4" t="s">
        <v>1292</v>
      </c>
      <c r="T99" s="4" t="s">
        <v>19</v>
      </c>
      <c r="U99" s="4" t="str">
        <f t="shared" si="7"/>
        <v>NOT AN ADD-ON</v>
      </c>
      <c r="V99" s="4" t="str">
        <f t="shared" si="6"/>
        <v>LIFE SCIENCESLIFE SCIENCESAUTHORIZEDNOT AN ADD-ON</v>
      </c>
    </row>
    <row r="100" spans="1:22" ht="15" thickBot="1">
      <c r="A100" s="10" t="s">
        <v>21</v>
      </c>
      <c r="B100" s="10" t="s">
        <v>22</v>
      </c>
      <c r="C100" s="10" t="s">
        <v>500</v>
      </c>
      <c r="D100" s="10" t="s">
        <v>501</v>
      </c>
      <c r="E100" s="10" t="s">
        <v>502</v>
      </c>
      <c r="F100" s="10" t="s">
        <v>503</v>
      </c>
      <c r="G100" s="11">
        <v>1920</v>
      </c>
      <c r="H100" s="163" t="s">
        <v>527</v>
      </c>
      <c r="I100" s="166" t="s">
        <v>528</v>
      </c>
      <c r="J100" s="163" t="s">
        <v>529</v>
      </c>
      <c r="K100" s="10" t="s">
        <v>30</v>
      </c>
      <c r="L100" s="10">
        <v>10</v>
      </c>
      <c r="M100" s="10">
        <f t="shared" si="8"/>
        <v>3.33</v>
      </c>
      <c r="N100" s="15">
        <v>5</v>
      </c>
      <c r="O100" s="16">
        <v>1.67</v>
      </c>
      <c r="P100" s="11">
        <v>6980</v>
      </c>
      <c r="Q100" s="10" t="s">
        <v>48</v>
      </c>
      <c r="R100" s="4" t="s">
        <v>1292</v>
      </c>
      <c r="S100" s="4" t="s">
        <v>1292</v>
      </c>
      <c r="T100" s="4" t="s">
        <v>19</v>
      </c>
      <c r="U100" s="4" t="str">
        <f t="shared" si="7"/>
        <v>NOT AN ADD-ON</v>
      </c>
      <c r="V100" s="4" t="str">
        <f t="shared" si="6"/>
        <v>LIFE SCIENCESLIFE SCIENCESAUTHORIZEDNOT AN ADD-ON</v>
      </c>
    </row>
    <row r="101" spans="1:22" ht="15" thickBot="1">
      <c r="A101" s="10" t="s">
        <v>21</v>
      </c>
      <c r="B101" s="10" t="s">
        <v>22</v>
      </c>
      <c r="C101" s="10" t="s">
        <v>500</v>
      </c>
      <c r="D101" s="10" t="s">
        <v>501</v>
      </c>
      <c r="E101" s="10" t="s">
        <v>502</v>
      </c>
      <c r="F101" s="10" t="s">
        <v>503</v>
      </c>
      <c r="G101" s="11">
        <v>712</v>
      </c>
      <c r="H101" s="163" t="s">
        <v>506</v>
      </c>
      <c r="I101" s="158" t="s">
        <v>508</v>
      </c>
      <c r="J101" s="163" t="s">
        <v>506</v>
      </c>
      <c r="K101" s="10" t="s">
        <v>30</v>
      </c>
      <c r="L101" s="10">
        <v>0</v>
      </c>
      <c r="M101" s="10">
        <f t="shared" si="8"/>
        <v>0</v>
      </c>
      <c r="N101" s="15">
        <v>5</v>
      </c>
      <c r="O101" s="16">
        <v>1.67</v>
      </c>
      <c r="P101" s="11">
        <v>712</v>
      </c>
      <c r="Q101" s="10" t="s">
        <v>33</v>
      </c>
      <c r="R101" s="4" t="s">
        <v>1292</v>
      </c>
      <c r="S101" s="4" t="s">
        <v>1292</v>
      </c>
      <c r="T101" s="4" t="s">
        <v>19</v>
      </c>
      <c r="U101" s="4" t="s">
        <v>507</v>
      </c>
      <c r="V101" s="4" t="str">
        <f t="shared" si="6"/>
        <v>LIFE SCIENCESLIFE SCIENCESAUTHORIZEDADD-ON</v>
      </c>
    </row>
    <row r="102" spans="1:22" ht="29.25" customHeight="1" thickBot="1">
      <c r="A102" s="10" t="s">
        <v>21</v>
      </c>
      <c r="B102" s="10" t="s">
        <v>22</v>
      </c>
      <c r="C102" s="10" t="s">
        <v>500</v>
      </c>
      <c r="D102" s="10" t="s">
        <v>501</v>
      </c>
      <c r="E102" s="10" t="s">
        <v>502</v>
      </c>
      <c r="F102" s="10" t="s">
        <v>503</v>
      </c>
      <c r="G102" s="11">
        <v>427</v>
      </c>
      <c r="H102" s="163" t="s">
        <v>509</v>
      </c>
      <c r="I102" s="158" t="s">
        <v>510</v>
      </c>
      <c r="J102" s="163" t="s">
        <v>506</v>
      </c>
      <c r="K102" s="10" t="s">
        <v>30</v>
      </c>
      <c r="L102" s="10">
        <v>0</v>
      </c>
      <c r="M102" s="10">
        <f t="shared" si="8"/>
        <v>0</v>
      </c>
      <c r="N102" s="15">
        <v>5</v>
      </c>
      <c r="O102" s="16">
        <v>1.67</v>
      </c>
      <c r="P102" s="11">
        <v>712</v>
      </c>
      <c r="Q102" s="10" t="s">
        <v>36</v>
      </c>
      <c r="R102" s="4" t="s">
        <v>1292</v>
      </c>
      <c r="S102" s="4" t="s">
        <v>1292</v>
      </c>
      <c r="T102" s="4" t="s">
        <v>19</v>
      </c>
      <c r="U102" s="4" t="s">
        <v>507</v>
      </c>
      <c r="V102" s="4" t="str">
        <f t="shared" si="6"/>
        <v>LIFE SCIENCESLIFE SCIENCESAUTHORIZEDADD-ON</v>
      </c>
    </row>
    <row r="103" spans="1:22" ht="15" thickBot="1">
      <c r="A103" s="10" t="s">
        <v>21</v>
      </c>
      <c r="B103" s="10" t="s">
        <v>22</v>
      </c>
      <c r="C103" s="10" t="s">
        <v>500</v>
      </c>
      <c r="D103" s="10" t="s">
        <v>501</v>
      </c>
      <c r="E103" s="10" t="s">
        <v>502</v>
      </c>
      <c r="F103" s="10" t="s">
        <v>503</v>
      </c>
      <c r="G103" s="11">
        <v>6980</v>
      </c>
      <c r="H103" s="163" t="s">
        <v>573</v>
      </c>
      <c r="I103" s="158" t="s">
        <v>574</v>
      </c>
      <c r="J103" s="163" t="s">
        <v>573</v>
      </c>
      <c r="K103" s="10" t="s">
        <v>30</v>
      </c>
      <c r="L103" s="10">
        <v>10</v>
      </c>
      <c r="M103" s="10">
        <f t="shared" si="8"/>
        <v>3.33</v>
      </c>
      <c r="N103" s="10">
        <v>5</v>
      </c>
      <c r="O103" s="12">
        <v>1.6666666666666667</v>
      </c>
      <c r="P103" s="11">
        <v>6980</v>
      </c>
      <c r="Q103" s="10" t="s">
        <v>33</v>
      </c>
      <c r="R103" s="4" t="s">
        <v>1292</v>
      </c>
      <c r="S103" s="4" t="s">
        <v>1292</v>
      </c>
      <c r="T103" s="4" t="s">
        <v>19</v>
      </c>
      <c r="U103" s="4" t="str">
        <f>IF(ISNUMBER(SEARCH("ADD-ON",$I103)),"ADD-ON","NOT AN ADD-ON")</f>
        <v>NOT AN ADD-ON</v>
      </c>
      <c r="V103" s="4" t="str">
        <f t="shared" si="6"/>
        <v>LIFE SCIENCESLIFE SCIENCESAUTHORIZEDNOT AN ADD-ON</v>
      </c>
    </row>
    <row r="104" spans="1:22" ht="15" thickBot="1">
      <c r="A104" s="10" t="s">
        <v>21</v>
      </c>
      <c r="B104" s="10" t="s">
        <v>22</v>
      </c>
      <c r="C104" s="10" t="s">
        <v>500</v>
      </c>
      <c r="D104" s="10" t="s">
        <v>501</v>
      </c>
      <c r="E104" s="10" t="s">
        <v>502</v>
      </c>
      <c r="F104" s="10" t="s">
        <v>503</v>
      </c>
      <c r="G104" s="11">
        <v>4180</v>
      </c>
      <c r="H104" s="163" t="s">
        <v>575</v>
      </c>
      <c r="I104" s="158" t="s">
        <v>576</v>
      </c>
      <c r="J104" s="163" t="s">
        <v>573</v>
      </c>
      <c r="K104" s="10" t="s">
        <v>30</v>
      </c>
      <c r="L104" s="10">
        <v>10</v>
      </c>
      <c r="M104" s="10">
        <f t="shared" si="8"/>
        <v>3.33</v>
      </c>
      <c r="N104" s="10">
        <v>5</v>
      </c>
      <c r="O104" s="12">
        <v>1.6666666666666667</v>
      </c>
      <c r="P104" s="11">
        <v>6980</v>
      </c>
      <c r="Q104" s="10" t="s">
        <v>36</v>
      </c>
      <c r="R104" s="4" t="s">
        <v>1292</v>
      </c>
      <c r="S104" s="4" t="s">
        <v>1292</v>
      </c>
      <c r="T104" s="4" t="s">
        <v>19</v>
      </c>
      <c r="U104" s="4" t="str">
        <f>IF(ISNUMBER(SEARCH("ADD-ON",$I104)),"ADD-ON","NOT AN ADD-ON")</f>
        <v>NOT AN ADD-ON</v>
      </c>
      <c r="V104" s="4" t="str">
        <f t="shared" si="6"/>
        <v>LIFE SCIENCESLIFE SCIENCESAUTHORIZEDNOT AN ADD-ON</v>
      </c>
    </row>
    <row r="105" spans="1:22" ht="29.25" customHeight="1" thickBot="1">
      <c r="A105" s="10" t="s">
        <v>21</v>
      </c>
      <c r="B105" s="10" t="s">
        <v>22</v>
      </c>
      <c r="C105" s="10" t="s">
        <v>500</v>
      </c>
      <c r="D105" s="10" t="s">
        <v>501</v>
      </c>
      <c r="E105" s="10" t="s">
        <v>502</v>
      </c>
      <c r="F105" s="10" t="s">
        <v>503</v>
      </c>
      <c r="G105" s="11">
        <v>1920</v>
      </c>
      <c r="H105" s="163" t="s">
        <v>565</v>
      </c>
      <c r="I105" s="166" t="s">
        <v>566</v>
      </c>
      <c r="J105" s="163" t="s">
        <v>561</v>
      </c>
      <c r="K105" s="10" t="s">
        <v>30</v>
      </c>
      <c r="L105" s="10">
        <v>10</v>
      </c>
      <c r="M105" s="10">
        <f t="shared" si="8"/>
        <v>3.33</v>
      </c>
      <c r="N105" s="10">
        <v>5</v>
      </c>
      <c r="O105" s="12">
        <v>1.6666666666666667</v>
      </c>
      <c r="P105" s="11">
        <v>712</v>
      </c>
      <c r="Q105" s="10" t="s">
        <v>48</v>
      </c>
      <c r="R105" s="4" t="s">
        <v>1292</v>
      </c>
      <c r="S105" s="4" t="s">
        <v>1292</v>
      </c>
      <c r="T105" s="4" t="s">
        <v>19</v>
      </c>
      <c r="U105" s="4" t="str">
        <f>IF(ISNUMBER(SEARCH("ADD-ON",$I105)),"ADD-ON","NOT AN ADD-ON")</f>
        <v>NOT AN ADD-ON</v>
      </c>
      <c r="V105" s="4" t="str">
        <f t="shared" si="6"/>
        <v>LIFE SCIENCESLIFE SCIENCESAUTHORIZEDNOT AN ADD-ON</v>
      </c>
    </row>
    <row r="106" spans="1:22" ht="29.25" customHeight="1" thickBot="1">
      <c r="A106" s="10" t="s">
        <v>21</v>
      </c>
      <c r="B106" s="10" t="s">
        <v>22</v>
      </c>
      <c r="C106" s="10" t="s">
        <v>500</v>
      </c>
      <c r="D106" s="10" t="s">
        <v>501</v>
      </c>
      <c r="E106" s="10" t="s">
        <v>502</v>
      </c>
      <c r="F106" s="10" t="s">
        <v>503</v>
      </c>
      <c r="G106" s="11">
        <v>4710</v>
      </c>
      <c r="H106" s="163" t="s">
        <v>567</v>
      </c>
      <c r="I106" s="166" t="s">
        <v>568</v>
      </c>
      <c r="J106" s="163" t="s">
        <v>561</v>
      </c>
      <c r="K106" s="10" t="s">
        <v>30</v>
      </c>
      <c r="L106" s="10">
        <v>10</v>
      </c>
      <c r="M106" s="10">
        <f t="shared" si="8"/>
        <v>3.33</v>
      </c>
      <c r="N106" s="10">
        <v>5</v>
      </c>
      <c r="O106" s="12">
        <v>1.6666666666666667</v>
      </c>
      <c r="P106" s="11">
        <v>712</v>
      </c>
      <c r="Q106" s="10" t="s">
        <v>48</v>
      </c>
      <c r="R106" s="4" t="s">
        <v>1292</v>
      </c>
      <c r="S106" s="4" t="s">
        <v>1292</v>
      </c>
      <c r="T106" s="4" t="s">
        <v>19</v>
      </c>
      <c r="U106" s="4" t="str">
        <f>IF(ISNUMBER(SEARCH("ADD-ON",$I106)),"ADD-ON","NOT AN ADD-ON")</f>
        <v>NOT AN ADD-ON</v>
      </c>
      <c r="V106" s="4" t="str">
        <f t="shared" si="6"/>
        <v>LIFE SCIENCESLIFE SCIENCESAUTHORIZEDNOT AN ADD-ON</v>
      </c>
    </row>
    <row r="107" spans="1:22" ht="15" thickBot="1">
      <c r="A107" s="10" t="s">
        <v>21</v>
      </c>
      <c r="B107" s="10" t="s">
        <v>22</v>
      </c>
      <c r="C107" s="10" t="s">
        <v>500</v>
      </c>
      <c r="D107" s="10" t="s">
        <v>501</v>
      </c>
      <c r="E107" s="10" t="s">
        <v>502</v>
      </c>
      <c r="F107" s="10" t="s">
        <v>503</v>
      </c>
      <c r="G107" s="11">
        <v>712</v>
      </c>
      <c r="H107" s="163" t="s">
        <v>561</v>
      </c>
      <c r="I107" s="158" t="s">
        <v>562</v>
      </c>
      <c r="J107" s="163" t="s">
        <v>561</v>
      </c>
      <c r="K107" s="10" t="s">
        <v>30</v>
      </c>
      <c r="L107" s="10">
        <v>0</v>
      </c>
      <c r="M107" s="10">
        <f t="shared" si="8"/>
        <v>0</v>
      </c>
      <c r="N107" s="10">
        <v>5</v>
      </c>
      <c r="O107" s="12">
        <v>1.6666666666666667</v>
      </c>
      <c r="P107" s="11">
        <v>712</v>
      </c>
      <c r="Q107" s="10" t="s">
        <v>33</v>
      </c>
      <c r="R107" s="4" t="s">
        <v>1292</v>
      </c>
      <c r="S107" s="4" t="s">
        <v>1292</v>
      </c>
      <c r="T107" s="4" t="s">
        <v>19</v>
      </c>
      <c r="U107" s="4" t="s">
        <v>507</v>
      </c>
      <c r="V107" s="4" t="str">
        <f t="shared" si="6"/>
        <v>LIFE SCIENCESLIFE SCIENCESAUTHORIZEDADD-ON</v>
      </c>
    </row>
    <row r="108" spans="1:22" ht="29.25" customHeight="1" thickBot="1">
      <c r="A108" s="10" t="s">
        <v>21</v>
      </c>
      <c r="B108" s="10" t="s">
        <v>22</v>
      </c>
      <c r="C108" s="10" t="s">
        <v>500</v>
      </c>
      <c r="D108" s="10" t="s">
        <v>501</v>
      </c>
      <c r="E108" s="10" t="s">
        <v>502</v>
      </c>
      <c r="F108" s="10" t="s">
        <v>503</v>
      </c>
      <c r="G108" s="11">
        <v>427</v>
      </c>
      <c r="H108" s="163" t="s">
        <v>563</v>
      </c>
      <c r="I108" s="158" t="s">
        <v>564</v>
      </c>
      <c r="J108" s="163" t="s">
        <v>561</v>
      </c>
      <c r="K108" s="10" t="s">
        <v>30</v>
      </c>
      <c r="L108" s="10">
        <v>0</v>
      </c>
      <c r="M108" s="10">
        <f t="shared" si="8"/>
        <v>0</v>
      </c>
      <c r="N108" s="10">
        <v>5</v>
      </c>
      <c r="O108" s="12">
        <v>1.6666666666666667</v>
      </c>
      <c r="P108" s="11">
        <v>712</v>
      </c>
      <c r="Q108" s="10" t="s">
        <v>36</v>
      </c>
      <c r="R108" s="4" t="s">
        <v>1292</v>
      </c>
      <c r="S108" s="4" t="s">
        <v>1292</v>
      </c>
      <c r="T108" s="4" t="s">
        <v>19</v>
      </c>
      <c r="U108" s="4" t="s">
        <v>507</v>
      </c>
      <c r="V108" s="4" t="str">
        <f t="shared" si="6"/>
        <v>LIFE SCIENCESLIFE SCIENCESAUTHORIZEDADD-ON</v>
      </c>
    </row>
    <row r="109" spans="1:22" ht="15" thickBot="1">
      <c r="A109" s="10" t="s">
        <v>21</v>
      </c>
      <c r="B109" s="10" t="s">
        <v>22</v>
      </c>
      <c r="C109" s="10" t="s">
        <v>1044</v>
      </c>
      <c r="D109" s="10" t="s">
        <v>1045</v>
      </c>
      <c r="E109" s="10" t="s">
        <v>1046</v>
      </c>
      <c r="F109" s="10" t="s">
        <v>1047</v>
      </c>
      <c r="G109" s="11">
        <v>35700</v>
      </c>
      <c r="H109" s="163" t="s">
        <v>1085</v>
      </c>
      <c r="I109" s="158" t="s">
        <v>1086</v>
      </c>
      <c r="J109" s="163" t="s">
        <v>1085</v>
      </c>
      <c r="K109" s="10" t="s">
        <v>1079</v>
      </c>
      <c r="L109" s="10">
        <v>20</v>
      </c>
      <c r="M109" s="10">
        <f t="shared" si="8"/>
        <v>20</v>
      </c>
      <c r="N109" s="10">
        <v>20</v>
      </c>
      <c r="O109" s="12">
        <v>1</v>
      </c>
      <c r="P109" s="11">
        <v>35700</v>
      </c>
      <c r="Q109" s="10" t="s">
        <v>33</v>
      </c>
      <c r="R109" s="4" t="s">
        <v>1291</v>
      </c>
      <c r="S109" s="4" t="s">
        <v>507</v>
      </c>
      <c r="T109" s="4" t="s">
        <v>1384</v>
      </c>
      <c r="U109" s="4" t="str">
        <f t="shared" ref="U109:U140" si="9">IF(ISNUMBER(SEARCH("ADD-ON",$I109)),"ADD-ON","NOT AN ADD-ON")</f>
        <v>NOT AN ADD-ON</v>
      </c>
      <c r="V109" s="4" t="str">
        <f t="shared" si="6"/>
        <v>SPATIALADD-ONINSTALLNOT AN ADD-ON</v>
      </c>
    </row>
    <row r="110" spans="1:22" ht="29.25" customHeight="1" thickBot="1">
      <c r="A110" s="10" t="s">
        <v>21</v>
      </c>
      <c r="B110" s="10" t="s">
        <v>22</v>
      </c>
      <c r="C110" s="10" t="s">
        <v>1044</v>
      </c>
      <c r="D110" s="10" t="s">
        <v>1045</v>
      </c>
      <c r="E110" s="10" t="s">
        <v>1046</v>
      </c>
      <c r="F110" s="10" t="s">
        <v>1047</v>
      </c>
      <c r="G110" s="11">
        <v>21400</v>
      </c>
      <c r="H110" s="163" t="s">
        <v>1087</v>
      </c>
      <c r="I110" s="158" t="s">
        <v>1088</v>
      </c>
      <c r="J110" s="163" t="s">
        <v>1085</v>
      </c>
      <c r="K110" s="10" t="s">
        <v>1079</v>
      </c>
      <c r="L110" s="10">
        <v>20</v>
      </c>
      <c r="M110" s="10">
        <f t="shared" si="8"/>
        <v>20</v>
      </c>
      <c r="N110" s="10">
        <v>20</v>
      </c>
      <c r="O110" s="12">
        <v>1</v>
      </c>
      <c r="P110" s="11">
        <v>35700</v>
      </c>
      <c r="Q110" s="10" t="s">
        <v>36</v>
      </c>
      <c r="R110" s="4" t="s">
        <v>1291</v>
      </c>
      <c r="S110" s="4" t="s">
        <v>507</v>
      </c>
      <c r="T110" s="4" t="s">
        <v>1384</v>
      </c>
      <c r="U110" s="4" t="str">
        <f t="shared" si="9"/>
        <v>NOT AN ADD-ON</v>
      </c>
      <c r="V110" s="4" t="str">
        <f t="shared" si="6"/>
        <v>SPATIALADD-ONINSTALLNOT AN ADD-ON</v>
      </c>
    </row>
    <row r="111" spans="1:22" ht="29.25" customHeight="1" thickBot="1">
      <c r="A111" s="10" t="s">
        <v>21</v>
      </c>
      <c r="B111" s="10" t="s">
        <v>22</v>
      </c>
      <c r="C111" s="10" t="s">
        <v>1044</v>
      </c>
      <c r="D111" s="10" t="s">
        <v>1045</v>
      </c>
      <c r="E111" s="10" t="s">
        <v>1046</v>
      </c>
      <c r="F111" s="10" t="s">
        <v>1047</v>
      </c>
      <c r="G111" s="11">
        <v>215</v>
      </c>
      <c r="H111" s="163" t="s">
        <v>1050</v>
      </c>
      <c r="I111" s="158" t="s">
        <v>1051</v>
      </c>
      <c r="J111" s="163" t="s">
        <v>1050</v>
      </c>
      <c r="K111" s="10" t="s">
        <v>30</v>
      </c>
      <c r="L111" s="10">
        <v>0</v>
      </c>
      <c r="M111" s="10">
        <f t="shared" si="8"/>
        <v>0</v>
      </c>
      <c r="N111" s="10">
        <v>5</v>
      </c>
      <c r="O111" s="12">
        <v>1.6666666666666667</v>
      </c>
      <c r="P111" s="11">
        <v>215</v>
      </c>
      <c r="Q111" s="10" t="s">
        <v>33</v>
      </c>
      <c r="R111" s="4" t="s">
        <v>1291</v>
      </c>
      <c r="S111" s="4" t="s">
        <v>507</v>
      </c>
      <c r="T111" s="4" t="s">
        <v>19</v>
      </c>
      <c r="U111" s="4" t="str">
        <f t="shared" si="9"/>
        <v>NOT AN ADD-ON</v>
      </c>
      <c r="V111" s="4" t="str">
        <f t="shared" si="6"/>
        <v>SPATIALADD-ONAUTHORIZEDNOT AN ADD-ON</v>
      </c>
    </row>
    <row r="112" spans="1:22" ht="29.25" customHeight="1" thickBot="1">
      <c r="A112" s="10" t="s">
        <v>21</v>
      </c>
      <c r="B112" s="10" t="s">
        <v>22</v>
      </c>
      <c r="C112" s="10" t="s">
        <v>1044</v>
      </c>
      <c r="D112" s="10" t="s">
        <v>1045</v>
      </c>
      <c r="E112" s="10" t="s">
        <v>1046</v>
      </c>
      <c r="F112" s="10" t="s">
        <v>1047</v>
      </c>
      <c r="G112" s="11">
        <v>130</v>
      </c>
      <c r="H112" s="163" t="s">
        <v>1052</v>
      </c>
      <c r="I112" s="158" t="s">
        <v>1053</v>
      </c>
      <c r="J112" s="163" t="s">
        <v>1050</v>
      </c>
      <c r="K112" s="10" t="s">
        <v>30</v>
      </c>
      <c r="L112" s="10">
        <v>0</v>
      </c>
      <c r="M112" s="10">
        <f t="shared" si="8"/>
        <v>0</v>
      </c>
      <c r="N112" s="10">
        <v>5</v>
      </c>
      <c r="O112" s="12">
        <v>1.6666666666666667</v>
      </c>
      <c r="P112" s="11">
        <v>215</v>
      </c>
      <c r="Q112" s="10" t="s">
        <v>36</v>
      </c>
      <c r="R112" s="4" t="s">
        <v>1291</v>
      </c>
      <c r="S112" s="4" t="s">
        <v>507</v>
      </c>
      <c r="T112" s="4" t="s">
        <v>19</v>
      </c>
      <c r="U112" s="4" t="str">
        <f t="shared" si="9"/>
        <v>NOT AN ADD-ON</v>
      </c>
      <c r="V112" s="4" t="str">
        <f t="shared" si="6"/>
        <v>SPATIALADD-ONAUTHORIZEDNOT AN ADD-ON</v>
      </c>
    </row>
    <row r="113" spans="1:22" ht="15" thickBot="1">
      <c r="A113" s="10" t="s">
        <v>21</v>
      </c>
      <c r="B113" s="10" t="s">
        <v>22</v>
      </c>
      <c r="C113" s="10" t="s">
        <v>1044</v>
      </c>
      <c r="D113" s="10" t="s">
        <v>1045</v>
      </c>
      <c r="E113" s="10" t="s">
        <v>1046</v>
      </c>
      <c r="F113" s="10" t="s">
        <v>1047</v>
      </c>
      <c r="G113" s="11">
        <v>215</v>
      </c>
      <c r="H113" s="163" t="s">
        <v>1072</v>
      </c>
      <c r="I113" s="158" t="s">
        <v>1073</v>
      </c>
      <c r="J113" s="163" t="s">
        <v>1072</v>
      </c>
      <c r="K113" s="10" t="s">
        <v>30</v>
      </c>
      <c r="L113" s="10">
        <v>0</v>
      </c>
      <c r="M113" s="10">
        <f t="shared" si="8"/>
        <v>0</v>
      </c>
      <c r="N113" s="10">
        <v>5</v>
      </c>
      <c r="O113" s="12">
        <v>1.6666666666666667</v>
      </c>
      <c r="P113" s="11">
        <v>215</v>
      </c>
      <c r="Q113" s="10" t="s">
        <v>33</v>
      </c>
      <c r="R113" s="4" t="s">
        <v>1291</v>
      </c>
      <c r="S113" s="4" t="s">
        <v>507</v>
      </c>
      <c r="T113" s="4" t="s">
        <v>19</v>
      </c>
      <c r="U113" s="4" t="str">
        <f t="shared" si="9"/>
        <v>NOT AN ADD-ON</v>
      </c>
      <c r="V113" s="4" t="str">
        <f t="shared" si="6"/>
        <v>SPATIALADD-ONAUTHORIZEDNOT AN ADD-ON</v>
      </c>
    </row>
    <row r="114" spans="1:22" ht="29.25" customHeight="1" thickBot="1">
      <c r="A114" s="10" t="s">
        <v>21</v>
      </c>
      <c r="B114" s="10" t="s">
        <v>22</v>
      </c>
      <c r="C114" s="10" t="s">
        <v>1044</v>
      </c>
      <c r="D114" s="10" t="s">
        <v>1045</v>
      </c>
      <c r="E114" s="10" t="s">
        <v>1046</v>
      </c>
      <c r="F114" s="10" t="s">
        <v>1047</v>
      </c>
      <c r="G114" s="11">
        <v>130</v>
      </c>
      <c r="H114" s="163" t="s">
        <v>1074</v>
      </c>
      <c r="I114" s="158" t="s">
        <v>1075</v>
      </c>
      <c r="J114" s="163" t="s">
        <v>1072</v>
      </c>
      <c r="K114" s="10" t="s">
        <v>30</v>
      </c>
      <c r="L114" s="10">
        <v>0</v>
      </c>
      <c r="M114" s="10">
        <f t="shared" si="8"/>
        <v>0</v>
      </c>
      <c r="N114" s="10">
        <v>5</v>
      </c>
      <c r="O114" s="12">
        <v>1.6666666666666667</v>
      </c>
      <c r="P114" s="11">
        <v>215</v>
      </c>
      <c r="Q114" s="10" t="s">
        <v>36</v>
      </c>
      <c r="R114" s="4" t="s">
        <v>1291</v>
      </c>
      <c r="S114" s="4" t="s">
        <v>507</v>
      </c>
      <c r="T114" s="4" t="s">
        <v>19</v>
      </c>
      <c r="U114" s="4" t="str">
        <f t="shared" si="9"/>
        <v>NOT AN ADD-ON</v>
      </c>
      <c r="V114" s="4" t="str">
        <f t="shared" si="6"/>
        <v>SPATIALADD-ONAUTHORIZEDNOT AN ADD-ON</v>
      </c>
    </row>
    <row r="115" spans="1:22" ht="15" thickBot="1">
      <c r="A115" s="10" t="s">
        <v>21</v>
      </c>
      <c r="B115" s="10" t="s">
        <v>22</v>
      </c>
      <c r="C115" s="10" t="s">
        <v>1044</v>
      </c>
      <c r="D115" s="10" t="s">
        <v>1045</v>
      </c>
      <c r="E115" s="10" t="s">
        <v>1046</v>
      </c>
      <c r="F115" s="10" t="s">
        <v>1047</v>
      </c>
      <c r="G115" s="11">
        <v>35700</v>
      </c>
      <c r="H115" s="163" t="s">
        <v>1078</v>
      </c>
      <c r="I115" s="158" t="s">
        <v>1080</v>
      </c>
      <c r="J115" s="163" t="s">
        <v>1078</v>
      </c>
      <c r="K115" s="10" t="s">
        <v>1079</v>
      </c>
      <c r="L115" s="10">
        <v>20</v>
      </c>
      <c r="M115" s="10">
        <f t="shared" si="8"/>
        <v>20</v>
      </c>
      <c r="N115" s="10">
        <v>20</v>
      </c>
      <c r="O115" s="12">
        <v>1</v>
      </c>
      <c r="P115" s="11">
        <v>35700</v>
      </c>
      <c r="Q115" s="10" t="s">
        <v>33</v>
      </c>
      <c r="R115" s="4" t="s">
        <v>1291</v>
      </c>
      <c r="S115" s="4" t="s">
        <v>507</v>
      </c>
      <c r="T115" s="4" t="s">
        <v>1384</v>
      </c>
      <c r="U115" s="4" t="str">
        <f t="shared" si="9"/>
        <v>NOT AN ADD-ON</v>
      </c>
      <c r="V115" s="4" t="str">
        <f t="shared" si="6"/>
        <v>SPATIALADD-ONINSTALLNOT AN ADD-ON</v>
      </c>
    </row>
    <row r="116" spans="1:22" ht="29.25" customHeight="1" thickBot="1">
      <c r="A116" s="10" t="s">
        <v>21</v>
      </c>
      <c r="B116" s="10" t="s">
        <v>22</v>
      </c>
      <c r="C116" s="10" t="s">
        <v>1044</v>
      </c>
      <c r="D116" s="10" t="s">
        <v>1045</v>
      </c>
      <c r="E116" s="10" t="s">
        <v>1046</v>
      </c>
      <c r="F116" s="10" t="s">
        <v>1047</v>
      </c>
      <c r="G116" s="11">
        <v>21400</v>
      </c>
      <c r="H116" s="163" t="s">
        <v>1081</v>
      </c>
      <c r="I116" s="158" t="s">
        <v>1082</v>
      </c>
      <c r="J116" s="163" t="s">
        <v>1078</v>
      </c>
      <c r="K116" s="10" t="s">
        <v>1079</v>
      </c>
      <c r="L116" s="10">
        <v>20</v>
      </c>
      <c r="M116" s="10">
        <f t="shared" si="8"/>
        <v>20</v>
      </c>
      <c r="N116" s="10">
        <v>20</v>
      </c>
      <c r="O116" s="12">
        <v>1</v>
      </c>
      <c r="P116" s="11">
        <v>35700</v>
      </c>
      <c r="Q116" s="10" t="s">
        <v>36</v>
      </c>
      <c r="R116" s="4" t="s">
        <v>1291</v>
      </c>
      <c r="S116" s="4" t="s">
        <v>507</v>
      </c>
      <c r="T116" s="4" t="s">
        <v>1384</v>
      </c>
      <c r="U116" s="4" t="str">
        <f t="shared" si="9"/>
        <v>NOT AN ADD-ON</v>
      </c>
      <c r="V116" s="4" t="str">
        <f t="shared" si="6"/>
        <v>SPATIALADD-ONINSTALLNOT AN ADD-ON</v>
      </c>
    </row>
    <row r="117" spans="1:22" ht="15" thickBot="1">
      <c r="A117" s="10" t="s">
        <v>21</v>
      </c>
      <c r="B117" s="10" t="s">
        <v>22</v>
      </c>
      <c r="C117" s="10" t="s">
        <v>986</v>
      </c>
      <c r="D117" s="10" t="s">
        <v>141</v>
      </c>
      <c r="E117" s="10" t="s">
        <v>142</v>
      </c>
      <c r="F117" s="10" t="s">
        <v>143</v>
      </c>
      <c r="G117" s="11">
        <v>2680</v>
      </c>
      <c r="H117" s="163" t="s">
        <v>995</v>
      </c>
      <c r="I117" s="166" t="s">
        <v>996</v>
      </c>
      <c r="J117" s="163" t="s">
        <v>995</v>
      </c>
      <c r="K117" s="10" t="s">
        <v>30</v>
      </c>
      <c r="L117" s="10">
        <v>15</v>
      </c>
      <c r="M117" s="10">
        <f t="shared" si="8"/>
        <v>5</v>
      </c>
      <c r="N117" s="10">
        <v>15</v>
      </c>
      <c r="O117" s="12">
        <v>5</v>
      </c>
      <c r="P117" s="11">
        <v>2680</v>
      </c>
      <c r="Q117" s="10" t="s">
        <v>33</v>
      </c>
      <c r="R117" s="4" t="s">
        <v>1293</v>
      </c>
      <c r="S117" s="4" t="s">
        <v>1383</v>
      </c>
      <c r="T117" s="4" t="s">
        <v>19</v>
      </c>
      <c r="U117" s="4" t="str">
        <f t="shared" si="9"/>
        <v>NOT AN ADD-ON</v>
      </c>
      <c r="V117" s="4" t="str">
        <f t="shared" si="6"/>
        <v>HEALTH SAFETY AND ENVIRONMENT MANAGERHSEAUTHORIZEDNOT AN ADD-ON</v>
      </c>
    </row>
    <row r="118" spans="1:22" ht="15" thickBot="1">
      <c r="A118" s="10" t="s">
        <v>21</v>
      </c>
      <c r="B118" s="10" t="s">
        <v>22</v>
      </c>
      <c r="C118" s="10" t="s">
        <v>986</v>
      </c>
      <c r="D118" s="10" t="s">
        <v>141</v>
      </c>
      <c r="E118" s="10" t="s">
        <v>142</v>
      </c>
      <c r="F118" s="10" t="s">
        <v>143</v>
      </c>
      <c r="G118" s="11">
        <v>1610</v>
      </c>
      <c r="H118" s="163" t="s">
        <v>997</v>
      </c>
      <c r="I118" s="166" t="s">
        <v>998</v>
      </c>
      <c r="J118" s="163" t="s">
        <v>995</v>
      </c>
      <c r="K118" s="10" t="s">
        <v>30</v>
      </c>
      <c r="L118" s="10">
        <v>15</v>
      </c>
      <c r="M118" s="10">
        <f t="shared" si="8"/>
        <v>5</v>
      </c>
      <c r="N118" s="10">
        <v>15</v>
      </c>
      <c r="O118" s="12">
        <v>5</v>
      </c>
      <c r="P118" s="11">
        <v>2680</v>
      </c>
      <c r="Q118" s="10" t="s">
        <v>36</v>
      </c>
      <c r="R118" s="4" t="s">
        <v>1293</v>
      </c>
      <c r="S118" s="4" t="s">
        <v>1383</v>
      </c>
      <c r="T118" s="4" t="s">
        <v>19</v>
      </c>
      <c r="U118" s="4" t="str">
        <f t="shared" si="9"/>
        <v>NOT AN ADD-ON</v>
      </c>
      <c r="V118" s="4" t="str">
        <f t="shared" si="6"/>
        <v>HEALTH SAFETY AND ENVIRONMENT MANAGERHSEAUTHORIZEDNOT AN ADD-ON</v>
      </c>
    </row>
    <row r="119" spans="1:22" ht="29.25" customHeight="1" thickBot="1">
      <c r="A119" s="10" t="s">
        <v>21</v>
      </c>
      <c r="B119" s="10" t="s">
        <v>22</v>
      </c>
      <c r="C119" s="10" t="s">
        <v>986</v>
      </c>
      <c r="D119" s="10" t="s">
        <v>141</v>
      </c>
      <c r="E119" s="10" t="s">
        <v>142</v>
      </c>
      <c r="F119" s="10" t="s">
        <v>143</v>
      </c>
      <c r="G119" s="11">
        <v>2680</v>
      </c>
      <c r="H119" s="163" t="s">
        <v>1001</v>
      </c>
      <c r="I119" s="158" t="s">
        <v>1002</v>
      </c>
      <c r="J119" s="163" t="s">
        <v>1001</v>
      </c>
      <c r="K119" s="10" t="s">
        <v>30</v>
      </c>
      <c r="L119" s="10">
        <v>15</v>
      </c>
      <c r="M119" s="10">
        <f t="shared" si="8"/>
        <v>5</v>
      </c>
      <c r="N119" s="10">
        <v>15</v>
      </c>
      <c r="O119" s="12">
        <v>5</v>
      </c>
      <c r="P119" s="11">
        <v>2680</v>
      </c>
      <c r="Q119" s="10" t="s">
        <v>33</v>
      </c>
      <c r="R119" s="4" t="s">
        <v>1293</v>
      </c>
      <c r="S119" s="4" t="s">
        <v>1383</v>
      </c>
      <c r="T119" s="4" t="s">
        <v>19</v>
      </c>
      <c r="U119" s="4" t="str">
        <f t="shared" si="9"/>
        <v>NOT AN ADD-ON</v>
      </c>
      <c r="V119" s="4" t="str">
        <f t="shared" si="6"/>
        <v>HEALTH SAFETY AND ENVIRONMENT MANAGERHSEAUTHORIZEDNOT AN ADD-ON</v>
      </c>
    </row>
    <row r="120" spans="1:22" ht="29.25" customHeight="1" thickBot="1">
      <c r="A120" s="10" t="s">
        <v>21</v>
      </c>
      <c r="B120" s="10" t="s">
        <v>22</v>
      </c>
      <c r="C120" s="10" t="s">
        <v>986</v>
      </c>
      <c r="D120" s="10" t="s">
        <v>141</v>
      </c>
      <c r="E120" s="10" t="s">
        <v>142</v>
      </c>
      <c r="F120" s="10" t="s">
        <v>143</v>
      </c>
      <c r="G120" s="11">
        <v>1610</v>
      </c>
      <c r="H120" s="163" t="s">
        <v>1003</v>
      </c>
      <c r="I120" s="158" t="s">
        <v>1004</v>
      </c>
      <c r="J120" s="163" t="s">
        <v>1001</v>
      </c>
      <c r="K120" s="10" t="s">
        <v>30</v>
      </c>
      <c r="L120" s="10">
        <v>15</v>
      </c>
      <c r="M120" s="10">
        <f t="shared" si="8"/>
        <v>5</v>
      </c>
      <c r="N120" s="10">
        <v>15</v>
      </c>
      <c r="O120" s="12">
        <v>5</v>
      </c>
      <c r="P120" s="11">
        <v>2680</v>
      </c>
      <c r="Q120" s="10" t="s">
        <v>36</v>
      </c>
      <c r="R120" s="4" t="s">
        <v>1293</v>
      </c>
      <c r="S120" s="4" t="s">
        <v>1383</v>
      </c>
      <c r="T120" s="4" t="s">
        <v>19</v>
      </c>
      <c r="U120" s="4" t="str">
        <f t="shared" si="9"/>
        <v>NOT AN ADD-ON</v>
      </c>
      <c r="V120" s="4" t="str">
        <f t="shared" si="6"/>
        <v>HEALTH SAFETY AND ENVIRONMENT MANAGERHSEAUTHORIZEDNOT AN ADD-ON</v>
      </c>
    </row>
    <row r="121" spans="1:22" ht="15" thickBot="1">
      <c r="A121" s="10" t="s">
        <v>21</v>
      </c>
      <c r="B121" s="10" t="s">
        <v>22</v>
      </c>
      <c r="C121" s="10" t="s">
        <v>140</v>
      </c>
      <c r="D121" s="10" t="s">
        <v>141</v>
      </c>
      <c r="E121" s="10" t="s">
        <v>142</v>
      </c>
      <c r="F121" s="10" t="s">
        <v>143</v>
      </c>
      <c r="G121" s="11">
        <v>1190</v>
      </c>
      <c r="H121" s="163" t="s">
        <v>178</v>
      </c>
      <c r="I121" s="158" t="s">
        <v>179</v>
      </c>
      <c r="J121" s="163" t="s">
        <v>178</v>
      </c>
      <c r="K121" s="10" t="s">
        <v>30</v>
      </c>
      <c r="L121" s="10">
        <v>5</v>
      </c>
      <c r="M121" s="10">
        <f t="shared" si="8"/>
        <v>1.67</v>
      </c>
      <c r="N121" s="10">
        <v>5</v>
      </c>
      <c r="O121" s="12">
        <v>1.6666666666666667</v>
      </c>
      <c r="P121" s="11">
        <v>1190</v>
      </c>
      <c r="Q121" s="10" t="s">
        <v>33</v>
      </c>
      <c r="R121" s="4" t="s">
        <v>1278</v>
      </c>
      <c r="S121" s="4" t="s">
        <v>1278</v>
      </c>
      <c r="T121" s="4" t="s">
        <v>1381</v>
      </c>
      <c r="U121" s="4" t="str">
        <f t="shared" si="9"/>
        <v>NOT AN ADD-ON</v>
      </c>
      <c r="V121" s="4" t="str">
        <f t="shared" si="6"/>
        <v>ASSET MANAGEMENT (CORE)ASSET MANAGEMENT (CORE)EXPRESSNOT AN ADD-ON</v>
      </c>
    </row>
    <row r="122" spans="1:22" ht="15" thickBot="1">
      <c r="A122" s="10" t="s">
        <v>21</v>
      </c>
      <c r="B122" s="10" t="s">
        <v>22</v>
      </c>
      <c r="C122" s="10" t="s">
        <v>140</v>
      </c>
      <c r="D122" s="10" t="s">
        <v>141</v>
      </c>
      <c r="E122" s="10" t="s">
        <v>142</v>
      </c>
      <c r="F122" s="10" t="s">
        <v>143</v>
      </c>
      <c r="G122" s="11">
        <v>721</v>
      </c>
      <c r="H122" s="163" t="s">
        <v>180</v>
      </c>
      <c r="I122" s="158" t="s">
        <v>181</v>
      </c>
      <c r="J122" s="163" t="s">
        <v>178</v>
      </c>
      <c r="K122" s="10" t="s">
        <v>30</v>
      </c>
      <c r="L122" s="10">
        <v>5</v>
      </c>
      <c r="M122" s="10">
        <f t="shared" si="8"/>
        <v>1.67</v>
      </c>
      <c r="N122" s="10">
        <v>5</v>
      </c>
      <c r="O122" s="12">
        <v>1.6666666666666667</v>
      </c>
      <c r="P122" s="11">
        <v>1190</v>
      </c>
      <c r="Q122" s="10" t="s">
        <v>36</v>
      </c>
      <c r="R122" s="4" t="s">
        <v>1278</v>
      </c>
      <c r="S122" s="4" t="s">
        <v>1278</v>
      </c>
      <c r="T122" s="4" t="s">
        <v>1381</v>
      </c>
      <c r="U122" s="4" t="str">
        <f t="shared" si="9"/>
        <v>NOT AN ADD-ON</v>
      </c>
      <c r="V122" s="4" t="str">
        <f t="shared" si="6"/>
        <v>ASSET MANAGEMENT (CORE)ASSET MANAGEMENT (CORE)EXPRESSNOT AN ADD-ON</v>
      </c>
    </row>
    <row r="123" spans="1:22" ht="29.25" customHeight="1" thickBot="1">
      <c r="A123" s="10" t="s">
        <v>21</v>
      </c>
      <c r="B123" s="10" t="s">
        <v>22</v>
      </c>
      <c r="C123" s="10" t="s">
        <v>140</v>
      </c>
      <c r="D123" s="10" t="s">
        <v>141</v>
      </c>
      <c r="E123" s="10" t="s">
        <v>142</v>
      </c>
      <c r="F123" s="10" t="s">
        <v>143</v>
      </c>
      <c r="G123" s="11">
        <v>1190</v>
      </c>
      <c r="H123" s="163" t="s">
        <v>195</v>
      </c>
      <c r="I123" s="158" t="s">
        <v>196</v>
      </c>
      <c r="J123" s="163" t="s">
        <v>195</v>
      </c>
      <c r="K123" s="10" t="s">
        <v>30</v>
      </c>
      <c r="L123" s="10">
        <v>5</v>
      </c>
      <c r="M123" s="10">
        <f t="shared" si="8"/>
        <v>1.67</v>
      </c>
      <c r="N123" s="10">
        <v>5</v>
      </c>
      <c r="O123" s="12">
        <v>1.6666666666666667</v>
      </c>
      <c r="P123" s="11">
        <v>1190</v>
      </c>
      <c r="Q123" s="10" t="s">
        <v>33</v>
      </c>
      <c r="R123" s="4" t="s">
        <v>1278</v>
      </c>
      <c r="S123" s="4" t="s">
        <v>1278</v>
      </c>
      <c r="T123" s="4" t="s">
        <v>1381</v>
      </c>
      <c r="U123" s="4" t="str">
        <f t="shared" si="9"/>
        <v>NOT AN ADD-ON</v>
      </c>
      <c r="V123" s="4" t="str">
        <f t="shared" si="6"/>
        <v>ASSET MANAGEMENT (CORE)ASSET MANAGEMENT (CORE)EXPRESSNOT AN ADD-ON</v>
      </c>
    </row>
    <row r="124" spans="1:22" ht="15" thickBot="1">
      <c r="A124" s="10" t="s">
        <v>21</v>
      </c>
      <c r="B124" s="10" t="s">
        <v>22</v>
      </c>
      <c r="C124" s="10" t="s">
        <v>140</v>
      </c>
      <c r="D124" s="10" t="s">
        <v>141</v>
      </c>
      <c r="E124" s="10" t="s">
        <v>142</v>
      </c>
      <c r="F124" s="10" t="s">
        <v>143</v>
      </c>
      <c r="G124" s="11">
        <v>721</v>
      </c>
      <c r="H124" s="163" t="s">
        <v>197</v>
      </c>
      <c r="I124" s="158" t="s">
        <v>198</v>
      </c>
      <c r="J124" s="163" t="s">
        <v>195</v>
      </c>
      <c r="K124" s="10" t="s">
        <v>30</v>
      </c>
      <c r="L124" s="10">
        <v>5</v>
      </c>
      <c r="M124" s="10">
        <f t="shared" si="8"/>
        <v>1.67</v>
      </c>
      <c r="N124" s="10">
        <v>5</v>
      </c>
      <c r="O124" s="12">
        <v>1.6666666666666667</v>
      </c>
      <c r="P124" s="11">
        <v>1190</v>
      </c>
      <c r="Q124" s="10" t="s">
        <v>36</v>
      </c>
      <c r="R124" s="4" t="s">
        <v>1278</v>
      </c>
      <c r="S124" s="4" t="s">
        <v>1278</v>
      </c>
      <c r="T124" s="4" t="s">
        <v>1381</v>
      </c>
      <c r="U124" s="4" t="str">
        <f t="shared" si="9"/>
        <v>NOT AN ADD-ON</v>
      </c>
      <c r="V124" s="4" t="str">
        <f t="shared" si="6"/>
        <v>ASSET MANAGEMENT (CORE)ASSET MANAGEMENT (CORE)EXPRESSNOT AN ADD-ON</v>
      </c>
    </row>
    <row r="125" spans="1:22" ht="15" thickBot="1">
      <c r="A125" s="10" t="s">
        <v>21</v>
      </c>
      <c r="B125" s="10" t="s">
        <v>22</v>
      </c>
      <c r="C125" s="10" t="s">
        <v>593</v>
      </c>
      <c r="D125" s="10" t="s">
        <v>594</v>
      </c>
      <c r="E125" s="10" t="s">
        <v>595</v>
      </c>
      <c r="F125" s="10" t="s">
        <v>596</v>
      </c>
      <c r="G125" s="11">
        <v>3840</v>
      </c>
      <c r="H125" s="163" t="s">
        <v>671</v>
      </c>
      <c r="I125" s="158" t="s">
        <v>675</v>
      </c>
      <c r="J125" s="163" t="s">
        <v>671</v>
      </c>
      <c r="K125" s="10" t="s">
        <v>30</v>
      </c>
      <c r="L125" s="10">
        <v>5</v>
      </c>
      <c r="M125" s="10">
        <f t="shared" si="8"/>
        <v>1.67</v>
      </c>
      <c r="N125" s="10">
        <v>5</v>
      </c>
      <c r="O125" s="12">
        <v>1.6666666666666667</v>
      </c>
      <c r="P125" s="11">
        <v>3840</v>
      </c>
      <c r="Q125" s="10" t="s">
        <v>33</v>
      </c>
      <c r="R125" s="4" t="s">
        <v>1281</v>
      </c>
      <c r="S125" s="4" t="s">
        <v>1279</v>
      </c>
      <c r="T125" s="4" t="s">
        <v>672</v>
      </c>
      <c r="U125" s="4" t="str">
        <f t="shared" si="9"/>
        <v>NOT AN ADD-ON</v>
      </c>
      <c r="V125" s="4" t="str">
        <f t="shared" si="6"/>
        <v>NUCLEAR POWERINDUSTRY SOLUTIONLIMITEDNOT AN ADD-ON</v>
      </c>
    </row>
    <row r="126" spans="1:22" ht="29.25" customHeight="1" thickBot="1">
      <c r="A126" s="10" t="s">
        <v>21</v>
      </c>
      <c r="B126" s="10" t="s">
        <v>22</v>
      </c>
      <c r="C126" s="10" t="s">
        <v>593</v>
      </c>
      <c r="D126" s="10" t="s">
        <v>594</v>
      </c>
      <c r="E126" s="10" t="s">
        <v>595</v>
      </c>
      <c r="F126" s="10" t="s">
        <v>596</v>
      </c>
      <c r="G126" s="11">
        <v>2310</v>
      </c>
      <c r="H126" s="163" t="s">
        <v>676</v>
      </c>
      <c r="I126" s="158" t="s">
        <v>677</v>
      </c>
      <c r="J126" s="163" t="s">
        <v>671</v>
      </c>
      <c r="K126" s="10" t="s">
        <v>30</v>
      </c>
      <c r="L126" s="10">
        <v>5</v>
      </c>
      <c r="M126" s="10">
        <f t="shared" si="8"/>
        <v>1.67</v>
      </c>
      <c r="N126" s="10">
        <v>5</v>
      </c>
      <c r="O126" s="12">
        <v>1.6666666666666667</v>
      </c>
      <c r="P126" s="11">
        <v>3840</v>
      </c>
      <c r="Q126" s="10" t="s">
        <v>36</v>
      </c>
      <c r="R126" s="4" t="s">
        <v>1281</v>
      </c>
      <c r="S126" s="4" t="s">
        <v>1279</v>
      </c>
      <c r="T126" s="4" t="s">
        <v>672</v>
      </c>
      <c r="U126" s="4" t="str">
        <f t="shared" si="9"/>
        <v>NOT AN ADD-ON</v>
      </c>
      <c r="V126" s="4" t="str">
        <f t="shared" si="6"/>
        <v>NUCLEAR POWERINDUSTRY SOLUTIONLIMITEDNOT AN ADD-ON</v>
      </c>
    </row>
    <row r="127" spans="1:22" ht="27" thickBot="1">
      <c r="A127" s="10" t="s">
        <v>21</v>
      </c>
      <c r="B127" s="10" t="s">
        <v>22</v>
      </c>
      <c r="C127" s="10" t="s">
        <v>593</v>
      </c>
      <c r="D127" s="10" t="s">
        <v>594</v>
      </c>
      <c r="E127" s="10" t="s">
        <v>595</v>
      </c>
      <c r="F127" s="10" t="s">
        <v>596</v>
      </c>
      <c r="G127" s="11">
        <v>1330</v>
      </c>
      <c r="H127" s="163" t="s">
        <v>669</v>
      </c>
      <c r="I127" s="166" t="s">
        <v>670</v>
      </c>
      <c r="J127" s="163" t="s">
        <v>671</v>
      </c>
      <c r="K127" s="10" t="s">
        <v>30</v>
      </c>
      <c r="L127" s="10">
        <v>5</v>
      </c>
      <c r="M127" s="10">
        <f t="shared" si="8"/>
        <v>1.67</v>
      </c>
      <c r="N127" s="10">
        <v>5</v>
      </c>
      <c r="O127" s="12">
        <v>1.6666666666666667</v>
      </c>
      <c r="P127" s="11">
        <v>3840</v>
      </c>
      <c r="Q127" s="10" t="s">
        <v>48</v>
      </c>
      <c r="R127" s="4" t="s">
        <v>1281</v>
      </c>
      <c r="S127" s="4" t="s">
        <v>1279</v>
      </c>
      <c r="T127" s="4" t="s">
        <v>672</v>
      </c>
      <c r="U127" s="4" t="str">
        <f t="shared" si="9"/>
        <v>NOT AN ADD-ON</v>
      </c>
      <c r="V127" s="4" t="str">
        <f t="shared" si="6"/>
        <v>NUCLEAR POWERINDUSTRY SOLUTIONLIMITEDNOT AN ADD-ON</v>
      </c>
    </row>
    <row r="128" spans="1:22" ht="15" thickBot="1">
      <c r="A128" s="10" t="s">
        <v>21</v>
      </c>
      <c r="B128" s="10" t="s">
        <v>22</v>
      </c>
      <c r="C128" s="10" t="s">
        <v>593</v>
      </c>
      <c r="D128" s="10" t="s">
        <v>594</v>
      </c>
      <c r="E128" s="10" t="s">
        <v>595</v>
      </c>
      <c r="F128" s="10" t="s">
        <v>596</v>
      </c>
      <c r="G128" s="11">
        <v>3840</v>
      </c>
      <c r="H128" s="163" t="s">
        <v>680</v>
      </c>
      <c r="I128" s="158" t="s">
        <v>683</v>
      </c>
      <c r="J128" s="163" t="s">
        <v>680</v>
      </c>
      <c r="K128" s="10" t="s">
        <v>30</v>
      </c>
      <c r="L128" s="10">
        <v>5</v>
      </c>
      <c r="M128" s="10">
        <f t="shared" si="8"/>
        <v>1.67</v>
      </c>
      <c r="N128" s="10">
        <v>5</v>
      </c>
      <c r="O128" s="12">
        <v>1.6666666666666667</v>
      </c>
      <c r="P128" s="11">
        <v>3840</v>
      </c>
      <c r="Q128" s="10" t="s">
        <v>33</v>
      </c>
      <c r="R128" s="4" t="s">
        <v>1281</v>
      </c>
      <c r="S128" s="4" t="s">
        <v>1279</v>
      </c>
      <c r="T128" s="4" t="s">
        <v>672</v>
      </c>
      <c r="U128" s="4" t="str">
        <f t="shared" si="9"/>
        <v>NOT AN ADD-ON</v>
      </c>
      <c r="V128" s="4" t="str">
        <f t="shared" si="6"/>
        <v>NUCLEAR POWERINDUSTRY SOLUTIONLIMITEDNOT AN ADD-ON</v>
      </c>
    </row>
    <row r="129" spans="1:22" ht="15" thickBot="1">
      <c r="A129" s="10" t="s">
        <v>21</v>
      </c>
      <c r="B129" s="10" t="s">
        <v>22</v>
      </c>
      <c r="C129" s="10" t="s">
        <v>593</v>
      </c>
      <c r="D129" s="10" t="s">
        <v>594</v>
      </c>
      <c r="E129" s="10" t="s">
        <v>595</v>
      </c>
      <c r="F129" s="10" t="s">
        <v>596</v>
      </c>
      <c r="G129" s="11">
        <v>2310</v>
      </c>
      <c r="H129" s="163" t="s">
        <v>684</v>
      </c>
      <c r="I129" s="158" t="s">
        <v>685</v>
      </c>
      <c r="J129" s="163" t="s">
        <v>680</v>
      </c>
      <c r="K129" s="10" t="s">
        <v>30</v>
      </c>
      <c r="L129" s="10">
        <v>5</v>
      </c>
      <c r="M129" s="10">
        <f t="shared" si="8"/>
        <v>1.67</v>
      </c>
      <c r="N129" s="10">
        <v>5</v>
      </c>
      <c r="O129" s="12">
        <v>1.6666666666666667</v>
      </c>
      <c r="P129" s="11">
        <v>3840</v>
      </c>
      <c r="Q129" s="10" t="s">
        <v>36</v>
      </c>
      <c r="R129" s="4" t="s">
        <v>1281</v>
      </c>
      <c r="S129" s="4" t="s">
        <v>1279</v>
      </c>
      <c r="T129" s="4" t="s">
        <v>672</v>
      </c>
      <c r="U129" s="4" t="str">
        <f t="shared" si="9"/>
        <v>NOT AN ADD-ON</v>
      </c>
      <c r="V129" s="4" t="str">
        <f t="shared" si="6"/>
        <v>NUCLEAR POWERINDUSTRY SOLUTIONLIMITEDNOT AN ADD-ON</v>
      </c>
    </row>
    <row r="130" spans="1:22" ht="29.25" customHeight="1" thickBot="1">
      <c r="A130" s="10" t="s">
        <v>21</v>
      </c>
      <c r="B130" s="10" t="s">
        <v>22</v>
      </c>
      <c r="C130" s="10" t="s">
        <v>593</v>
      </c>
      <c r="D130" s="10" t="s">
        <v>594</v>
      </c>
      <c r="E130" s="10" t="s">
        <v>595</v>
      </c>
      <c r="F130" s="10" t="s">
        <v>596</v>
      </c>
      <c r="G130" s="11">
        <v>1330</v>
      </c>
      <c r="H130" s="163" t="s">
        <v>678</v>
      </c>
      <c r="I130" s="166" t="s">
        <v>679</v>
      </c>
      <c r="J130" s="163" t="s">
        <v>680</v>
      </c>
      <c r="K130" s="10" t="s">
        <v>30</v>
      </c>
      <c r="L130" s="10">
        <v>5</v>
      </c>
      <c r="M130" s="10">
        <f t="shared" si="8"/>
        <v>1.67</v>
      </c>
      <c r="N130" s="10">
        <v>5</v>
      </c>
      <c r="O130" s="12">
        <v>1.6666666666666667</v>
      </c>
      <c r="P130" s="11">
        <v>3840</v>
      </c>
      <c r="Q130" s="10" t="s">
        <v>48</v>
      </c>
      <c r="R130" s="4" t="s">
        <v>1281</v>
      </c>
      <c r="S130" s="4" t="s">
        <v>1279</v>
      </c>
      <c r="T130" s="4" t="s">
        <v>672</v>
      </c>
      <c r="U130" s="4" t="str">
        <f t="shared" si="9"/>
        <v>NOT AN ADD-ON</v>
      </c>
      <c r="V130" s="4" t="str">
        <f t="shared" si="6"/>
        <v>NUCLEAR POWERINDUSTRY SOLUTIONLIMITEDNOT AN ADD-ON</v>
      </c>
    </row>
    <row r="131" spans="1:22" ht="15" thickBot="1">
      <c r="A131" s="10" t="s">
        <v>21</v>
      </c>
      <c r="B131" s="10" t="s">
        <v>22</v>
      </c>
      <c r="C131" s="10" t="s">
        <v>686</v>
      </c>
      <c r="D131" s="10" t="s">
        <v>687</v>
      </c>
      <c r="E131" s="10" t="s">
        <v>688</v>
      </c>
      <c r="F131" s="10" t="s">
        <v>689</v>
      </c>
      <c r="G131" s="11">
        <v>3840</v>
      </c>
      <c r="H131" s="163" t="s">
        <v>764</v>
      </c>
      <c r="I131" s="158" t="s">
        <v>767</v>
      </c>
      <c r="J131" s="163" t="s">
        <v>764</v>
      </c>
      <c r="K131" s="10" t="s">
        <v>30</v>
      </c>
      <c r="L131" s="10">
        <v>5</v>
      </c>
      <c r="M131" s="10">
        <f t="shared" ref="M131:M162" si="10">ROUND(IF(K131="Authorized User",L131/3,L131),2)</f>
        <v>1.67</v>
      </c>
      <c r="N131" s="10">
        <v>5</v>
      </c>
      <c r="O131" s="12">
        <v>1.6666666666666667</v>
      </c>
      <c r="P131" s="11">
        <v>3840</v>
      </c>
      <c r="Q131" s="10" t="s">
        <v>33</v>
      </c>
      <c r="R131" s="4" t="s">
        <v>1282</v>
      </c>
      <c r="S131" s="4" t="s">
        <v>1279</v>
      </c>
      <c r="T131" s="4" t="s">
        <v>672</v>
      </c>
      <c r="U131" s="4" t="str">
        <f t="shared" si="9"/>
        <v>NOT AN ADD-ON</v>
      </c>
      <c r="V131" s="4" t="str">
        <f t="shared" ref="V131:V194" si="11">CONCATENATE(R131,S131,T131,U131)</f>
        <v>OIL AND GASINDUSTRY SOLUTIONLIMITEDNOT AN ADD-ON</v>
      </c>
    </row>
    <row r="132" spans="1:22" ht="15" thickBot="1">
      <c r="A132" s="10" t="s">
        <v>21</v>
      </c>
      <c r="B132" s="10" t="s">
        <v>22</v>
      </c>
      <c r="C132" s="10" t="s">
        <v>686</v>
      </c>
      <c r="D132" s="10" t="s">
        <v>687</v>
      </c>
      <c r="E132" s="10" t="s">
        <v>688</v>
      </c>
      <c r="F132" s="10" t="s">
        <v>689</v>
      </c>
      <c r="G132" s="11">
        <v>2310</v>
      </c>
      <c r="H132" s="163" t="s">
        <v>768</v>
      </c>
      <c r="I132" s="158" t="s">
        <v>769</v>
      </c>
      <c r="J132" s="163" t="s">
        <v>764</v>
      </c>
      <c r="K132" s="10" t="s">
        <v>30</v>
      </c>
      <c r="L132" s="10">
        <v>5</v>
      </c>
      <c r="M132" s="10">
        <f t="shared" si="10"/>
        <v>1.67</v>
      </c>
      <c r="N132" s="10">
        <v>5</v>
      </c>
      <c r="O132" s="12">
        <v>1.6666666666666667</v>
      </c>
      <c r="P132" s="11">
        <v>3840</v>
      </c>
      <c r="Q132" s="10" t="s">
        <v>36</v>
      </c>
      <c r="R132" s="4" t="s">
        <v>1282</v>
      </c>
      <c r="S132" s="4" t="s">
        <v>1279</v>
      </c>
      <c r="T132" s="4" t="s">
        <v>672</v>
      </c>
      <c r="U132" s="4" t="str">
        <f t="shared" si="9"/>
        <v>NOT AN ADD-ON</v>
      </c>
      <c r="V132" s="4" t="str">
        <f t="shared" si="11"/>
        <v>OIL AND GASINDUSTRY SOLUTIONLIMITEDNOT AN ADD-ON</v>
      </c>
    </row>
    <row r="133" spans="1:22" ht="29.25" customHeight="1" thickBot="1">
      <c r="A133" s="10" t="s">
        <v>21</v>
      </c>
      <c r="B133" s="10" t="s">
        <v>22</v>
      </c>
      <c r="C133" s="10" t="s">
        <v>686</v>
      </c>
      <c r="D133" s="10" t="s">
        <v>687</v>
      </c>
      <c r="E133" s="10" t="s">
        <v>688</v>
      </c>
      <c r="F133" s="10" t="s">
        <v>689</v>
      </c>
      <c r="G133" s="11">
        <v>1330</v>
      </c>
      <c r="H133" s="163" t="s">
        <v>762</v>
      </c>
      <c r="I133" s="166" t="s">
        <v>763</v>
      </c>
      <c r="J133" s="163" t="s">
        <v>764</v>
      </c>
      <c r="K133" s="10" t="s">
        <v>30</v>
      </c>
      <c r="L133" s="10">
        <v>5</v>
      </c>
      <c r="M133" s="10">
        <f t="shared" si="10"/>
        <v>1.67</v>
      </c>
      <c r="N133" s="10">
        <v>5</v>
      </c>
      <c r="O133" s="12">
        <v>1.6666666666666667</v>
      </c>
      <c r="P133" s="11">
        <v>3840</v>
      </c>
      <c r="Q133" s="10" t="s">
        <v>48</v>
      </c>
      <c r="R133" s="4" t="s">
        <v>1282</v>
      </c>
      <c r="S133" s="4" t="s">
        <v>1279</v>
      </c>
      <c r="T133" s="4" t="s">
        <v>672</v>
      </c>
      <c r="U133" s="4" t="str">
        <f t="shared" si="9"/>
        <v>NOT AN ADD-ON</v>
      </c>
      <c r="V133" s="4" t="str">
        <f t="shared" si="11"/>
        <v>OIL AND GASINDUSTRY SOLUTIONLIMITEDNOT AN ADD-ON</v>
      </c>
    </row>
    <row r="134" spans="1:22" ht="15" thickBot="1">
      <c r="A134" s="10" t="s">
        <v>21</v>
      </c>
      <c r="B134" s="10" t="s">
        <v>22</v>
      </c>
      <c r="C134" s="10" t="s">
        <v>686</v>
      </c>
      <c r="D134" s="10" t="s">
        <v>687</v>
      </c>
      <c r="E134" s="10" t="s">
        <v>688</v>
      </c>
      <c r="F134" s="10" t="s">
        <v>689</v>
      </c>
      <c r="G134" s="11">
        <v>3840</v>
      </c>
      <c r="H134" s="163" t="s">
        <v>772</v>
      </c>
      <c r="I134" s="158" t="s">
        <v>775</v>
      </c>
      <c r="J134" s="163" t="s">
        <v>772</v>
      </c>
      <c r="K134" s="10" t="s">
        <v>30</v>
      </c>
      <c r="L134" s="10">
        <v>5</v>
      </c>
      <c r="M134" s="10">
        <f t="shared" si="10"/>
        <v>1.67</v>
      </c>
      <c r="N134" s="10">
        <v>5</v>
      </c>
      <c r="O134" s="12">
        <v>1.6666666666666667</v>
      </c>
      <c r="P134" s="11">
        <v>3840</v>
      </c>
      <c r="Q134" s="10" t="s">
        <v>33</v>
      </c>
      <c r="R134" s="4" t="s">
        <v>1282</v>
      </c>
      <c r="S134" s="4" t="s">
        <v>1279</v>
      </c>
      <c r="T134" s="4" t="s">
        <v>672</v>
      </c>
      <c r="U134" s="4" t="str">
        <f t="shared" si="9"/>
        <v>NOT AN ADD-ON</v>
      </c>
      <c r="V134" s="4" t="str">
        <f t="shared" si="11"/>
        <v>OIL AND GASINDUSTRY SOLUTIONLIMITEDNOT AN ADD-ON</v>
      </c>
    </row>
    <row r="135" spans="1:22" ht="29.25" customHeight="1" thickBot="1">
      <c r="A135" s="10" t="s">
        <v>21</v>
      </c>
      <c r="B135" s="10" t="s">
        <v>22</v>
      </c>
      <c r="C135" s="10" t="s">
        <v>686</v>
      </c>
      <c r="D135" s="10" t="s">
        <v>687</v>
      </c>
      <c r="E135" s="10" t="s">
        <v>688</v>
      </c>
      <c r="F135" s="10" t="s">
        <v>689</v>
      </c>
      <c r="G135" s="11">
        <v>2310</v>
      </c>
      <c r="H135" s="163" t="s">
        <v>776</v>
      </c>
      <c r="I135" s="158" t="s">
        <v>777</v>
      </c>
      <c r="J135" s="163" t="s">
        <v>772</v>
      </c>
      <c r="K135" s="10" t="s">
        <v>30</v>
      </c>
      <c r="L135" s="10">
        <v>5</v>
      </c>
      <c r="M135" s="10">
        <f t="shared" si="10"/>
        <v>1.67</v>
      </c>
      <c r="N135" s="10">
        <v>5</v>
      </c>
      <c r="O135" s="12">
        <v>1.6666666666666667</v>
      </c>
      <c r="P135" s="11">
        <v>3840</v>
      </c>
      <c r="Q135" s="10" t="s">
        <v>36</v>
      </c>
      <c r="R135" s="4" t="s">
        <v>1282</v>
      </c>
      <c r="S135" s="4" t="s">
        <v>1279</v>
      </c>
      <c r="T135" s="4" t="s">
        <v>672</v>
      </c>
      <c r="U135" s="4" t="str">
        <f t="shared" si="9"/>
        <v>NOT AN ADD-ON</v>
      </c>
      <c r="V135" s="4" t="str">
        <f t="shared" si="11"/>
        <v>OIL AND GASINDUSTRY SOLUTIONLIMITEDNOT AN ADD-ON</v>
      </c>
    </row>
    <row r="136" spans="1:22" ht="27" thickBot="1">
      <c r="A136" s="10" t="s">
        <v>21</v>
      </c>
      <c r="B136" s="10" t="s">
        <v>22</v>
      </c>
      <c r="C136" s="10" t="s">
        <v>686</v>
      </c>
      <c r="D136" s="10" t="s">
        <v>687</v>
      </c>
      <c r="E136" s="10" t="s">
        <v>688</v>
      </c>
      <c r="F136" s="10" t="s">
        <v>689</v>
      </c>
      <c r="G136" s="11">
        <v>1330</v>
      </c>
      <c r="H136" s="163" t="s">
        <v>770</v>
      </c>
      <c r="I136" s="166" t="s">
        <v>771</v>
      </c>
      <c r="J136" s="163" t="s">
        <v>772</v>
      </c>
      <c r="K136" s="10" t="s">
        <v>30</v>
      </c>
      <c r="L136" s="10">
        <v>5</v>
      </c>
      <c r="M136" s="10">
        <f t="shared" si="10"/>
        <v>1.67</v>
      </c>
      <c r="N136" s="10">
        <v>5</v>
      </c>
      <c r="O136" s="12">
        <v>1.6666666666666667</v>
      </c>
      <c r="P136" s="11">
        <v>3840</v>
      </c>
      <c r="Q136" s="10" t="s">
        <v>48</v>
      </c>
      <c r="R136" s="4" t="s">
        <v>1282</v>
      </c>
      <c r="S136" s="4" t="s">
        <v>1279</v>
      </c>
      <c r="T136" s="4" t="s">
        <v>672</v>
      </c>
      <c r="U136" s="4" t="str">
        <f t="shared" si="9"/>
        <v>NOT AN ADD-ON</v>
      </c>
      <c r="V136" s="4" t="str">
        <f t="shared" si="11"/>
        <v>OIL AND GASINDUSTRY SOLUTIONLIMITEDNOT AN ADD-ON</v>
      </c>
    </row>
    <row r="137" spans="1:22" ht="29.25" customHeight="1" thickBot="1">
      <c r="A137" s="10" t="s">
        <v>21</v>
      </c>
      <c r="B137" s="10" t="s">
        <v>22</v>
      </c>
      <c r="C137" s="10" t="s">
        <v>778</v>
      </c>
      <c r="D137" s="10" t="s">
        <v>779</v>
      </c>
      <c r="E137" s="10" t="s">
        <v>780</v>
      </c>
      <c r="F137" s="10" t="s">
        <v>781</v>
      </c>
      <c r="G137" s="11">
        <v>3840</v>
      </c>
      <c r="H137" s="163" t="s">
        <v>856</v>
      </c>
      <c r="I137" s="158" t="s">
        <v>859</v>
      </c>
      <c r="J137" s="163" t="s">
        <v>856</v>
      </c>
      <c r="K137" s="10" t="s">
        <v>30</v>
      </c>
      <c r="L137" s="10">
        <v>5</v>
      </c>
      <c r="M137" s="10">
        <f t="shared" si="10"/>
        <v>1.67</v>
      </c>
      <c r="N137" s="10">
        <v>5</v>
      </c>
      <c r="O137" s="12">
        <v>1.6666666666666667</v>
      </c>
      <c r="P137" s="11">
        <v>3840</v>
      </c>
      <c r="Q137" s="10" t="s">
        <v>33</v>
      </c>
      <c r="R137" s="4" t="s">
        <v>1283</v>
      </c>
      <c r="S137" s="4" t="s">
        <v>1279</v>
      </c>
      <c r="T137" s="4" t="s">
        <v>672</v>
      </c>
      <c r="U137" s="4" t="str">
        <f t="shared" si="9"/>
        <v>NOT AN ADD-ON</v>
      </c>
      <c r="V137" s="4" t="str">
        <f t="shared" si="11"/>
        <v>TRANSPORATIONINDUSTRY SOLUTIONLIMITEDNOT AN ADD-ON</v>
      </c>
    </row>
    <row r="138" spans="1:22" ht="15" thickBot="1">
      <c r="A138" s="10" t="s">
        <v>21</v>
      </c>
      <c r="B138" s="10" t="s">
        <v>22</v>
      </c>
      <c r="C138" s="10" t="s">
        <v>778</v>
      </c>
      <c r="D138" s="10" t="s">
        <v>779</v>
      </c>
      <c r="E138" s="10" t="s">
        <v>780</v>
      </c>
      <c r="F138" s="10" t="s">
        <v>781</v>
      </c>
      <c r="G138" s="11">
        <v>2310</v>
      </c>
      <c r="H138" s="163" t="s">
        <v>860</v>
      </c>
      <c r="I138" s="158" t="s">
        <v>861</v>
      </c>
      <c r="J138" s="163" t="s">
        <v>856</v>
      </c>
      <c r="K138" s="10" t="s">
        <v>30</v>
      </c>
      <c r="L138" s="10">
        <v>5</v>
      </c>
      <c r="M138" s="10">
        <f t="shared" si="10"/>
        <v>1.67</v>
      </c>
      <c r="N138" s="10">
        <v>5</v>
      </c>
      <c r="O138" s="12">
        <v>1.6666666666666667</v>
      </c>
      <c r="P138" s="11">
        <v>3840</v>
      </c>
      <c r="Q138" s="10" t="s">
        <v>36</v>
      </c>
      <c r="R138" s="4" t="s">
        <v>1283</v>
      </c>
      <c r="S138" s="4" t="s">
        <v>1279</v>
      </c>
      <c r="T138" s="4" t="s">
        <v>672</v>
      </c>
      <c r="U138" s="4" t="str">
        <f t="shared" si="9"/>
        <v>NOT AN ADD-ON</v>
      </c>
      <c r="V138" s="4" t="str">
        <f t="shared" si="11"/>
        <v>TRANSPORATIONINDUSTRY SOLUTIONLIMITEDNOT AN ADD-ON</v>
      </c>
    </row>
    <row r="139" spans="1:22" ht="27" thickBot="1">
      <c r="A139" s="10" t="s">
        <v>21</v>
      </c>
      <c r="B139" s="10" t="s">
        <v>22</v>
      </c>
      <c r="C139" s="10" t="s">
        <v>778</v>
      </c>
      <c r="D139" s="10" t="s">
        <v>779</v>
      </c>
      <c r="E139" s="10" t="s">
        <v>780</v>
      </c>
      <c r="F139" s="10" t="s">
        <v>781</v>
      </c>
      <c r="G139" s="11">
        <v>1330</v>
      </c>
      <c r="H139" s="163" t="s">
        <v>854</v>
      </c>
      <c r="I139" s="166" t="s">
        <v>855</v>
      </c>
      <c r="J139" s="163" t="s">
        <v>856</v>
      </c>
      <c r="K139" s="10" t="s">
        <v>30</v>
      </c>
      <c r="L139" s="10">
        <v>15</v>
      </c>
      <c r="M139" s="10">
        <f t="shared" si="10"/>
        <v>5</v>
      </c>
      <c r="N139" s="10">
        <v>5</v>
      </c>
      <c r="O139" s="12">
        <v>1.6666666666666667</v>
      </c>
      <c r="P139" s="11">
        <v>3840</v>
      </c>
      <c r="Q139" s="10" t="s">
        <v>48</v>
      </c>
      <c r="R139" s="4" t="s">
        <v>1283</v>
      </c>
      <c r="S139" s="4" t="s">
        <v>1279</v>
      </c>
      <c r="T139" s="4" t="s">
        <v>19</v>
      </c>
      <c r="U139" s="4" t="str">
        <f t="shared" si="9"/>
        <v>NOT AN ADD-ON</v>
      </c>
      <c r="V139" s="4" t="str">
        <f t="shared" si="11"/>
        <v>TRANSPORATIONINDUSTRY SOLUTIONAUTHORIZEDNOT AN ADD-ON</v>
      </c>
    </row>
    <row r="140" spans="1:22" ht="29.25" customHeight="1" thickTop="1" thickBot="1">
      <c r="A140" s="13" t="s">
        <v>21</v>
      </c>
      <c r="B140" s="13" t="s">
        <v>22</v>
      </c>
      <c r="C140" s="13" t="s">
        <v>778</v>
      </c>
      <c r="D140" s="13" t="s">
        <v>779</v>
      </c>
      <c r="E140" s="13" t="s">
        <v>780</v>
      </c>
      <c r="F140" s="13" t="s">
        <v>781</v>
      </c>
      <c r="G140" s="14">
        <v>3840</v>
      </c>
      <c r="H140" s="164" t="s">
        <v>864</v>
      </c>
      <c r="I140" s="159" t="s">
        <v>867</v>
      </c>
      <c r="J140" s="163" t="s">
        <v>864</v>
      </c>
      <c r="K140" s="13" t="s">
        <v>30</v>
      </c>
      <c r="L140" s="10">
        <v>5</v>
      </c>
      <c r="M140" s="10">
        <f t="shared" si="10"/>
        <v>1.67</v>
      </c>
      <c r="N140" s="10">
        <v>5</v>
      </c>
      <c r="O140" s="12">
        <v>1.6666666666666667</v>
      </c>
      <c r="P140" s="14">
        <v>3840</v>
      </c>
      <c r="Q140" s="13" t="s">
        <v>33</v>
      </c>
      <c r="R140" s="4" t="s">
        <v>1283</v>
      </c>
      <c r="S140" s="4" t="s">
        <v>1279</v>
      </c>
      <c r="T140" s="4" t="s">
        <v>672</v>
      </c>
      <c r="U140" s="4" t="str">
        <f t="shared" si="9"/>
        <v>NOT AN ADD-ON</v>
      </c>
      <c r="V140" s="4" t="str">
        <f t="shared" si="11"/>
        <v>TRANSPORATIONINDUSTRY SOLUTIONLIMITEDNOT AN ADD-ON</v>
      </c>
    </row>
    <row r="141" spans="1:22" ht="16" thickTop="1" thickBot="1">
      <c r="A141" s="10" t="s">
        <v>21</v>
      </c>
      <c r="B141" s="10" t="s">
        <v>22</v>
      </c>
      <c r="C141" s="10" t="s">
        <v>778</v>
      </c>
      <c r="D141" s="10" t="s">
        <v>779</v>
      </c>
      <c r="E141" s="10" t="s">
        <v>780</v>
      </c>
      <c r="F141" s="10" t="s">
        <v>781</v>
      </c>
      <c r="G141" s="11">
        <v>2310</v>
      </c>
      <c r="H141" s="163" t="s">
        <v>868</v>
      </c>
      <c r="I141" s="166" t="s">
        <v>869</v>
      </c>
      <c r="J141" s="163" t="s">
        <v>864</v>
      </c>
      <c r="K141" s="10" t="s">
        <v>30</v>
      </c>
      <c r="L141" s="10">
        <v>5</v>
      </c>
      <c r="M141" s="10">
        <f t="shared" si="10"/>
        <v>1.67</v>
      </c>
      <c r="N141" s="10">
        <v>5</v>
      </c>
      <c r="O141" s="12">
        <v>1.6666666666666667</v>
      </c>
      <c r="P141" s="14">
        <v>3840</v>
      </c>
      <c r="Q141" s="10" t="s">
        <v>36</v>
      </c>
      <c r="R141" s="4" t="s">
        <v>1283</v>
      </c>
      <c r="S141" s="4" t="s">
        <v>1279</v>
      </c>
      <c r="T141" s="4" t="s">
        <v>672</v>
      </c>
      <c r="U141" s="4" t="str">
        <f t="shared" ref="U141:U172" si="12">IF(ISNUMBER(SEARCH("ADD-ON",$I141)),"ADD-ON","NOT AN ADD-ON")</f>
        <v>NOT AN ADD-ON</v>
      </c>
      <c r="V141" s="4" t="str">
        <f t="shared" si="11"/>
        <v>TRANSPORATIONINDUSTRY SOLUTIONLIMITEDNOT AN ADD-ON</v>
      </c>
    </row>
    <row r="142" spans="1:22" ht="29.25" customHeight="1" thickTop="1" thickBot="1">
      <c r="A142" s="10" t="s">
        <v>21</v>
      </c>
      <c r="B142" s="10" t="s">
        <v>22</v>
      </c>
      <c r="C142" s="10" t="s">
        <v>778</v>
      </c>
      <c r="D142" s="10" t="s">
        <v>779</v>
      </c>
      <c r="E142" s="10" t="s">
        <v>780</v>
      </c>
      <c r="F142" s="10" t="s">
        <v>781</v>
      </c>
      <c r="G142" s="11">
        <v>1330</v>
      </c>
      <c r="H142" s="163" t="s">
        <v>862</v>
      </c>
      <c r="I142" s="166" t="s">
        <v>863</v>
      </c>
      <c r="J142" s="163" t="s">
        <v>864</v>
      </c>
      <c r="K142" s="10" t="s">
        <v>30</v>
      </c>
      <c r="L142" s="10">
        <v>5</v>
      </c>
      <c r="M142" s="10">
        <f t="shared" si="10"/>
        <v>1.67</v>
      </c>
      <c r="N142" s="10">
        <v>5</v>
      </c>
      <c r="O142" s="12">
        <v>1.6666666666666667</v>
      </c>
      <c r="P142" s="14">
        <v>3840</v>
      </c>
      <c r="Q142" s="10" t="s">
        <v>48</v>
      </c>
      <c r="R142" s="4" t="s">
        <v>1283</v>
      </c>
      <c r="S142" s="4" t="s">
        <v>1279</v>
      </c>
      <c r="T142" s="4" t="s">
        <v>672</v>
      </c>
      <c r="U142" s="4" t="str">
        <f t="shared" si="12"/>
        <v>NOT AN ADD-ON</v>
      </c>
      <c r="V142" s="4" t="str">
        <f t="shared" si="11"/>
        <v>TRANSPORATIONINDUSTRY SOLUTIONLIMITEDNOT AN ADD-ON</v>
      </c>
    </row>
    <row r="143" spans="1:22" ht="15" thickBot="1">
      <c r="A143" s="10" t="s">
        <v>21</v>
      </c>
      <c r="B143" s="10" t="s">
        <v>22</v>
      </c>
      <c r="C143" s="10" t="s">
        <v>870</v>
      </c>
      <c r="D143" s="10" t="s">
        <v>871</v>
      </c>
      <c r="E143" s="10" t="s">
        <v>872</v>
      </c>
      <c r="F143" s="10" t="s">
        <v>873</v>
      </c>
      <c r="G143" s="11">
        <v>3840</v>
      </c>
      <c r="H143" s="163" t="s">
        <v>944</v>
      </c>
      <c r="I143" s="158" t="s">
        <v>947</v>
      </c>
      <c r="J143" s="163" t="s">
        <v>944</v>
      </c>
      <c r="K143" s="10" t="s">
        <v>30</v>
      </c>
      <c r="L143" s="10">
        <v>5</v>
      </c>
      <c r="M143" s="10">
        <f t="shared" si="10"/>
        <v>1.67</v>
      </c>
      <c r="N143" s="10">
        <v>5</v>
      </c>
      <c r="O143" s="12">
        <v>1.6666666666666667</v>
      </c>
      <c r="P143" s="11">
        <v>3840</v>
      </c>
      <c r="Q143" s="10" t="s">
        <v>33</v>
      </c>
      <c r="R143" s="4" t="s">
        <v>1284</v>
      </c>
      <c r="S143" s="4" t="s">
        <v>1279</v>
      </c>
      <c r="T143" s="4" t="s">
        <v>672</v>
      </c>
      <c r="U143" s="4" t="str">
        <f t="shared" si="12"/>
        <v>NOT AN ADD-ON</v>
      </c>
      <c r="V143" s="4" t="str">
        <f t="shared" si="11"/>
        <v>UTILITIESINDUSTRY SOLUTIONLIMITEDNOT AN ADD-ON</v>
      </c>
    </row>
    <row r="144" spans="1:22" ht="16" thickTop="1" thickBot="1">
      <c r="A144" s="10" t="s">
        <v>21</v>
      </c>
      <c r="B144" s="10" t="s">
        <v>22</v>
      </c>
      <c r="C144" s="10" t="s">
        <v>870</v>
      </c>
      <c r="D144" s="10" t="s">
        <v>871</v>
      </c>
      <c r="E144" s="10" t="s">
        <v>872</v>
      </c>
      <c r="F144" s="10" t="s">
        <v>873</v>
      </c>
      <c r="G144" s="11">
        <v>2310</v>
      </c>
      <c r="H144" s="163" t="s">
        <v>948</v>
      </c>
      <c r="I144" s="158" t="s">
        <v>949</v>
      </c>
      <c r="J144" s="163" t="s">
        <v>944</v>
      </c>
      <c r="K144" s="10" t="s">
        <v>30</v>
      </c>
      <c r="L144" s="10">
        <v>5</v>
      </c>
      <c r="M144" s="10">
        <f t="shared" si="10"/>
        <v>1.67</v>
      </c>
      <c r="N144" s="10">
        <v>5</v>
      </c>
      <c r="O144" s="12">
        <v>1.6666666666666667</v>
      </c>
      <c r="P144" s="14">
        <v>3840</v>
      </c>
      <c r="Q144" s="10" t="s">
        <v>36</v>
      </c>
      <c r="R144" s="4" t="s">
        <v>1284</v>
      </c>
      <c r="S144" s="4" t="s">
        <v>1279</v>
      </c>
      <c r="T144" s="4" t="s">
        <v>672</v>
      </c>
      <c r="U144" s="4" t="str">
        <f t="shared" si="12"/>
        <v>NOT AN ADD-ON</v>
      </c>
      <c r="V144" s="4" t="str">
        <f t="shared" si="11"/>
        <v>UTILITIESINDUSTRY SOLUTIONLIMITEDNOT AN ADD-ON</v>
      </c>
    </row>
    <row r="145" spans="1:22" ht="16" thickTop="1" thickBot="1">
      <c r="A145" s="10" t="s">
        <v>21</v>
      </c>
      <c r="B145" s="10" t="s">
        <v>22</v>
      </c>
      <c r="C145" s="10" t="s">
        <v>870</v>
      </c>
      <c r="D145" s="10" t="s">
        <v>871</v>
      </c>
      <c r="E145" s="10" t="s">
        <v>872</v>
      </c>
      <c r="F145" s="10" t="s">
        <v>873</v>
      </c>
      <c r="G145" s="11">
        <v>1330</v>
      </c>
      <c r="H145" s="163" t="s">
        <v>942</v>
      </c>
      <c r="I145" s="166" t="s">
        <v>943</v>
      </c>
      <c r="J145" s="163" t="s">
        <v>944</v>
      </c>
      <c r="K145" s="10" t="s">
        <v>30</v>
      </c>
      <c r="L145" s="10">
        <v>5</v>
      </c>
      <c r="M145" s="10">
        <f t="shared" si="10"/>
        <v>1.67</v>
      </c>
      <c r="N145" s="10">
        <v>5</v>
      </c>
      <c r="O145" s="12">
        <v>1.6666666666666667</v>
      </c>
      <c r="P145" s="14">
        <v>3840</v>
      </c>
      <c r="Q145" s="10" t="s">
        <v>48</v>
      </c>
      <c r="R145" s="4" t="s">
        <v>1284</v>
      </c>
      <c r="S145" s="4" t="s">
        <v>1279</v>
      </c>
      <c r="T145" s="4" t="s">
        <v>672</v>
      </c>
      <c r="U145" s="4" t="str">
        <f t="shared" si="12"/>
        <v>NOT AN ADD-ON</v>
      </c>
      <c r="V145" s="4" t="str">
        <f t="shared" si="11"/>
        <v>UTILITIESINDUSTRY SOLUTIONLIMITEDNOT AN ADD-ON</v>
      </c>
    </row>
    <row r="146" spans="1:22" ht="16" thickTop="1" thickBot="1">
      <c r="A146" s="10" t="s">
        <v>21</v>
      </c>
      <c r="B146" s="10" t="s">
        <v>22</v>
      </c>
      <c r="C146" s="10" t="s">
        <v>870</v>
      </c>
      <c r="D146" s="10" t="s">
        <v>871</v>
      </c>
      <c r="E146" s="10" t="s">
        <v>872</v>
      </c>
      <c r="F146" s="10" t="s">
        <v>873</v>
      </c>
      <c r="G146" s="11">
        <v>3840</v>
      </c>
      <c r="H146" s="163" t="s">
        <v>952</v>
      </c>
      <c r="I146" s="158" t="s">
        <v>955</v>
      </c>
      <c r="J146" s="163" t="s">
        <v>952</v>
      </c>
      <c r="K146" s="10" t="s">
        <v>30</v>
      </c>
      <c r="L146" s="10">
        <v>5</v>
      </c>
      <c r="M146" s="10">
        <f t="shared" si="10"/>
        <v>1.67</v>
      </c>
      <c r="N146" s="10">
        <v>5</v>
      </c>
      <c r="O146" s="12">
        <v>1.6666666666666667</v>
      </c>
      <c r="P146" s="14">
        <v>3840</v>
      </c>
      <c r="Q146" s="10" t="s">
        <v>33</v>
      </c>
      <c r="R146" s="4" t="s">
        <v>1284</v>
      </c>
      <c r="S146" s="4" t="s">
        <v>1279</v>
      </c>
      <c r="T146" s="4" t="s">
        <v>672</v>
      </c>
      <c r="U146" s="4" t="str">
        <f t="shared" si="12"/>
        <v>NOT AN ADD-ON</v>
      </c>
      <c r="V146" s="4" t="str">
        <f t="shared" si="11"/>
        <v>UTILITIESINDUSTRY SOLUTIONLIMITEDNOT AN ADD-ON</v>
      </c>
    </row>
    <row r="147" spans="1:22" ht="15" thickBot="1">
      <c r="A147" s="10" t="s">
        <v>21</v>
      </c>
      <c r="B147" s="10" t="s">
        <v>22</v>
      </c>
      <c r="C147" s="10" t="s">
        <v>870</v>
      </c>
      <c r="D147" s="10" t="s">
        <v>871</v>
      </c>
      <c r="E147" s="10" t="s">
        <v>872</v>
      </c>
      <c r="F147" s="10" t="s">
        <v>873</v>
      </c>
      <c r="G147" s="11">
        <v>2310</v>
      </c>
      <c r="H147" s="163" t="s">
        <v>956</v>
      </c>
      <c r="I147" s="158" t="s">
        <v>957</v>
      </c>
      <c r="J147" s="163" t="s">
        <v>952</v>
      </c>
      <c r="K147" s="10" t="s">
        <v>30</v>
      </c>
      <c r="L147" s="10">
        <v>5</v>
      </c>
      <c r="M147" s="10">
        <f t="shared" si="10"/>
        <v>1.67</v>
      </c>
      <c r="N147" s="10">
        <v>5</v>
      </c>
      <c r="O147" s="12">
        <v>1.6666666666666667</v>
      </c>
      <c r="P147" s="11">
        <v>3840</v>
      </c>
      <c r="Q147" s="10" t="s">
        <v>36</v>
      </c>
      <c r="R147" s="4" t="s">
        <v>1284</v>
      </c>
      <c r="S147" s="4" t="s">
        <v>1279</v>
      </c>
      <c r="T147" s="4" t="s">
        <v>672</v>
      </c>
      <c r="U147" s="4" t="str">
        <f t="shared" si="12"/>
        <v>NOT AN ADD-ON</v>
      </c>
      <c r="V147" s="4" t="str">
        <f t="shared" si="11"/>
        <v>UTILITIESINDUSTRY SOLUTIONLIMITEDNOT AN ADD-ON</v>
      </c>
    </row>
    <row r="148" spans="1:22" ht="27" thickBot="1">
      <c r="A148" s="10" t="s">
        <v>21</v>
      </c>
      <c r="B148" s="10" t="s">
        <v>22</v>
      </c>
      <c r="C148" s="10" t="s">
        <v>870</v>
      </c>
      <c r="D148" s="10" t="s">
        <v>871</v>
      </c>
      <c r="E148" s="10" t="s">
        <v>872</v>
      </c>
      <c r="F148" s="10" t="s">
        <v>873</v>
      </c>
      <c r="G148" s="11">
        <v>1330</v>
      </c>
      <c r="H148" s="163" t="s">
        <v>950</v>
      </c>
      <c r="I148" s="166" t="s">
        <v>951</v>
      </c>
      <c r="J148" s="163" t="s">
        <v>952</v>
      </c>
      <c r="K148" s="10" t="s">
        <v>30</v>
      </c>
      <c r="L148" s="10">
        <v>5</v>
      </c>
      <c r="M148" s="10">
        <f t="shared" si="10"/>
        <v>1.67</v>
      </c>
      <c r="N148" s="10">
        <v>5</v>
      </c>
      <c r="O148" s="12">
        <v>1.6666666666666667</v>
      </c>
      <c r="P148" s="11">
        <v>3840</v>
      </c>
      <c r="Q148" s="10" t="s">
        <v>48</v>
      </c>
      <c r="R148" s="4" t="s">
        <v>1284</v>
      </c>
      <c r="S148" s="4" t="s">
        <v>1279</v>
      </c>
      <c r="T148" s="4" t="s">
        <v>672</v>
      </c>
      <c r="U148" s="4" t="str">
        <f t="shared" si="12"/>
        <v>NOT AN ADD-ON</v>
      </c>
      <c r="V148" s="4" t="str">
        <f t="shared" si="11"/>
        <v>UTILITIESINDUSTRY SOLUTIONLIMITEDNOT AN ADD-ON</v>
      </c>
    </row>
    <row r="149" spans="1:22" ht="29.25" customHeight="1" thickBot="1">
      <c r="A149" s="10" t="s">
        <v>21</v>
      </c>
      <c r="B149" s="10" t="s">
        <v>22</v>
      </c>
      <c r="C149" s="10" t="s">
        <v>500</v>
      </c>
      <c r="D149" s="10" t="s">
        <v>501</v>
      </c>
      <c r="E149" s="10" t="s">
        <v>502</v>
      </c>
      <c r="F149" s="10" t="s">
        <v>503</v>
      </c>
      <c r="G149" s="11">
        <v>3480</v>
      </c>
      <c r="H149" s="163" t="s">
        <v>579</v>
      </c>
      <c r="I149" s="158" t="s">
        <v>582</v>
      </c>
      <c r="J149" s="163" t="s">
        <v>579</v>
      </c>
      <c r="K149" s="10" t="s">
        <v>30</v>
      </c>
      <c r="L149" s="10">
        <v>5</v>
      </c>
      <c r="M149" s="10">
        <f t="shared" si="10"/>
        <v>1.67</v>
      </c>
      <c r="N149" s="10">
        <v>5</v>
      </c>
      <c r="O149" s="12">
        <v>1.6666666666666667</v>
      </c>
      <c r="P149" s="11">
        <v>3480</v>
      </c>
      <c r="Q149" s="10" t="s">
        <v>33</v>
      </c>
      <c r="R149" s="4" t="s">
        <v>1292</v>
      </c>
      <c r="S149" s="4" t="s">
        <v>1292</v>
      </c>
      <c r="T149" s="4" t="s">
        <v>672</v>
      </c>
      <c r="U149" s="4" t="str">
        <f t="shared" si="12"/>
        <v>NOT AN ADD-ON</v>
      </c>
      <c r="V149" s="4" t="str">
        <f t="shared" si="11"/>
        <v>LIFE SCIENCESLIFE SCIENCESLIMITEDNOT AN ADD-ON</v>
      </c>
    </row>
    <row r="150" spans="1:22" ht="15" thickBot="1">
      <c r="A150" s="10" t="s">
        <v>21</v>
      </c>
      <c r="B150" s="10" t="s">
        <v>22</v>
      </c>
      <c r="C150" s="10" t="s">
        <v>500</v>
      </c>
      <c r="D150" s="10" t="s">
        <v>501</v>
      </c>
      <c r="E150" s="10" t="s">
        <v>502</v>
      </c>
      <c r="F150" s="10" t="s">
        <v>503</v>
      </c>
      <c r="G150" s="11">
        <v>2090</v>
      </c>
      <c r="H150" s="163" t="s">
        <v>583</v>
      </c>
      <c r="I150" s="158" t="s">
        <v>584</v>
      </c>
      <c r="J150" s="163" t="s">
        <v>579</v>
      </c>
      <c r="K150" s="10" t="s">
        <v>30</v>
      </c>
      <c r="L150" s="10">
        <v>5</v>
      </c>
      <c r="M150" s="10">
        <f t="shared" si="10"/>
        <v>1.67</v>
      </c>
      <c r="N150" s="10">
        <v>5</v>
      </c>
      <c r="O150" s="12">
        <v>1.6666666666666667</v>
      </c>
      <c r="P150" s="11">
        <v>3480</v>
      </c>
      <c r="Q150" s="10" t="s">
        <v>36</v>
      </c>
      <c r="R150" s="4" t="s">
        <v>1292</v>
      </c>
      <c r="S150" s="4" t="s">
        <v>1292</v>
      </c>
      <c r="T150" s="4" t="s">
        <v>672</v>
      </c>
      <c r="U150" s="4" t="str">
        <f t="shared" si="12"/>
        <v>NOT AN ADD-ON</v>
      </c>
      <c r="V150" s="4" t="str">
        <f t="shared" si="11"/>
        <v>LIFE SCIENCESLIFE SCIENCESLIMITEDNOT AN ADD-ON</v>
      </c>
    </row>
    <row r="151" spans="1:22" ht="15" thickBot="1">
      <c r="A151" s="10" t="s">
        <v>21</v>
      </c>
      <c r="B151" s="10" t="s">
        <v>22</v>
      </c>
      <c r="C151" s="10" t="s">
        <v>500</v>
      </c>
      <c r="D151" s="10" t="s">
        <v>501</v>
      </c>
      <c r="E151" s="10" t="s">
        <v>502</v>
      </c>
      <c r="F151" s="10" t="s">
        <v>503</v>
      </c>
      <c r="G151" s="11">
        <v>953</v>
      </c>
      <c r="H151" s="163" t="s">
        <v>577</v>
      </c>
      <c r="I151" s="166" t="s">
        <v>578</v>
      </c>
      <c r="J151" s="163" t="s">
        <v>579</v>
      </c>
      <c r="K151" s="10" t="s">
        <v>30</v>
      </c>
      <c r="L151" s="10">
        <v>5</v>
      </c>
      <c r="M151" s="10">
        <f t="shared" si="10"/>
        <v>1.67</v>
      </c>
      <c r="N151" s="10">
        <v>5</v>
      </c>
      <c r="O151" s="12">
        <v>1.6666666666666667</v>
      </c>
      <c r="P151" s="11">
        <v>3480</v>
      </c>
      <c r="Q151" s="10" t="s">
        <v>48</v>
      </c>
      <c r="R151" s="4" t="s">
        <v>1292</v>
      </c>
      <c r="S151" s="4" t="s">
        <v>1292</v>
      </c>
      <c r="T151" s="4" t="s">
        <v>672</v>
      </c>
      <c r="U151" s="4" t="str">
        <f t="shared" si="12"/>
        <v>NOT AN ADD-ON</v>
      </c>
      <c r="V151" s="4" t="str">
        <f t="shared" si="11"/>
        <v>LIFE SCIENCESLIFE SCIENCESLIMITEDNOT AN ADD-ON</v>
      </c>
    </row>
    <row r="152" spans="1:22" ht="29.25" customHeight="1" thickBot="1">
      <c r="A152" s="10" t="s">
        <v>21</v>
      </c>
      <c r="B152" s="10" t="s">
        <v>22</v>
      </c>
      <c r="C152" s="10" t="s">
        <v>500</v>
      </c>
      <c r="D152" s="10" t="s">
        <v>501</v>
      </c>
      <c r="E152" s="10" t="s">
        <v>502</v>
      </c>
      <c r="F152" s="10" t="s">
        <v>503</v>
      </c>
      <c r="G152" s="11">
        <v>3480</v>
      </c>
      <c r="H152" s="163" t="s">
        <v>587</v>
      </c>
      <c r="I152" s="158" t="s">
        <v>590</v>
      </c>
      <c r="J152" s="163" t="s">
        <v>587</v>
      </c>
      <c r="K152" s="10" t="s">
        <v>30</v>
      </c>
      <c r="L152" s="10">
        <v>5</v>
      </c>
      <c r="M152" s="10">
        <f t="shared" si="10"/>
        <v>1.67</v>
      </c>
      <c r="N152" s="10">
        <v>5</v>
      </c>
      <c r="O152" s="12">
        <v>1.6666666666666667</v>
      </c>
      <c r="P152" s="11">
        <v>3480</v>
      </c>
      <c r="Q152" s="10" t="s">
        <v>33</v>
      </c>
      <c r="R152" s="4" t="s">
        <v>1292</v>
      </c>
      <c r="S152" s="4" t="s">
        <v>1292</v>
      </c>
      <c r="T152" s="4" t="s">
        <v>672</v>
      </c>
      <c r="U152" s="4" t="str">
        <f t="shared" si="12"/>
        <v>NOT AN ADD-ON</v>
      </c>
      <c r="V152" s="4" t="str">
        <f t="shared" si="11"/>
        <v>LIFE SCIENCESLIFE SCIENCESLIMITEDNOT AN ADD-ON</v>
      </c>
    </row>
    <row r="153" spans="1:22" ht="15" thickBot="1">
      <c r="A153" s="10" t="s">
        <v>21</v>
      </c>
      <c r="B153" s="10" t="s">
        <v>22</v>
      </c>
      <c r="C153" s="10" t="s">
        <v>500</v>
      </c>
      <c r="D153" s="10" t="s">
        <v>501</v>
      </c>
      <c r="E153" s="10" t="s">
        <v>502</v>
      </c>
      <c r="F153" s="10" t="s">
        <v>503</v>
      </c>
      <c r="G153" s="11">
        <v>2090</v>
      </c>
      <c r="H153" s="163" t="s">
        <v>591</v>
      </c>
      <c r="I153" s="158" t="s">
        <v>592</v>
      </c>
      <c r="J153" s="163" t="s">
        <v>587</v>
      </c>
      <c r="K153" s="10" t="s">
        <v>30</v>
      </c>
      <c r="L153" s="10">
        <v>5</v>
      </c>
      <c r="M153" s="10">
        <f t="shared" si="10"/>
        <v>1.67</v>
      </c>
      <c r="N153" s="10">
        <v>5</v>
      </c>
      <c r="O153" s="12">
        <v>1.6666666666666667</v>
      </c>
      <c r="P153" s="11">
        <v>3480</v>
      </c>
      <c r="Q153" s="10" t="s">
        <v>36</v>
      </c>
      <c r="R153" s="4" t="s">
        <v>1292</v>
      </c>
      <c r="S153" s="4" t="s">
        <v>1292</v>
      </c>
      <c r="T153" s="4" t="s">
        <v>672</v>
      </c>
      <c r="U153" s="4" t="str">
        <f t="shared" si="12"/>
        <v>NOT AN ADD-ON</v>
      </c>
      <c r="V153" s="4" t="str">
        <f t="shared" si="11"/>
        <v>LIFE SCIENCESLIFE SCIENCESLIMITEDNOT AN ADD-ON</v>
      </c>
    </row>
    <row r="154" spans="1:22" ht="27" thickBot="1">
      <c r="A154" s="10" t="s">
        <v>21</v>
      </c>
      <c r="B154" s="10" t="s">
        <v>22</v>
      </c>
      <c r="C154" s="10" t="s">
        <v>500</v>
      </c>
      <c r="D154" s="10" t="s">
        <v>501</v>
      </c>
      <c r="E154" s="10" t="s">
        <v>502</v>
      </c>
      <c r="F154" s="10" t="s">
        <v>503</v>
      </c>
      <c r="G154" s="11">
        <v>953</v>
      </c>
      <c r="H154" s="163" t="s">
        <v>585</v>
      </c>
      <c r="I154" s="166" t="s">
        <v>586</v>
      </c>
      <c r="J154" s="163" t="s">
        <v>587</v>
      </c>
      <c r="K154" s="10" t="s">
        <v>30</v>
      </c>
      <c r="L154" s="10">
        <v>5</v>
      </c>
      <c r="M154" s="10">
        <f t="shared" si="10"/>
        <v>1.67</v>
      </c>
      <c r="N154" s="10">
        <v>5</v>
      </c>
      <c r="O154" s="12">
        <v>1.6666666666666667</v>
      </c>
      <c r="P154" s="11">
        <v>3480</v>
      </c>
      <c r="Q154" s="10" t="s">
        <v>48</v>
      </c>
      <c r="R154" s="4" t="s">
        <v>1292</v>
      </c>
      <c r="S154" s="4" t="s">
        <v>1292</v>
      </c>
      <c r="T154" s="4" t="s">
        <v>672</v>
      </c>
      <c r="U154" s="4" t="str">
        <f t="shared" si="12"/>
        <v>NOT AN ADD-ON</v>
      </c>
      <c r="V154" s="4" t="str">
        <f t="shared" si="11"/>
        <v>LIFE SCIENCESLIFE SCIENCESLIMITEDNOT AN ADD-ON</v>
      </c>
    </row>
    <row r="155" spans="1:22" ht="29.25" customHeight="1" thickBot="1">
      <c r="A155" s="10" t="s">
        <v>21</v>
      </c>
      <c r="B155" s="10" t="s">
        <v>22</v>
      </c>
      <c r="C155" s="10" t="s">
        <v>140</v>
      </c>
      <c r="D155" s="10" t="s">
        <v>141</v>
      </c>
      <c r="E155" s="10" t="s">
        <v>142</v>
      </c>
      <c r="F155" s="10" t="s">
        <v>143</v>
      </c>
      <c r="G155" s="11">
        <v>4090</v>
      </c>
      <c r="H155" s="163" t="s">
        <v>144</v>
      </c>
      <c r="I155" s="166" t="s">
        <v>145</v>
      </c>
      <c r="J155" s="170" t="s">
        <v>146</v>
      </c>
      <c r="K155" s="10" t="s">
        <v>30</v>
      </c>
      <c r="L155" s="10">
        <v>10</v>
      </c>
      <c r="M155" s="10">
        <f t="shared" si="10"/>
        <v>3.33</v>
      </c>
      <c r="N155" s="10">
        <v>10</v>
      </c>
      <c r="O155" s="12">
        <v>3.3333333333333335</v>
      </c>
      <c r="P155" s="11">
        <v>6390</v>
      </c>
      <c r="Q155" s="10" t="s">
        <v>48</v>
      </c>
      <c r="R155" s="4" t="s">
        <v>1278</v>
      </c>
      <c r="S155" s="4" t="s">
        <v>1278</v>
      </c>
      <c r="T155" s="4" t="s">
        <v>19</v>
      </c>
      <c r="U155" s="4" t="str">
        <f t="shared" si="12"/>
        <v>NOT AN ADD-ON</v>
      </c>
      <c r="V155" s="4" t="str">
        <f t="shared" si="11"/>
        <v>ASSET MANAGEMENT (CORE)ASSET MANAGEMENT (CORE)AUTHORIZEDNOT AN ADD-ON</v>
      </c>
    </row>
    <row r="156" spans="1:22" ht="29.25" customHeight="1" thickBot="1">
      <c r="A156" s="10" t="s">
        <v>21</v>
      </c>
      <c r="B156" s="10" t="s">
        <v>22</v>
      </c>
      <c r="C156" s="10" t="s">
        <v>140</v>
      </c>
      <c r="D156" s="10" t="s">
        <v>141</v>
      </c>
      <c r="E156" s="10" t="s">
        <v>142</v>
      </c>
      <c r="F156" s="10" t="s">
        <v>143</v>
      </c>
      <c r="G156" s="11">
        <v>4090</v>
      </c>
      <c r="H156" s="163" t="s">
        <v>222</v>
      </c>
      <c r="I156" s="166" t="s">
        <v>223</v>
      </c>
      <c r="J156" s="163" t="s">
        <v>224</v>
      </c>
      <c r="K156" s="10" t="s">
        <v>30</v>
      </c>
      <c r="L156" s="10">
        <v>5</v>
      </c>
      <c r="M156" s="10">
        <f t="shared" si="10"/>
        <v>1.67</v>
      </c>
      <c r="N156" s="10">
        <v>10</v>
      </c>
      <c r="O156" s="12">
        <v>3.3333333333333335</v>
      </c>
      <c r="P156" s="11">
        <v>6390</v>
      </c>
      <c r="Q156" s="10" t="s">
        <v>48</v>
      </c>
      <c r="R156" s="4" t="s">
        <v>1278</v>
      </c>
      <c r="S156" s="4" t="s">
        <v>1278</v>
      </c>
      <c r="T156" s="4" t="s">
        <v>19</v>
      </c>
      <c r="U156" s="4" t="str">
        <f t="shared" si="12"/>
        <v>NOT AN ADD-ON</v>
      </c>
      <c r="V156" s="4" t="str">
        <f t="shared" si="11"/>
        <v>ASSET MANAGEMENT (CORE)ASSET MANAGEMENT (CORE)AUTHORIZEDNOT AN ADD-ON</v>
      </c>
    </row>
    <row r="157" spans="1:22" ht="27" thickBot="1">
      <c r="A157" s="10" t="s">
        <v>21</v>
      </c>
      <c r="B157" s="10" t="s">
        <v>22</v>
      </c>
      <c r="C157" s="10" t="s">
        <v>140</v>
      </c>
      <c r="D157" s="10" t="s">
        <v>141</v>
      </c>
      <c r="E157" s="10" t="s">
        <v>142</v>
      </c>
      <c r="F157" s="10" t="s">
        <v>143</v>
      </c>
      <c r="G157" s="11">
        <v>2400</v>
      </c>
      <c r="H157" s="163" t="s">
        <v>261</v>
      </c>
      <c r="I157" s="166" t="s">
        <v>262</v>
      </c>
      <c r="J157" s="163" t="s">
        <v>263</v>
      </c>
      <c r="K157" s="10" t="s">
        <v>30</v>
      </c>
      <c r="L157" s="10">
        <v>5</v>
      </c>
      <c r="M157" s="10">
        <f t="shared" si="10"/>
        <v>1.67</v>
      </c>
      <c r="N157" s="10">
        <v>5</v>
      </c>
      <c r="O157" s="12">
        <v>1.6666666666666667</v>
      </c>
      <c r="P157" s="11">
        <v>3200</v>
      </c>
      <c r="Q157" s="10" t="s">
        <v>48</v>
      </c>
      <c r="R157" s="4" t="s">
        <v>1278</v>
      </c>
      <c r="S157" s="4" t="s">
        <v>1278</v>
      </c>
      <c r="T157" s="4" t="s">
        <v>672</v>
      </c>
      <c r="U157" s="4" t="str">
        <f t="shared" si="12"/>
        <v>NOT AN ADD-ON</v>
      </c>
      <c r="V157" s="4" t="str">
        <f t="shared" si="11"/>
        <v>ASSET MANAGEMENT (CORE)ASSET MANAGEMENT (CORE)LIMITEDNOT AN ADD-ON</v>
      </c>
    </row>
    <row r="158" spans="1:22" ht="29.25" customHeight="1" thickBot="1">
      <c r="A158" s="10" t="s">
        <v>21</v>
      </c>
      <c r="B158" s="10" t="s">
        <v>22</v>
      </c>
      <c r="C158" s="10" t="s">
        <v>140</v>
      </c>
      <c r="D158" s="10" t="s">
        <v>141</v>
      </c>
      <c r="E158" s="10" t="s">
        <v>142</v>
      </c>
      <c r="F158" s="10" t="s">
        <v>143</v>
      </c>
      <c r="G158" s="11">
        <v>2400</v>
      </c>
      <c r="H158" s="163" t="s">
        <v>269</v>
      </c>
      <c r="I158" s="166" t="s">
        <v>270</v>
      </c>
      <c r="J158" s="163" t="s">
        <v>271</v>
      </c>
      <c r="K158" s="10" t="s">
        <v>30</v>
      </c>
      <c r="L158" s="10">
        <v>5</v>
      </c>
      <c r="M158" s="10">
        <f t="shared" si="10"/>
        <v>1.67</v>
      </c>
      <c r="N158" s="10">
        <v>5</v>
      </c>
      <c r="O158" s="12">
        <v>1.6666666666666667</v>
      </c>
      <c r="P158" s="11">
        <v>3200</v>
      </c>
      <c r="Q158" s="10" t="s">
        <v>48</v>
      </c>
      <c r="R158" s="4" t="s">
        <v>1278</v>
      </c>
      <c r="S158" s="4" t="s">
        <v>1278</v>
      </c>
      <c r="T158" s="4" t="s">
        <v>672</v>
      </c>
      <c r="U158" s="4" t="str">
        <f t="shared" si="12"/>
        <v>NOT AN ADD-ON</v>
      </c>
      <c r="V158" s="4" t="str">
        <f t="shared" si="11"/>
        <v>ASSET MANAGEMENT (CORE)ASSET MANAGEMENT (CORE)LIMITEDNOT AN ADD-ON</v>
      </c>
    </row>
    <row r="159" spans="1:22" ht="15" thickBot="1">
      <c r="A159" s="10" t="s">
        <v>21</v>
      </c>
      <c r="B159" s="10" t="s">
        <v>22</v>
      </c>
      <c r="C159" s="10" t="s">
        <v>593</v>
      </c>
      <c r="D159" s="10" t="s">
        <v>594</v>
      </c>
      <c r="E159" s="10" t="s">
        <v>595</v>
      </c>
      <c r="F159" s="10" t="s">
        <v>596</v>
      </c>
      <c r="G159" s="11">
        <v>4900</v>
      </c>
      <c r="H159" s="163" t="s">
        <v>624</v>
      </c>
      <c r="I159" s="166" t="s">
        <v>625</v>
      </c>
      <c r="J159" s="163" t="s">
        <v>621</v>
      </c>
      <c r="K159" s="10" t="s">
        <v>30</v>
      </c>
      <c r="L159" s="10">
        <v>15</v>
      </c>
      <c r="M159" s="10">
        <f t="shared" si="10"/>
        <v>5</v>
      </c>
      <c r="N159" s="10">
        <v>15</v>
      </c>
      <c r="O159" s="12">
        <v>5</v>
      </c>
      <c r="P159" s="11">
        <v>7660</v>
      </c>
      <c r="Q159" s="10" t="s">
        <v>48</v>
      </c>
      <c r="R159" s="4" t="s">
        <v>1281</v>
      </c>
      <c r="S159" s="4" t="s">
        <v>1279</v>
      </c>
      <c r="T159" s="4" t="s">
        <v>19</v>
      </c>
      <c r="U159" s="4" t="str">
        <f t="shared" si="12"/>
        <v>NOT AN ADD-ON</v>
      </c>
      <c r="V159" s="4" t="str">
        <f t="shared" si="11"/>
        <v>NUCLEAR POWERINDUSTRY SOLUTIONAUTHORIZEDNOT AN ADD-ON</v>
      </c>
    </row>
    <row r="160" spans="1:22" ht="29.25" customHeight="1" thickBot="1">
      <c r="A160" s="10" t="s">
        <v>21</v>
      </c>
      <c r="B160" s="10" t="s">
        <v>22</v>
      </c>
      <c r="C160" s="10" t="s">
        <v>593</v>
      </c>
      <c r="D160" s="10" t="s">
        <v>594</v>
      </c>
      <c r="E160" s="10" t="s">
        <v>595</v>
      </c>
      <c r="F160" s="10" t="s">
        <v>596</v>
      </c>
      <c r="G160" s="11">
        <v>4900</v>
      </c>
      <c r="H160" s="163" t="s">
        <v>662</v>
      </c>
      <c r="I160" s="166" t="s">
        <v>663</v>
      </c>
      <c r="J160" s="163" t="s">
        <v>659</v>
      </c>
      <c r="K160" s="10" t="s">
        <v>30</v>
      </c>
      <c r="L160" s="10">
        <v>15</v>
      </c>
      <c r="M160" s="10">
        <f t="shared" si="10"/>
        <v>5</v>
      </c>
      <c r="N160" s="10">
        <v>15</v>
      </c>
      <c r="O160" s="12">
        <v>5</v>
      </c>
      <c r="P160" s="11">
        <v>7660</v>
      </c>
      <c r="Q160" s="10" t="s">
        <v>48</v>
      </c>
      <c r="R160" s="4" t="s">
        <v>1281</v>
      </c>
      <c r="S160" s="4" t="s">
        <v>1279</v>
      </c>
      <c r="T160" s="4" t="s">
        <v>19</v>
      </c>
      <c r="U160" s="4" t="str">
        <f t="shared" si="12"/>
        <v>NOT AN ADD-ON</v>
      </c>
      <c r="V160" s="4" t="str">
        <f t="shared" si="11"/>
        <v>NUCLEAR POWERINDUSTRY SOLUTIONAUTHORIZEDNOT AN ADD-ON</v>
      </c>
    </row>
    <row r="161" spans="1:22" ht="15" thickBot="1">
      <c r="A161" s="10" t="s">
        <v>21</v>
      </c>
      <c r="B161" s="10" t="s">
        <v>22</v>
      </c>
      <c r="C161" s="10" t="s">
        <v>686</v>
      </c>
      <c r="D161" s="10" t="s">
        <v>687</v>
      </c>
      <c r="E161" s="10" t="s">
        <v>688</v>
      </c>
      <c r="F161" s="10" t="s">
        <v>689</v>
      </c>
      <c r="G161" s="11">
        <v>4900</v>
      </c>
      <c r="H161" s="163" t="s">
        <v>717</v>
      </c>
      <c r="I161" s="166" t="s">
        <v>718</v>
      </c>
      <c r="J161" s="163" t="s">
        <v>714</v>
      </c>
      <c r="K161" s="10" t="s">
        <v>30</v>
      </c>
      <c r="L161" s="10">
        <v>15</v>
      </c>
      <c r="M161" s="10">
        <f t="shared" si="10"/>
        <v>5</v>
      </c>
      <c r="N161" s="10">
        <v>15</v>
      </c>
      <c r="O161" s="12">
        <v>5</v>
      </c>
      <c r="P161" s="11">
        <v>7660</v>
      </c>
      <c r="Q161" s="10" t="s">
        <v>48</v>
      </c>
      <c r="R161" s="4" t="s">
        <v>1282</v>
      </c>
      <c r="S161" s="4" t="s">
        <v>1279</v>
      </c>
      <c r="T161" s="4" t="s">
        <v>19</v>
      </c>
      <c r="U161" s="4" t="str">
        <f t="shared" si="12"/>
        <v>NOT AN ADD-ON</v>
      </c>
      <c r="V161" s="4" t="str">
        <f t="shared" si="11"/>
        <v>OIL AND GASINDUSTRY SOLUTIONAUTHORIZEDNOT AN ADD-ON</v>
      </c>
    </row>
    <row r="162" spans="1:22" ht="29.25" customHeight="1" thickBot="1">
      <c r="A162" s="10" t="s">
        <v>21</v>
      </c>
      <c r="B162" s="10" t="s">
        <v>22</v>
      </c>
      <c r="C162" s="10" t="s">
        <v>686</v>
      </c>
      <c r="D162" s="10" t="s">
        <v>687</v>
      </c>
      <c r="E162" s="10" t="s">
        <v>688</v>
      </c>
      <c r="F162" s="10" t="s">
        <v>689</v>
      </c>
      <c r="G162" s="11">
        <v>4900</v>
      </c>
      <c r="H162" s="163" t="s">
        <v>754</v>
      </c>
      <c r="I162" s="166" t="s">
        <v>755</v>
      </c>
      <c r="J162" s="163" t="s">
        <v>746</v>
      </c>
      <c r="K162" s="10" t="s">
        <v>30</v>
      </c>
      <c r="L162" s="10">
        <v>15</v>
      </c>
      <c r="M162" s="10">
        <f t="shared" si="10"/>
        <v>5</v>
      </c>
      <c r="N162" s="10">
        <v>15</v>
      </c>
      <c r="O162" s="12">
        <v>5</v>
      </c>
      <c r="P162" s="11">
        <v>7660</v>
      </c>
      <c r="Q162" s="10" t="s">
        <v>48</v>
      </c>
      <c r="R162" s="4" t="s">
        <v>1282</v>
      </c>
      <c r="S162" s="4" t="s">
        <v>1279</v>
      </c>
      <c r="T162" s="4" t="s">
        <v>19</v>
      </c>
      <c r="U162" s="4" t="str">
        <f t="shared" si="12"/>
        <v>NOT AN ADD-ON</v>
      </c>
      <c r="V162" s="4" t="str">
        <f t="shared" si="11"/>
        <v>OIL AND GASINDUSTRY SOLUTIONAUTHORIZEDNOT AN ADD-ON</v>
      </c>
    </row>
    <row r="163" spans="1:22" ht="29.25" customHeight="1" thickBot="1">
      <c r="A163" s="10" t="s">
        <v>21</v>
      </c>
      <c r="B163" s="10" t="s">
        <v>22</v>
      </c>
      <c r="C163" s="10" t="s">
        <v>778</v>
      </c>
      <c r="D163" s="10" t="s">
        <v>779</v>
      </c>
      <c r="E163" s="10" t="s">
        <v>780</v>
      </c>
      <c r="F163" s="10" t="s">
        <v>781</v>
      </c>
      <c r="G163" s="11">
        <v>4900</v>
      </c>
      <c r="H163" s="163" t="s">
        <v>809</v>
      </c>
      <c r="I163" s="166" t="s">
        <v>810</v>
      </c>
      <c r="J163" s="163" t="s">
        <v>806</v>
      </c>
      <c r="K163" s="10" t="s">
        <v>30</v>
      </c>
      <c r="L163" s="10">
        <v>15</v>
      </c>
      <c r="M163" s="10">
        <f t="shared" ref="M163:M194" si="13">ROUND(IF(K163="Authorized User",L163/3,L163),2)</f>
        <v>5</v>
      </c>
      <c r="N163" s="10">
        <v>15</v>
      </c>
      <c r="O163" s="12">
        <v>5</v>
      </c>
      <c r="P163" s="11">
        <v>7660</v>
      </c>
      <c r="Q163" s="10" t="s">
        <v>48</v>
      </c>
      <c r="R163" s="4" t="s">
        <v>1283</v>
      </c>
      <c r="S163" s="4" t="s">
        <v>1279</v>
      </c>
      <c r="T163" s="4" t="s">
        <v>19</v>
      </c>
      <c r="U163" s="4" t="str">
        <f t="shared" si="12"/>
        <v>NOT AN ADD-ON</v>
      </c>
      <c r="V163" s="4" t="str">
        <f t="shared" si="11"/>
        <v>TRANSPORATIONINDUSTRY SOLUTIONAUTHORIZEDNOT AN ADD-ON</v>
      </c>
    </row>
    <row r="164" spans="1:22" ht="29.25" customHeight="1" thickBot="1">
      <c r="A164" s="10" t="s">
        <v>21</v>
      </c>
      <c r="B164" s="10" t="s">
        <v>22</v>
      </c>
      <c r="C164" s="10" t="s">
        <v>778</v>
      </c>
      <c r="D164" s="10" t="s">
        <v>779</v>
      </c>
      <c r="E164" s="10" t="s">
        <v>780</v>
      </c>
      <c r="F164" s="10" t="s">
        <v>781</v>
      </c>
      <c r="G164" s="11">
        <v>4900</v>
      </c>
      <c r="H164" s="163" t="s">
        <v>847</v>
      </c>
      <c r="I164" s="166" t="s">
        <v>848</v>
      </c>
      <c r="J164" s="163" t="s">
        <v>844</v>
      </c>
      <c r="K164" s="10" t="s">
        <v>30</v>
      </c>
      <c r="L164" s="10">
        <v>15</v>
      </c>
      <c r="M164" s="10">
        <f t="shared" si="13"/>
        <v>5</v>
      </c>
      <c r="N164" s="10">
        <v>15</v>
      </c>
      <c r="O164" s="12">
        <v>5</v>
      </c>
      <c r="P164" s="11">
        <v>7660</v>
      </c>
      <c r="Q164" s="10" t="s">
        <v>48</v>
      </c>
      <c r="R164" s="4" t="s">
        <v>1283</v>
      </c>
      <c r="S164" s="4" t="s">
        <v>1279</v>
      </c>
      <c r="T164" s="4" t="s">
        <v>19</v>
      </c>
      <c r="U164" s="4" t="str">
        <f t="shared" si="12"/>
        <v>NOT AN ADD-ON</v>
      </c>
      <c r="V164" s="4" t="str">
        <f t="shared" si="11"/>
        <v>TRANSPORATIONINDUSTRY SOLUTIONAUTHORIZEDNOT AN ADD-ON</v>
      </c>
    </row>
    <row r="165" spans="1:22" ht="15" thickBot="1">
      <c r="A165" s="10" t="s">
        <v>21</v>
      </c>
      <c r="B165" s="10" t="s">
        <v>22</v>
      </c>
      <c r="C165" s="10" t="s">
        <v>870</v>
      </c>
      <c r="D165" s="10" t="s">
        <v>871</v>
      </c>
      <c r="E165" s="10" t="s">
        <v>872</v>
      </c>
      <c r="F165" s="10" t="s">
        <v>873</v>
      </c>
      <c r="G165" s="11">
        <v>4900</v>
      </c>
      <c r="H165" s="163" t="s">
        <v>901</v>
      </c>
      <c r="I165" s="166" t="s">
        <v>902</v>
      </c>
      <c r="J165" s="163" t="s">
        <v>898</v>
      </c>
      <c r="K165" s="10" t="s">
        <v>30</v>
      </c>
      <c r="L165" s="10">
        <v>15</v>
      </c>
      <c r="M165" s="10">
        <f t="shared" si="13"/>
        <v>5</v>
      </c>
      <c r="N165" s="10">
        <v>15</v>
      </c>
      <c r="O165" s="12">
        <v>5</v>
      </c>
      <c r="P165" s="11">
        <v>7660</v>
      </c>
      <c r="Q165" s="10" t="s">
        <v>48</v>
      </c>
      <c r="R165" s="4" t="s">
        <v>1284</v>
      </c>
      <c r="S165" s="4" t="s">
        <v>1279</v>
      </c>
      <c r="T165" s="4" t="s">
        <v>19</v>
      </c>
      <c r="U165" s="4" t="str">
        <f t="shared" si="12"/>
        <v>NOT AN ADD-ON</v>
      </c>
      <c r="V165" s="4" t="str">
        <f t="shared" si="11"/>
        <v>UTILITIESINDUSTRY SOLUTIONAUTHORIZEDNOT AN ADD-ON</v>
      </c>
    </row>
    <row r="166" spans="1:22" ht="29.25" customHeight="1" thickBot="1">
      <c r="A166" s="10" t="s">
        <v>21</v>
      </c>
      <c r="B166" s="10" t="s">
        <v>22</v>
      </c>
      <c r="C166" s="10" t="s">
        <v>870</v>
      </c>
      <c r="D166" s="10" t="s">
        <v>871</v>
      </c>
      <c r="E166" s="10" t="s">
        <v>872</v>
      </c>
      <c r="F166" s="10" t="s">
        <v>873</v>
      </c>
      <c r="G166" s="11">
        <v>4900</v>
      </c>
      <c r="H166" s="163" t="s">
        <v>935</v>
      </c>
      <c r="I166" s="166" t="s">
        <v>936</v>
      </c>
      <c r="J166" s="163" t="s">
        <v>932</v>
      </c>
      <c r="K166" s="10" t="s">
        <v>30</v>
      </c>
      <c r="L166" s="10">
        <v>15</v>
      </c>
      <c r="M166" s="10">
        <f t="shared" si="13"/>
        <v>5</v>
      </c>
      <c r="N166" s="10">
        <v>15</v>
      </c>
      <c r="O166" s="12">
        <v>5</v>
      </c>
      <c r="P166" s="11">
        <v>7660</v>
      </c>
      <c r="Q166" s="10" t="s">
        <v>48</v>
      </c>
      <c r="R166" s="4" t="s">
        <v>1284</v>
      </c>
      <c r="S166" s="4" t="s">
        <v>1279</v>
      </c>
      <c r="T166" s="4" t="s">
        <v>19</v>
      </c>
      <c r="U166" s="4" t="str">
        <f t="shared" si="12"/>
        <v>NOT AN ADD-ON</v>
      </c>
      <c r="V166" s="4" t="str">
        <f t="shared" si="11"/>
        <v>UTILITIESINDUSTRY SOLUTIONAUTHORIZEDNOT AN ADD-ON</v>
      </c>
    </row>
    <row r="167" spans="1:22" ht="15" thickBot="1">
      <c r="A167" s="10" t="s">
        <v>21</v>
      </c>
      <c r="B167" s="10" t="s">
        <v>22</v>
      </c>
      <c r="C167" s="10" t="s">
        <v>500</v>
      </c>
      <c r="D167" s="10" t="s">
        <v>501</v>
      </c>
      <c r="E167" s="10" t="s">
        <v>502</v>
      </c>
      <c r="F167" s="10" t="s">
        <v>503</v>
      </c>
      <c r="G167" s="11">
        <v>4470</v>
      </c>
      <c r="H167" s="163" t="s">
        <v>532</v>
      </c>
      <c r="I167" s="166" t="s">
        <v>533</v>
      </c>
      <c r="J167" s="163" t="s">
        <v>529</v>
      </c>
      <c r="K167" s="10" t="s">
        <v>30</v>
      </c>
      <c r="L167" s="10">
        <v>10</v>
      </c>
      <c r="M167" s="10">
        <f t="shared" si="13"/>
        <v>3.33</v>
      </c>
      <c r="N167" s="15">
        <v>5</v>
      </c>
      <c r="O167" s="16">
        <v>1.67</v>
      </c>
      <c r="P167" s="11">
        <v>6980</v>
      </c>
      <c r="Q167" s="10" t="s">
        <v>48</v>
      </c>
      <c r="R167" s="4" t="s">
        <v>1292</v>
      </c>
      <c r="S167" s="4" t="s">
        <v>1292</v>
      </c>
      <c r="T167" s="4" t="s">
        <v>19</v>
      </c>
      <c r="U167" s="4" t="str">
        <f t="shared" si="12"/>
        <v>NOT AN ADD-ON</v>
      </c>
      <c r="V167" s="4" t="str">
        <f t="shared" si="11"/>
        <v>LIFE SCIENCESLIFE SCIENCESAUTHORIZEDNOT AN ADD-ON</v>
      </c>
    </row>
    <row r="168" spans="1:22" ht="27" thickBot="1">
      <c r="A168" s="10" t="s">
        <v>21</v>
      </c>
      <c r="B168" s="10" t="s">
        <v>22</v>
      </c>
      <c r="C168" s="10" t="s">
        <v>500</v>
      </c>
      <c r="D168" s="10" t="s">
        <v>501</v>
      </c>
      <c r="E168" s="10" t="s">
        <v>502</v>
      </c>
      <c r="F168" s="10" t="s">
        <v>503</v>
      </c>
      <c r="G168" s="11">
        <v>4470</v>
      </c>
      <c r="H168" s="163" t="s">
        <v>569</v>
      </c>
      <c r="I168" s="166" t="s">
        <v>570</v>
      </c>
      <c r="J168" s="163" t="s">
        <v>561</v>
      </c>
      <c r="K168" s="10" t="s">
        <v>30</v>
      </c>
      <c r="L168" s="10">
        <v>10</v>
      </c>
      <c r="M168" s="10">
        <f t="shared" si="13"/>
        <v>3.33</v>
      </c>
      <c r="N168" s="10">
        <v>5</v>
      </c>
      <c r="O168" s="12">
        <v>1.6666666666666667</v>
      </c>
      <c r="P168" s="11">
        <v>712</v>
      </c>
      <c r="Q168" s="10" t="s">
        <v>48</v>
      </c>
      <c r="R168" s="4" t="s">
        <v>1292</v>
      </c>
      <c r="S168" s="4" t="s">
        <v>1292</v>
      </c>
      <c r="T168" s="4" t="s">
        <v>19</v>
      </c>
      <c r="U168" s="4" t="str">
        <f t="shared" si="12"/>
        <v>NOT AN ADD-ON</v>
      </c>
      <c r="V168" s="4" t="str">
        <f t="shared" si="11"/>
        <v>LIFE SCIENCESLIFE SCIENCESAUTHORIZEDNOT AN ADD-ON</v>
      </c>
    </row>
    <row r="169" spans="1:22" ht="29.25" customHeight="1" thickBot="1">
      <c r="A169" s="10" t="s">
        <v>21</v>
      </c>
      <c r="B169" s="10" t="s">
        <v>22</v>
      </c>
      <c r="C169" s="10" t="s">
        <v>23</v>
      </c>
      <c r="D169" s="10" t="s">
        <v>24</v>
      </c>
      <c r="E169" s="10" t="s">
        <v>25</v>
      </c>
      <c r="F169" s="10" t="s">
        <v>26</v>
      </c>
      <c r="G169" s="11">
        <v>2310</v>
      </c>
      <c r="H169" s="163" t="s">
        <v>90</v>
      </c>
      <c r="I169" s="158" t="s">
        <v>91</v>
      </c>
      <c r="J169" s="163" t="s">
        <v>90</v>
      </c>
      <c r="K169" s="10" t="s">
        <v>30</v>
      </c>
      <c r="L169" s="10">
        <v>5</v>
      </c>
      <c r="M169" s="10">
        <f t="shared" si="13"/>
        <v>1.67</v>
      </c>
      <c r="N169" s="10">
        <v>5</v>
      </c>
      <c r="O169" s="12">
        <f t="shared" ref="O169:O178" si="14">N169/3</f>
        <v>1.6666666666666667</v>
      </c>
      <c r="P169" s="11">
        <v>2310</v>
      </c>
      <c r="Q169" s="10" t="s">
        <v>33</v>
      </c>
      <c r="R169" s="4" t="s">
        <v>42</v>
      </c>
      <c r="S169" s="4" t="s">
        <v>42</v>
      </c>
      <c r="T169" s="4" t="s">
        <v>19</v>
      </c>
      <c r="U169" s="4" t="str">
        <f t="shared" si="12"/>
        <v>NOT AN ADD-ON</v>
      </c>
      <c r="V169" s="4" t="str">
        <f t="shared" si="11"/>
        <v>ANYWHEREANYWHEREAUTHORIZEDNOT AN ADD-ON</v>
      </c>
    </row>
    <row r="170" spans="1:22" ht="15" thickBot="1">
      <c r="A170" s="10" t="s">
        <v>21</v>
      </c>
      <c r="B170" s="10" t="s">
        <v>22</v>
      </c>
      <c r="C170" s="10" t="s">
        <v>23</v>
      </c>
      <c r="D170" s="10" t="s">
        <v>24</v>
      </c>
      <c r="E170" s="10" t="s">
        <v>25</v>
      </c>
      <c r="F170" s="10" t="s">
        <v>26</v>
      </c>
      <c r="G170" s="11">
        <v>1390</v>
      </c>
      <c r="H170" s="163" t="s">
        <v>92</v>
      </c>
      <c r="I170" s="158" t="s">
        <v>93</v>
      </c>
      <c r="J170" s="163" t="s">
        <v>90</v>
      </c>
      <c r="K170" s="10" t="s">
        <v>30</v>
      </c>
      <c r="L170" s="10">
        <v>5</v>
      </c>
      <c r="M170" s="10">
        <f t="shared" si="13"/>
        <v>1.67</v>
      </c>
      <c r="N170" s="10">
        <v>5</v>
      </c>
      <c r="O170" s="12">
        <f t="shared" si="14"/>
        <v>1.6666666666666667</v>
      </c>
      <c r="P170" s="11">
        <v>2310</v>
      </c>
      <c r="Q170" s="10" t="s">
        <v>36</v>
      </c>
      <c r="R170" s="4" t="s">
        <v>42</v>
      </c>
      <c r="S170" s="4" t="s">
        <v>42</v>
      </c>
      <c r="T170" s="4" t="s">
        <v>19</v>
      </c>
      <c r="U170" s="4" t="str">
        <f t="shared" si="12"/>
        <v>NOT AN ADD-ON</v>
      </c>
      <c r="V170" s="4" t="str">
        <f t="shared" si="11"/>
        <v>ANYWHEREANYWHEREAUTHORIZEDNOT AN ADD-ON</v>
      </c>
    </row>
    <row r="171" spans="1:22" ht="15" thickBot="1">
      <c r="A171" s="10" t="s">
        <v>21</v>
      </c>
      <c r="B171" s="10" t="s">
        <v>22</v>
      </c>
      <c r="C171" s="10" t="s">
        <v>23</v>
      </c>
      <c r="D171" s="10" t="s">
        <v>24</v>
      </c>
      <c r="E171" s="10" t="s">
        <v>25</v>
      </c>
      <c r="F171" s="10" t="s">
        <v>26</v>
      </c>
      <c r="G171" s="11">
        <v>1570</v>
      </c>
      <c r="H171" s="163" t="s">
        <v>86</v>
      </c>
      <c r="I171" s="166" t="s">
        <v>87</v>
      </c>
      <c r="J171" s="163" t="s">
        <v>64</v>
      </c>
      <c r="K171" s="10" t="s">
        <v>30</v>
      </c>
      <c r="L171" s="10">
        <v>5</v>
      </c>
      <c r="M171" s="10">
        <f t="shared" si="13"/>
        <v>1.67</v>
      </c>
      <c r="N171" s="10">
        <v>5</v>
      </c>
      <c r="O171" s="12">
        <f t="shared" si="14"/>
        <v>1.6666666666666667</v>
      </c>
      <c r="P171" s="11">
        <v>7030</v>
      </c>
      <c r="Q171" s="10" t="s">
        <v>48</v>
      </c>
      <c r="R171" s="4" t="s">
        <v>42</v>
      </c>
      <c r="S171" s="4" t="s">
        <v>42</v>
      </c>
      <c r="T171" s="4" t="s">
        <v>19</v>
      </c>
      <c r="U171" s="4" t="str">
        <f t="shared" si="12"/>
        <v>NOT AN ADD-ON</v>
      </c>
      <c r="V171" s="4" t="str">
        <f t="shared" si="11"/>
        <v>ANYWHEREANYWHEREAUTHORIZEDNOT AN ADD-ON</v>
      </c>
    </row>
    <row r="172" spans="1:22" ht="29.25" customHeight="1" thickBot="1">
      <c r="A172" s="10" t="s">
        <v>21</v>
      </c>
      <c r="B172" s="10" t="s">
        <v>22</v>
      </c>
      <c r="C172" s="10" t="s">
        <v>23</v>
      </c>
      <c r="D172" s="10" t="s">
        <v>24</v>
      </c>
      <c r="E172" s="10" t="s">
        <v>25</v>
      </c>
      <c r="F172" s="10" t="s">
        <v>26</v>
      </c>
      <c r="G172" s="11">
        <v>2310</v>
      </c>
      <c r="H172" s="163" t="s">
        <v>82</v>
      </c>
      <c r="I172" s="158" t="s">
        <v>83</v>
      </c>
      <c r="J172" s="163" t="s">
        <v>82</v>
      </c>
      <c r="K172" s="10" t="s">
        <v>30</v>
      </c>
      <c r="L172" s="10">
        <v>5</v>
      </c>
      <c r="M172" s="10">
        <f t="shared" si="13"/>
        <v>1.67</v>
      </c>
      <c r="N172" s="10">
        <v>5</v>
      </c>
      <c r="O172" s="12">
        <f t="shared" si="14"/>
        <v>1.6666666666666667</v>
      </c>
      <c r="P172" s="11">
        <v>2310</v>
      </c>
      <c r="Q172" s="10" t="s">
        <v>33</v>
      </c>
      <c r="R172" s="4" t="s">
        <v>42</v>
      </c>
      <c r="S172" s="4" t="s">
        <v>42</v>
      </c>
      <c r="T172" s="4" t="s">
        <v>19</v>
      </c>
      <c r="U172" s="4" t="str">
        <f t="shared" si="12"/>
        <v>NOT AN ADD-ON</v>
      </c>
      <c r="V172" s="4" t="str">
        <f t="shared" si="11"/>
        <v>ANYWHEREANYWHEREAUTHORIZEDNOT AN ADD-ON</v>
      </c>
    </row>
    <row r="173" spans="1:22" ht="29.25" customHeight="1" thickBot="1">
      <c r="A173" s="10" t="s">
        <v>21</v>
      </c>
      <c r="B173" s="10" t="s">
        <v>22</v>
      </c>
      <c r="C173" s="10" t="s">
        <v>23</v>
      </c>
      <c r="D173" s="10" t="s">
        <v>24</v>
      </c>
      <c r="E173" s="10" t="s">
        <v>25</v>
      </c>
      <c r="F173" s="10" t="s">
        <v>26</v>
      </c>
      <c r="G173" s="11">
        <v>1390</v>
      </c>
      <c r="H173" s="163" t="s">
        <v>84</v>
      </c>
      <c r="I173" s="158" t="s">
        <v>85</v>
      </c>
      <c r="J173" s="163" t="s">
        <v>82</v>
      </c>
      <c r="K173" s="10" t="s">
        <v>30</v>
      </c>
      <c r="L173" s="10">
        <v>5</v>
      </c>
      <c r="M173" s="10">
        <f t="shared" si="13"/>
        <v>1.67</v>
      </c>
      <c r="N173" s="10">
        <v>5</v>
      </c>
      <c r="O173" s="12">
        <f t="shared" si="14"/>
        <v>1.6666666666666667</v>
      </c>
      <c r="P173" s="11">
        <v>2310</v>
      </c>
      <c r="Q173" s="10" t="s">
        <v>36</v>
      </c>
      <c r="R173" s="4" t="s">
        <v>42</v>
      </c>
      <c r="S173" s="4" t="s">
        <v>42</v>
      </c>
      <c r="T173" s="4" t="s">
        <v>19</v>
      </c>
      <c r="U173" s="4" t="str">
        <f t="shared" ref="U173:U204" si="15">IF(ISNUMBER(SEARCH("ADD-ON",$I173)),"ADD-ON","NOT AN ADD-ON")</f>
        <v>NOT AN ADD-ON</v>
      </c>
      <c r="V173" s="4" t="str">
        <f t="shared" si="11"/>
        <v>ANYWHEREANYWHEREAUTHORIZEDNOT AN ADD-ON</v>
      </c>
    </row>
    <row r="174" spans="1:22" ht="27" thickBot="1">
      <c r="A174" s="10" t="s">
        <v>21</v>
      </c>
      <c r="B174" s="10" t="s">
        <v>22</v>
      </c>
      <c r="C174" s="10" t="s">
        <v>23</v>
      </c>
      <c r="D174" s="10" t="s">
        <v>24</v>
      </c>
      <c r="E174" s="10" t="s">
        <v>25</v>
      </c>
      <c r="F174" s="10" t="s">
        <v>26</v>
      </c>
      <c r="G174" s="11">
        <v>1570</v>
      </c>
      <c r="H174" s="163" t="s">
        <v>78</v>
      </c>
      <c r="I174" s="166" t="s">
        <v>79</v>
      </c>
      <c r="J174" s="163" t="s">
        <v>72</v>
      </c>
      <c r="K174" s="10" t="s">
        <v>30</v>
      </c>
      <c r="L174" s="10">
        <v>5</v>
      </c>
      <c r="M174" s="10">
        <f t="shared" si="13"/>
        <v>1.67</v>
      </c>
      <c r="N174" s="10">
        <v>5</v>
      </c>
      <c r="O174" s="12">
        <f t="shared" si="14"/>
        <v>1.6666666666666667</v>
      </c>
      <c r="P174" s="11">
        <v>7030</v>
      </c>
      <c r="Q174" s="10" t="s">
        <v>48</v>
      </c>
      <c r="R174" s="4" t="s">
        <v>42</v>
      </c>
      <c r="S174" s="4" t="s">
        <v>42</v>
      </c>
      <c r="T174" s="4" t="s">
        <v>19</v>
      </c>
      <c r="U174" s="4" t="str">
        <f t="shared" si="15"/>
        <v>NOT AN ADD-ON</v>
      </c>
      <c r="V174" s="4" t="str">
        <f t="shared" si="11"/>
        <v>ANYWHEREANYWHEREAUTHORIZEDNOT AN ADD-ON</v>
      </c>
    </row>
    <row r="175" spans="1:22" ht="15" thickBot="1">
      <c r="A175" s="10" t="s">
        <v>21</v>
      </c>
      <c r="B175" s="10" t="s">
        <v>22</v>
      </c>
      <c r="C175" s="10" t="s">
        <v>23</v>
      </c>
      <c r="D175" s="10" t="s">
        <v>24</v>
      </c>
      <c r="E175" s="10" t="s">
        <v>25</v>
      </c>
      <c r="F175" s="10" t="s">
        <v>26</v>
      </c>
      <c r="G175" s="11">
        <v>1400</v>
      </c>
      <c r="H175" s="163" t="s">
        <v>29</v>
      </c>
      <c r="I175" s="158" t="s">
        <v>32</v>
      </c>
      <c r="J175" s="163" t="s">
        <v>29</v>
      </c>
      <c r="K175" s="10" t="s">
        <v>30</v>
      </c>
      <c r="L175" s="10">
        <v>0</v>
      </c>
      <c r="M175" s="10">
        <f t="shared" si="13"/>
        <v>0</v>
      </c>
      <c r="N175" s="10">
        <v>5</v>
      </c>
      <c r="O175" s="12">
        <f t="shared" si="14"/>
        <v>1.6666666666666667</v>
      </c>
      <c r="P175" s="11">
        <v>1400</v>
      </c>
      <c r="Q175" s="10" t="s">
        <v>33</v>
      </c>
      <c r="R175" s="4" t="s">
        <v>42</v>
      </c>
      <c r="S175" s="4" t="s">
        <v>42</v>
      </c>
      <c r="T175" s="4" t="s">
        <v>19</v>
      </c>
      <c r="U175" s="4" t="str">
        <f t="shared" si="15"/>
        <v>ADD-ON</v>
      </c>
      <c r="V175" s="4" t="str">
        <f t="shared" si="11"/>
        <v>ANYWHEREANYWHEREAUTHORIZEDADD-ON</v>
      </c>
    </row>
    <row r="176" spans="1:22" ht="15" thickBot="1">
      <c r="A176" s="10" t="s">
        <v>21</v>
      </c>
      <c r="B176" s="10" t="s">
        <v>22</v>
      </c>
      <c r="C176" s="10" t="s">
        <v>23</v>
      </c>
      <c r="D176" s="10" t="s">
        <v>24</v>
      </c>
      <c r="E176" s="10" t="s">
        <v>25</v>
      </c>
      <c r="F176" s="10" t="s">
        <v>26</v>
      </c>
      <c r="G176" s="11">
        <v>839</v>
      </c>
      <c r="H176" s="163" t="s">
        <v>34</v>
      </c>
      <c r="I176" s="158" t="s">
        <v>35</v>
      </c>
      <c r="J176" s="163" t="s">
        <v>29</v>
      </c>
      <c r="K176" s="10" t="s">
        <v>30</v>
      </c>
      <c r="L176" s="10">
        <v>0</v>
      </c>
      <c r="M176" s="10">
        <f t="shared" si="13"/>
        <v>0</v>
      </c>
      <c r="N176" s="10">
        <v>5</v>
      </c>
      <c r="O176" s="12">
        <f t="shared" si="14"/>
        <v>1.6666666666666667</v>
      </c>
      <c r="P176" s="11">
        <v>1400</v>
      </c>
      <c r="Q176" s="10" t="s">
        <v>36</v>
      </c>
      <c r="R176" s="4" t="s">
        <v>42</v>
      </c>
      <c r="S176" s="4" t="s">
        <v>42</v>
      </c>
      <c r="T176" s="4" t="s">
        <v>19</v>
      </c>
      <c r="U176" s="4" t="str">
        <f t="shared" si="15"/>
        <v>ADD-ON</v>
      </c>
      <c r="V176" s="4" t="str">
        <f t="shared" si="11"/>
        <v>ANYWHEREANYWHEREAUTHORIZEDADD-ON</v>
      </c>
    </row>
    <row r="177" spans="1:22" ht="29.25" customHeight="1" thickBot="1">
      <c r="A177" s="10" t="s">
        <v>21</v>
      </c>
      <c r="B177" s="10" t="s">
        <v>22</v>
      </c>
      <c r="C177" s="10" t="s">
        <v>23</v>
      </c>
      <c r="D177" s="10" t="s">
        <v>24</v>
      </c>
      <c r="E177" s="10" t="s">
        <v>25</v>
      </c>
      <c r="F177" s="10" t="s">
        <v>26</v>
      </c>
      <c r="G177" s="11">
        <v>1400</v>
      </c>
      <c r="H177" s="163" t="s">
        <v>58</v>
      </c>
      <c r="I177" s="158" t="s">
        <v>59</v>
      </c>
      <c r="J177" s="163" t="s">
        <v>58</v>
      </c>
      <c r="K177" s="10" t="s">
        <v>30</v>
      </c>
      <c r="L177" s="10">
        <v>0</v>
      </c>
      <c r="M177" s="10">
        <f t="shared" si="13"/>
        <v>0</v>
      </c>
      <c r="N177" s="10">
        <v>5</v>
      </c>
      <c r="O177" s="12">
        <f t="shared" si="14"/>
        <v>1.6666666666666667</v>
      </c>
      <c r="P177" s="11">
        <v>1400</v>
      </c>
      <c r="Q177" s="10" t="s">
        <v>33</v>
      </c>
      <c r="R177" s="4" t="s">
        <v>42</v>
      </c>
      <c r="S177" s="4" t="s">
        <v>42</v>
      </c>
      <c r="T177" s="4" t="s">
        <v>19</v>
      </c>
      <c r="U177" s="4" t="str">
        <f t="shared" si="15"/>
        <v>ADD-ON</v>
      </c>
      <c r="V177" s="4" t="str">
        <f t="shared" si="11"/>
        <v>ANYWHEREANYWHEREAUTHORIZEDADD-ON</v>
      </c>
    </row>
    <row r="178" spans="1:22" ht="29.25" customHeight="1" thickBot="1">
      <c r="A178" s="10" t="s">
        <v>21</v>
      </c>
      <c r="B178" s="10" t="s">
        <v>22</v>
      </c>
      <c r="C178" s="10" t="s">
        <v>23</v>
      </c>
      <c r="D178" s="10" t="s">
        <v>24</v>
      </c>
      <c r="E178" s="10" t="s">
        <v>25</v>
      </c>
      <c r="F178" s="10" t="s">
        <v>26</v>
      </c>
      <c r="G178" s="11">
        <v>839</v>
      </c>
      <c r="H178" s="163" t="s">
        <v>60</v>
      </c>
      <c r="I178" s="158" t="s">
        <v>61</v>
      </c>
      <c r="J178" s="163" t="s">
        <v>58</v>
      </c>
      <c r="K178" s="10" t="s">
        <v>30</v>
      </c>
      <c r="L178" s="10">
        <v>0</v>
      </c>
      <c r="M178" s="10">
        <f t="shared" si="13"/>
        <v>0</v>
      </c>
      <c r="N178" s="10">
        <v>5</v>
      </c>
      <c r="O178" s="12">
        <f t="shared" si="14"/>
        <v>1.6666666666666667</v>
      </c>
      <c r="P178" s="11">
        <v>1400</v>
      </c>
      <c r="Q178" s="10" t="s">
        <v>36</v>
      </c>
      <c r="R178" s="4" t="s">
        <v>42</v>
      </c>
      <c r="S178" s="4" t="s">
        <v>42</v>
      </c>
      <c r="T178" s="4" t="s">
        <v>19</v>
      </c>
      <c r="U178" s="4" t="str">
        <f t="shared" si="15"/>
        <v>ADD-ON</v>
      </c>
      <c r="V178" s="4" t="str">
        <f t="shared" si="11"/>
        <v>ANYWHEREANYWHEREAUTHORIZEDADD-ON</v>
      </c>
    </row>
    <row r="179" spans="1:22" ht="15" thickBot="1">
      <c r="A179" s="10" t="s">
        <v>21</v>
      </c>
      <c r="B179" s="10" t="s">
        <v>22</v>
      </c>
      <c r="C179" s="10" t="s">
        <v>301</v>
      </c>
      <c r="D179" s="10" t="s">
        <v>141</v>
      </c>
      <c r="E179" s="10" t="s">
        <v>142</v>
      </c>
      <c r="F179" s="10" t="s">
        <v>143</v>
      </c>
      <c r="G179" s="11">
        <v>645</v>
      </c>
      <c r="H179" s="163" t="s">
        <v>305</v>
      </c>
      <c r="I179" s="166" t="s">
        <v>306</v>
      </c>
      <c r="J179" s="163" t="s">
        <v>304</v>
      </c>
      <c r="K179" s="10" t="s">
        <v>30</v>
      </c>
      <c r="L179" s="10">
        <v>0</v>
      </c>
      <c r="M179" s="10">
        <f t="shared" si="13"/>
        <v>0</v>
      </c>
      <c r="N179" s="10">
        <v>10</v>
      </c>
      <c r="O179" s="12">
        <v>3.3333333333333335</v>
      </c>
      <c r="P179" s="11">
        <v>2020</v>
      </c>
      <c r="Q179" s="10" t="s">
        <v>48</v>
      </c>
      <c r="R179" s="4" t="s">
        <v>1285</v>
      </c>
      <c r="S179" s="4" t="s">
        <v>507</v>
      </c>
      <c r="T179" s="4" t="s">
        <v>19</v>
      </c>
      <c r="U179" s="4" t="str">
        <f t="shared" si="15"/>
        <v>NOT AN ADD-ON</v>
      </c>
      <c r="V179" s="4" t="str">
        <f t="shared" si="11"/>
        <v>SCHEDULERADD-ONAUTHORIZEDNOT AN ADD-ON</v>
      </c>
    </row>
    <row r="180" spans="1:22" ht="27" thickBot="1">
      <c r="A180" s="10" t="s">
        <v>21</v>
      </c>
      <c r="B180" s="10" t="s">
        <v>22</v>
      </c>
      <c r="C180" s="10" t="s">
        <v>301</v>
      </c>
      <c r="D180" s="10" t="s">
        <v>141</v>
      </c>
      <c r="E180" s="10" t="s">
        <v>142</v>
      </c>
      <c r="F180" s="10" t="s">
        <v>143</v>
      </c>
      <c r="G180" s="11">
        <v>1380</v>
      </c>
      <c r="H180" s="163" t="s">
        <v>302</v>
      </c>
      <c r="I180" s="166" t="s">
        <v>303</v>
      </c>
      <c r="J180" s="163" t="s">
        <v>304</v>
      </c>
      <c r="K180" s="10" t="s">
        <v>30</v>
      </c>
      <c r="L180" s="10">
        <v>0</v>
      </c>
      <c r="M180" s="10">
        <f t="shared" si="13"/>
        <v>0</v>
      </c>
      <c r="N180" s="10">
        <v>10</v>
      </c>
      <c r="O180" s="12">
        <v>3.3333333333333335</v>
      </c>
      <c r="P180" s="11">
        <v>2020</v>
      </c>
      <c r="Q180" s="10" t="s">
        <v>48</v>
      </c>
      <c r="R180" s="4" t="s">
        <v>1285</v>
      </c>
      <c r="S180" s="4" t="s">
        <v>507</v>
      </c>
      <c r="T180" s="4" t="s">
        <v>19</v>
      </c>
      <c r="U180" s="4" t="str">
        <f t="shared" si="15"/>
        <v>NOT AN ADD-ON</v>
      </c>
      <c r="V180" s="4" t="str">
        <f t="shared" si="11"/>
        <v>SCHEDULERADD-ONAUTHORIZEDNOT AN ADD-ON</v>
      </c>
    </row>
    <row r="181" spans="1:22" ht="27" thickBot="1">
      <c r="A181" s="10" t="s">
        <v>21</v>
      </c>
      <c r="B181" s="10" t="s">
        <v>22</v>
      </c>
      <c r="C181" s="10" t="s">
        <v>301</v>
      </c>
      <c r="D181" s="10" t="s">
        <v>141</v>
      </c>
      <c r="E181" s="10" t="s">
        <v>142</v>
      </c>
      <c r="F181" s="10" t="s">
        <v>143</v>
      </c>
      <c r="G181" s="11">
        <v>645</v>
      </c>
      <c r="H181" s="163" t="s">
        <v>331</v>
      </c>
      <c r="I181" s="166" t="s">
        <v>332</v>
      </c>
      <c r="J181" s="163" t="s">
        <v>330</v>
      </c>
      <c r="K181" s="10" t="s">
        <v>30</v>
      </c>
      <c r="L181" s="10">
        <v>0</v>
      </c>
      <c r="M181" s="10">
        <f t="shared" si="13"/>
        <v>0</v>
      </c>
      <c r="N181" s="10">
        <v>10</v>
      </c>
      <c r="O181" s="12">
        <v>3.3333333333333335</v>
      </c>
      <c r="P181" s="11">
        <v>2020</v>
      </c>
      <c r="Q181" s="10" t="s">
        <v>48</v>
      </c>
      <c r="R181" s="4" t="s">
        <v>1285</v>
      </c>
      <c r="S181" s="4" t="s">
        <v>507</v>
      </c>
      <c r="T181" s="4" t="s">
        <v>19</v>
      </c>
      <c r="U181" s="4" t="str">
        <f t="shared" si="15"/>
        <v>NOT AN ADD-ON</v>
      </c>
      <c r="V181" s="4" t="str">
        <f t="shared" si="11"/>
        <v>SCHEDULERADD-ONAUTHORIZEDNOT AN ADD-ON</v>
      </c>
    </row>
    <row r="182" spans="1:22" ht="29.25" customHeight="1" thickBot="1">
      <c r="A182" s="10" t="s">
        <v>21</v>
      </c>
      <c r="B182" s="10" t="s">
        <v>22</v>
      </c>
      <c r="C182" s="10" t="s">
        <v>301</v>
      </c>
      <c r="D182" s="10" t="s">
        <v>141</v>
      </c>
      <c r="E182" s="10" t="s">
        <v>142</v>
      </c>
      <c r="F182" s="10" t="s">
        <v>143</v>
      </c>
      <c r="G182" s="11">
        <v>1380</v>
      </c>
      <c r="H182" s="163" t="s">
        <v>328</v>
      </c>
      <c r="I182" s="166" t="s">
        <v>329</v>
      </c>
      <c r="J182" s="163" t="s">
        <v>330</v>
      </c>
      <c r="K182" s="10" t="s">
        <v>30</v>
      </c>
      <c r="L182" s="10">
        <v>0</v>
      </c>
      <c r="M182" s="10">
        <f t="shared" si="13"/>
        <v>0</v>
      </c>
      <c r="N182" s="10">
        <v>10</v>
      </c>
      <c r="O182" s="12">
        <v>3.3333333333333335</v>
      </c>
      <c r="P182" s="11">
        <v>2020</v>
      </c>
      <c r="Q182" s="10" t="s">
        <v>48</v>
      </c>
      <c r="R182" s="4" t="s">
        <v>1285</v>
      </c>
      <c r="S182" s="4" t="s">
        <v>507</v>
      </c>
      <c r="T182" s="4" t="s">
        <v>19</v>
      </c>
      <c r="U182" s="4" t="str">
        <f t="shared" si="15"/>
        <v>NOT AN ADD-ON</v>
      </c>
      <c r="V182" s="4" t="str">
        <f t="shared" si="11"/>
        <v>SCHEDULERADD-ONAUTHORIZEDNOT AN ADD-ON</v>
      </c>
    </row>
    <row r="183" spans="1:22" ht="15" thickBot="1">
      <c r="A183" s="10" t="s">
        <v>21</v>
      </c>
      <c r="B183" s="10" t="s">
        <v>22</v>
      </c>
      <c r="C183" s="10" t="s">
        <v>448</v>
      </c>
      <c r="D183" s="10" t="s">
        <v>449</v>
      </c>
      <c r="E183" s="10" t="s">
        <v>450</v>
      </c>
      <c r="F183" s="10" t="s">
        <v>451</v>
      </c>
      <c r="G183" s="11">
        <v>11400</v>
      </c>
      <c r="H183" s="163" t="s">
        <v>454</v>
      </c>
      <c r="I183" s="158" t="s">
        <v>455</v>
      </c>
      <c r="J183" s="163" t="s">
        <v>454</v>
      </c>
      <c r="K183" s="10" t="s">
        <v>30</v>
      </c>
      <c r="L183" s="10">
        <v>15</v>
      </c>
      <c r="M183" s="10">
        <f t="shared" si="13"/>
        <v>5</v>
      </c>
      <c r="N183" s="10">
        <v>15</v>
      </c>
      <c r="O183" s="12">
        <v>5</v>
      </c>
      <c r="P183" s="11">
        <v>11400</v>
      </c>
      <c r="Q183" s="10" t="s">
        <v>33</v>
      </c>
      <c r="R183" s="4" t="s">
        <v>1280</v>
      </c>
      <c r="S183" s="4" t="s">
        <v>1279</v>
      </c>
      <c r="T183" s="4" t="s">
        <v>19</v>
      </c>
      <c r="U183" s="4" t="str">
        <f t="shared" si="15"/>
        <v>NOT AN ADD-ON</v>
      </c>
      <c r="V183" s="4" t="str">
        <f t="shared" si="11"/>
        <v>AVIATIONINDUSTRY SOLUTIONAUTHORIZEDNOT AN ADD-ON</v>
      </c>
    </row>
    <row r="184" spans="1:22" ht="29.25" customHeight="1" thickBot="1">
      <c r="A184" s="10" t="s">
        <v>21</v>
      </c>
      <c r="B184" s="10" t="s">
        <v>22</v>
      </c>
      <c r="C184" s="10" t="s">
        <v>448</v>
      </c>
      <c r="D184" s="10" t="s">
        <v>449</v>
      </c>
      <c r="E184" s="10" t="s">
        <v>450</v>
      </c>
      <c r="F184" s="10" t="s">
        <v>451</v>
      </c>
      <c r="G184" s="11">
        <v>6880</v>
      </c>
      <c r="H184" s="163" t="s">
        <v>456</v>
      </c>
      <c r="I184" s="158" t="s">
        <v>457</v>
      </c>
      <c r="J184" s="163" t="s">
        <v>454</v>
      </c>
      <c r="K184" s="10" t="s">
        <v>30</v>
      </c>
      <c r="L184" s="10">
        <v>15</v>
      </c>
      <c r="M184" s="10">
        <f t="shared" si="13"/>
        <v>5</v>
      </c>
      <c r="N184" s="10">
        <v>15</v>
      </c>
      <c r="O184" s="12">
        <v>5</v>
      </c>
      <c r="P184" s="11">
        <v>11400</v>
      </c>
      <c r="Q184" s="10" t="s">
        <v>36</v>
      </c>
      <c r="R184" s="4" t="s">
        <v>1280</v>
      </c>
      <c r="S184" s="4" t="s">
        <v>1279</v>
      </c>
      <c r="T184" s="4" t="s">
        <v>19</v>
      </c>
      <c r="U184" s="4" t="str">
        <f t="shared" si="15"/>
        <v>NOT AN ADD-ON</v>
      </c>
      <c r="V184" s="4" t="str">
        <f t="shared" si="11"/>
        <v>AVIATIONINDUSTRY SOLUTIONAUTHORIZEDNOT AN ADD-ON</v>
      </c>
    </row>
    <row r="185" spans="1:22" ht="15" thickBot="1">
      <c r="A185" s="10" t="s">
        <v>21</v>
      </c>
      <c r="B185" s="10" t="s">
        <v>22</v>
      </c>
      <c r="C185" s="10" t="s">
        <v>448</v>
      </c>
      <c r="D185" s="10" t="s">
        <v>449</v>
      </c>
      <c r="E185" s="10" t="s">
        <v>450</v>
      </c>
      <c r="F185" s="10" t="s">
        <v>451</v>
      </c>
      <c r="G185" s="11">
        <v>31600</v>
      </c>
      <c r="H185" s="163" t="s">
        <v>460</v>
      </c>
      <c r="I185" s="158" t="s">
        <v>461</v>
      </c>
      <c r="J185" s="163" t="s">
        <v>460</v>
      </c>
      <c r="K185" s="10" t="s">
        <v>40</v>
      </c>
      <c r="L185" s="10">
        <v>15</v>
      </c>
      <c r="M185" s="10">
        <f t="shared" si="13"/>
        <v>15</v>
      </c>
      <c r="N185" s="10">
        <v>15</v>
      </c>
      <c r="O185" s="12">
        <v>1</v>
      </c>
      <c r="P185" s="11">
        <v>31600</v>
      </c>
      <c r="Q185" s="10" t="s">
        <v>33</v>
      </c>
      <c r="R185" s="4" t="s">
        <v>1280</v>
      </c>
      <c r="S185" s="4" t="s">
        <v>1279</v>
      </c>
      <c r="T185" s="4" t="s">
        <v>19</v>
      </c>
      <c r="U185" s="4" t="str">
        <f t="shared" si="15"/>
        <v>NOT AN ADD-ON</v>
      </c>
      <c r="V185" s="4" t="str">
        <f t="shared" si="11"/>
        <v>AVIATIONINDUSTRY SOLUTIONAUTHORIZEDNOT AN ADD-ON</v>
      </c>
    </row>
    <row r="186" spans="1:22" ht="15" thickBot="1">
      <c r="A186" s="10" t="s">
        <v>21</v>
      </c>
      <c r="B186" s="10" t="s">
        <v>22</v>
      </c>
      <c r="C186" s="10" t="s">
        <v>448</v>
      </c>
      <c r="D186" s="10" t="s">
        <v>449</v>
      </c>
      <c r="E186" s="10" t="s">
        <v>450</v>
      </c>
      <c r="F186" s="10" t="s">
        <v>451</v>
      </c>
      <c r="G186" s="11">
        <v>18800</v>
      </c>
      <c r="H186" s="163" t="s">
        <v>462</v>
      </c>
      <c r="I186" s="158" t="s">
        <v>463</v>
      </c>
      <c r="J186" s="163" t="s">
        <v>460</v>
      </c>
      <c r="K186" s="10" t="s">
        <v>40</v>
      </c>
      <c r="L186" s="10">
        <v>15</v>
      </c>
      <c r="M186" s="10">
        <f t="shared" si="13"/>
        <v>15</v>
      </c>
      <c r="N186" s="10">
        <v>15</v>
      </c>
      <c r="O186" s="12">
        <v>1</v>
      </c>
      <c r="P186" s="11">
        <v>31600</v>
      </c>
      <c r="Q186" s="10" t="s">
        <v>36</v>
      </c>
      <c r="R186" s="4" t="s">
        <v>1280</v>
      </c>
      <c r="S186" s="4" t="s">
        <v>1279</v>
      </c>
      <c r="T186" s="4" t="s">
        <v>19</v>
      </c>
      <c r="U186" s="4" t="str">
        <f t="shared" si="15"/>
        <v>NOT AN ADD-ON</v>
      </c>
      <c r="V186" s="4" t="str">
        <f t="shared" si="11"/>
        <v>AVIATIONINDUSTRY SOLUTIONAUTHORIZEDNOT AN ADD-ON</v>
      </c>
    </row>
    <row r="187" spans="1:22" ht="29.25" customHeight="1" thickBot="1">
      <c r="A187" s="10" t="s">
        <v>21</v>
      </c>
      <c r="B187" s="10" t="s">
        <v>22</v>
      </c>
      <c r="C187" s="10" t="s">
        <v>448</v>
      </c>
      <c r="D187" s="10" t="s">
        <v>449</v>
      </c>
      <c r="E187" s="10" t="s">
        <v>450</v>
      </c>
      <c r="F187" s="10" t="s">
        <v>451</v>
      </c>
      <c r="G187" s="11">
        <v>3840</v>
      </c>
      <c r="H187" s="163" t="s">
        <v>478</v>
      </c>
      <c r="I187" s="158" t="s">
        <v>479</v>
      </c>
      <c r="J187" s="163" t="s">
        <v>478</v>
      </c>
      <c r="K187" s="10" t="s">
        <v>30</v>
      </c>
      <c r="L187" s="10">
        <v>5</v>
      </c>
      <c r="M187" s="10">
        <f t="shared" si="13"/>
        <v>1.67</v>
      </c>
      <c r="N187" s="10">
        <v>5</v>
      </c>
      <c r="O187" s="12">
        <v>1.6666666666666667</v>
      </c>
      <c r="P187" s="11">
        <v>3840</v>
      </c>
      <c r="Q187" s="10" t="s">
        <v>33</v>
      </c>
      <c r="R187" s="4" t="s">
        <v>1280</v>
      </c>
      <c r="S187" s="4" t="s">
        <v>1279</v>
      </c>
      <c r="T187" s="4" t="s">
        <v>672</v>
      </c>
      <c r="U187" s="4" t="str">
        <f t="shared" si="15"/>
        <v>NOT AN ADD-ON</v>
      </c>
      <c r="V187" s="4" t="str">
        <f t="shared" si="11"/>
        <v>AVIATIONINDUSTRY SOLUTIONLIMITEDNOT AN ADD-ON</v>
      </c>
    </row>
    <row r="188" spans="1:22" ht="29.25" customHeight="1" thickBot="1">
      <c r="A188" s="10" t="s">
        <v>21</v>
      </c>
      <c r="B188" s="10" t="s">
        <v>22</v>
      </c>
      <c r="C188" s="10" t="s">
        <v>448</v>
      </c>
      <c r="D188" s="10" t="s">
        <v>449</v>
      </c>
      <c r="E188" s="10" t="s">
        <v>450</v>
      </c>
      <c r="F188" s="10" t="s">
        <v>451</v>
      </c>
      <c r="G188" s="11">
        <v>2310</v>
      </c>
      <c r="H188" s="163" t="s">
        <v>480</v>
      </c>
      <c r="I188" s="158" t="s">
        <v>481</v>
      </c>
      <c r="J188" s="163" t="s">
        <v>478</v>
      </c>
      <c r="K188" s="10" t="s">
        <v>30</v>
      </c>
      <c r="L188" s="10">
        <v>5</v>
      </c>
      <c r="M188" s="10">
        <f t="shared" si="13"/>
        <v>1.67</v>
      </c>
      <c r="N188" s="10">
        <v>5</v>
      </c>
      <c r="O188" s="12">
        <v>1.6666666666666667</v>
      </c>
      <c r="P188" s="11">
        <v>3840</v>
      </c>
      <c r="Q188" s="10" t="s">
        <v>36</v>
      </c>
      <c r="R188" s="4" t="s">
        <v>1280</v>
      </c>
      <c r="S188" s="4" t="s">
        <v>1279</v>
      </c>
      <c r="T188" s="4" t="s">
        <v>672</v>
      </c>
      <c r="U188" s="4" t="str">
        <f t="shared" si="15"/>
        <v>NOT AN ADD-ON</v>
      </c>
      <c r="V188" s="4" t="str">
        <f t="shared" si="11"/>
        <v>AVIATIONINDUSTRY SOLUTIONLIMITEDNOT AN ADD-ON</v>
      </c>
    </row>
    <row r="189" spans="1:22" ht="29.25" customHeight="1" thickBot="1">
      <c r="A189" s="10" t="s">
        <v>21</v>
      </c>
      <c r="B189" s="10" t="s">
        <v>22</v>
      </c>
      <c r="C189" s="10" t="s">
        <v>448</v>
      </c>
      <c r="D189" s="10" t="s">
        <v>449</v>
      </c>
      <c r="E189" s="10" t="s">
        <v>450</v>
      </c>
      <c r="F189" s="10" t="s">
        <v>451</v>
      </c>
      <c r="G189" s="11">
        <v>10500</v>
      </c>
      <c r="H189" s="163" t="s">
        <v>484</v>
      </c>
      <c r="I189" s="158" t="s">
        <v>485</v>
      </c>
      <c r="J189" s="163" t="s">
        <v>484</v>
      </c>
      <c r="K189" s="10" t="s">
        <v>40</v>
      </c>
      <c r="L189" s="10">
        <v>5</v>
      </c>
      <c r="M189" s="10">
        <f t="shared" si="13"/>
        <v>5</v>
      </c>
      <c r="N189" s="10">
        <v>5</v>
      </c>
      <c r="O189" s="12">
        <v>1</v>
      </c>
      <c r="P189" s="11">
        <v>10500</v>
      </c>
      <c r="Q189" s="10" t="s">
        <v>33</v>
      </c>
      <c r="R189" s="4" t="s">
        <v>1280</v>
      </c>
      <c r="S189" s="4" t="s">
        <v>1279</v>
      </c>
      <c r="T189" s="4" t="s">
        <v>672</v>
      </c>
      <c r="U189" s="4" t="str">
        <f t="shared" si="15"/>
        <v>NOT AN ADD-ON</v>
      </c>
      <c r="V189" s="4" t="str">
        <f t="shared" si="11"/>
        <v>AVIATIONINDUSTRY SOLUTIONLIMITEDNOT AN ADD-ON</v>
      </c>
    </row>
    <row r="190" spans="1:22" ht="15" thickBot="1">
      <c r="A190" s="10" t="s">
        <v>21</v>
      </c>
      <c r="B190" s="10" t="s">
        <v>22</v>
      </c>
      <c r="C190" s="10" t="s">
        <v>448</v>
      </c>
      <c r="D190" s="10" t="s">
        <v>449</v>
      </c>
      <c r="E190" s="10" t="s">
        <v>450</v>
      </c>
      <c r="F190" s="10" t="s">
        <v>451</v>
      </c>
      <c r="G190" s="11">
        <v>6320</v>
      </c>
      <c r="H190" s="163" t="s">
        <v>486</v>
      </c>
      <c r="I190" s="158" t="s">
        <v>487</v>
      </c>
      <c r="J190" s="163" t="s">
        <v>484</v>
      </c>
      <c r="K190" s="10" t="s">
        <v>40</v>
      </c>
      <c r="L190" s="10">
        <v>5</v>
      </c>
      <c r="M190" s="10">
        <f t="shared" si="13"/>
        <v>5</v>
      </c>
      <c r="N190" s="10">
        <v>5</v>
      </c>
      <c r="O190" s="12">
        <v>1</v>
      </c>
      <c r="P190" s="11">
        <v>10500</v>
      </c>
      <c r="Q190" s="10" t="s">
        <v>36</v>
      </c>
      <c r="R190" s="4" t="s">
        <v>1280</v>
      </c>
      <c r="S190" s="4" t="s">
        <v>1279</v>
      </c>
      <c r="T190" s="4" t="s">
        <v>672</v>
      </c>
      <c r="U190" s="4" t="str">
        <f t="shared" si="15"/>
        <v>NOT AN ADD-ON</v>
      </c>
      <c r="V190" s="4" t="str">
        <f t="shared" si="11"/>
        <v>AVIATIONINDUSTRY SOLUTIONLIMITEDNOT AN ADD-ON</v>
      </c>
    </row>
    <row r="191" spans="1:22" ht="15" thickBot="1">
      <c r="A191" s="10" t="s">
        <v>21</v>
      </c>
      <c r="B191" s="10" t="s">
        <v>22</v>
      </c>
      <c r="C191" s="10" t="s">
        <v>448</v>
      </c>
      <c r="D191" s="10" t="s">
        <v>449</v>
      </c>
      <c r="E191" s="10" t="s">
        <v>450</v>
      </c>
      <c r="F191" s="10" t="s">
        <v>451</v>
      </c>
      <c r="G191" s="11">
        <v>31600</v>
      </c>
      <c r="H191" s="163" t="s">
        <v>472</v>
      </c>
      <c r="I191" s="158" t="s">
        <v>473</v>
      </c>
      <c r="J191" s="163" t="s">
        <v>472</v>
      </c>
      <c r="K191" s="10" t="s">
        <v>40</v>
      </c>
      <c r="L191" s="10">
        <v>15</v>
      </c>
      <c r="M191" s="10">
        <f t="shared" si="13"/>
        <v>15</v>
      </c>
      <c r="N191" s="10">
        <v>15</v>
      </c>
      <c r="O191" s="12">
        <v>1</v>
      </c>
      <c r="P191" s="11">
        <v>31600</v>
      </c>
      <c r="Q191" s="10" t="s">
        <v>33</v>
      </c>
      <c r="R191" s="4" t="s">
        <v>1280</v>
      </c>
      <c r="S191" s="4" t="s">
        <v>1279</v>
      </c>
      <c r="T191" s="4" t="s">
        <v>19</v>
      </c>
      <c r="U191" s="4" t="str">
        <f t="shared" si="15"/>
        <v>NOT AN ADD-ON</v>
      </c>
      <c r="V191" s="4" t="str">
        <f t="shared" si="11"/>
        <v>AVIATIONINDUSTRY SOLUTIONAUTHORIZEDNOT AN ADD-ON</v>
      </c>
    </row>
    <row r="192" spans="1:22" ht="29.25" customHeight="1" thickBot="1">
      <c r="A192" s="10" t="s">
        <v>21</v>
      </c>
      <c r="B192" s="10" t="s">
        <v>22</v>
      </c>
      <c r="C192" s="10" t="s">
        <v>448</v>
      </c>
      <c r="D192" s="10" t="s">
        <v>449</v>
      </c>
      <c r="E192" s="10" t="s">
        <v>450</v>
      </c>
      <c r="F192" s="10" t="s">
        <v>451</v>
      </c>
      <c r="G192" s="11">
        <v>18800</v>
      </c>
      <c r="H192" s="163" t="s">
        <v>474</v>
      </c>
      <c r="I192" s="158" t="s">
        <v>475</v>
      </c>
      <c r="J192" s="163" t="s">
        <v>472</v>
      </c>
      <c r="K192" s="10" t="s">
        <v>40</v>
      </c>
      <c r="L192" s="10">
        <v>15</v>
      </c>
      <c r="M192" s="10">
        <f t="shared" si="13"/>
        <v>15</v>
      </c>
      <c r="N192" s="10">
        <v>15</v>
      </c>
      <c r="O192" s="12">
        <v>1</v>
      </c>
      <c r="P192" s="11">
        <v>31600</v>
      </c>
      <c r="Q192" s="10" t="s">
        <v>36</v>
      </c>
      <c r="R192" s="4" t="s">
        <v>1280</v>
      </c>
      <c r="S192" s="4" t="s">
        <v>1279</v>
      </c>
      <c r="T192" s="4" t="s">
        <v>19</v>
      </c>
      <c r="U192" s="4" t="str">
        <f t="shared" si="15"/>
        <v>NOT AN ADD-ON</v>
      </c>
      <c r="V192" s="4" t="str">
        <f t="shared" si="11"/>
        <v>AVIATIONINDUSTRY SOLUTIONAUTHORIZEDNOT AN ADD-ON</v>
      </c>
    </row>
    <row r="193" spans="1:22" ht="15" thickBot="1">
      <c r="A193" s="10" t="s">
        <v>21</v>
      </c>
      <c r="B193" s="10" t="s">
        <v>22</v>
      </c>
      <c r="C193" s="10" t="s">
        <v>140</v>
      </c>
      <c r="D193" s="10" t="s">
        <v>141</v>
      </c>
      <c r="E193" s="10" t="s">
        <v>142</v>
      </c>
      <c r="F193" s="10" t="s">
        <v>143</v>
      </c>
      <c r="G193" s="11">
        <v>3620</v>
      </c>
      <c r="H193" s="163" t="s">
        <v>184</v>
      </c>
      <c r="I193" s="158" t="s">
        <v>185</v>
      </c>
      <c r="J193" s="163" t="s">
        <v>184</v>
      </c>
      <c r="K193" s="10" t="s">
        <v>40</v>
      </c>
      <c r="L193" s="10">
        <v>5</v>
      </c>
      <c r="M193" s="10">
        <f t="shared" si="13"/>
        <v>5</v>
      </c>
      <c r="N193" s="10">
        <v>5</v>
      </c>
      <c r="O193" s="12">
        <v>1</v>
      </c>
      <c r="P193" s="11">
        <v>3620</v>
      </c>
      <c r="Q193" s="10" t="s">
        <v>33</v>
      </c>
      <c r="R193" s="4" t="s">
        <v>1278</v>
      </c>
      <c r="S193" s="4" t="s">
        <v>1278</v>
      </c>
      <c r="T193" s="4" t="s">
        <v>1381</v>
      </c>
      <c r="U193" s="4" t="str">
        <f t="shared" si="15"/>
        <v>NOT AN ADD-ON</v>
      </c>
      <c r="V193" s="4" t="str">
        <f t="shared" si="11"/>
        <v>ASSET MANAGEMENT (CORE)ASSET MANAGEMENT (CORE)EXPRESSNOT AN ADD-ON</v>
      </c>
    </row>
    <row r="194" spans="1:22" ht="15" thickBot="1">
      <c r="A194" s="10" t="s">
        <v>21</v>
      </c>
      <c r="B194" s="10" t="s">
        <v>22</v>
      </c>
      <c r="C194" s="10" t="s">
        <v>140</v>
      </c>
      <c r="D194" s="10" t="s">
        <v>141</v>
      </c>
      <c r="E194" s="10" t="s">
        <v>142</v>
      </c>
      <c r="F194" s="10" t="s">
        <v>143</v>
      </c>
      <c r="G194" s="11">
        <v>2170</v>
      </c>
      <c r="H194" s="163" t="s">
        <v>186</v>
      </c>
      <c r="I194" s="158" t="s">
        <v>187</v>
      </c>
      <c r="J194" s="163" t="s">
        <v>184</v>
      </c>
      <c r="K194" s="10" t="s">
        <v>40</v>
      </c>
      <c r="L194" s="10">
        <v>5</v>
      </c>
      <c r="M194" s="10">
        <f t="shared" si="13"/>
        <v>5</v>
      </c>
      <c r="N194" s="10">
        <v>5</v>
      </c>
      <c r="O194" s="12">
        <v>1</v>
      </c>
      <c r="P194" s="11">
        <v>3620</v>
      </c>
      <c r="Q194" s="10" t="s">
        <v>36</v>
      </c>
      <c r="R194" s="4" t="s">
        <v>1278</v>
      </c>
      <c r="S194" s="4" t="s">
        <v>1278</v>
      </c>
      <c r="T194" s="4" t="s">
        <v>1381</v>
      </c>
      <c r="U194" s="4" t="str">
        <f t="shared" si="15"/>
        <v>NOT AN ADD-ON</v>
      </c>
      <c r="V194" s="4" t="str">
        <f t="shared" si="11"/>
        <v>ASSET MANAGEMENT (CORE)ASSET MANAGEMENT (CORE)EXPRESSNOT AN ADD-ON</v>
      </c>
    </row>
    <row r="195" spans="1:22" ht="29.25" customHeight="1" thickBot="1">
      <c r="A195" s="10" t="s">
        <v>21</v>
      </c>
      <c r="B195" s="10" t="s">
        <v>22</v>
      </c>
      <c r="C195" s="10" t="s">
        <v>448</v>
      </c>
      <c r="D195" s="10" t="s">
        <v>449</v>
      </c>
      <c r="E195" s="10" t="s">
        <v>450</v>
      </c>
      <c r="F195" s="10" t="s">
        <v>451</v>
      </c>
      <c r="G195" s="11">
        <v>11400</v>
      </c>
      <c r="H195" s="163" t="s">
        <v>466</v>
      </c>
      <c r="I195" s="158" t="s">
        <v>467</v>
      </c>
      <c r="J195" s="163" t="s">
        <v>466</v>
      </c>
      <c r="K195" s="10" t="s">
        <v>30</v>
      </c>
      <c r="L195" s="10">
        <v>15</v>
      </c>
      <c r="M195" s="10">
        <f t="shared" ref="M195:M202" si="16">ROUND(IF(K195="Authorized User",L195/3,L195),2)</f>
        <v>5</v>
      </c>
      <c r="N195" s="10">
        <v>15</v>
      </c>
      <c r="O195" s="12">
        <v>5</v>
      </c>
      <c r="P195" s="11">
        <v>11400</v>
      </c>
      <c r="Q195" s="10" t="s">
        <v>33</v>
      </c>
      <c r="R195" s="4" t="s">
        <v>1280</v>
      </c>
      <c r="S195" s="4" t="s">
        <v>1279</v>
      </c>
      <c r="T195" s="4" t="s">
        <v>19</v>
      </c>
      <c r="U195" s="4" t="str">
        <f t="shared" si="15"/>
        <v>NOT AN ADD-ON</v>
      </c>
      <c r="V195" s="4" t="str">
        <f t="shared" ref="V195:V258" si="17">CONCATENATE(R195,S195,T195,U195)</f>
        <v>AVIATIONINDUSTRY SOLUTIONAUTHORIZEDNOT AN ADD-ON</v>
      </c>
    </row>
    <row r="196" spans="1:22" ht="29.25" customHeight="1" thickBot="1">
      <c r="A196" s="10" t="s">
        <v>21</v>
      </c>
      <c r="B196" s="10" t="s">
        <v>22</v>
      </c>
      <c r="C196" s="10" t="s">
        <v>448</v>
      </c>
      <c r="D196" s="10" t="s">
        <v>449</v>
      </c>
      <c r="E196" s="10" t="s">
        <v>450</v>
      </c>
      <c r="F196" s="10" t="s">
        <v>451</v>
      </c>
      <c r="G196" s="11">
        <v>6880</v>
      </c>
      <c r="H196" s="163" t="s">
        <v>468</v>
      </c>
      <c r="I196" s="158" t="s">
        <v>469</v>
      </c>
      <c r="J196" s="163" t="s">
        <v>466</v>
      </c>
      <c r="K196" s="10" t="s">
        <v>30</v>
      </c>
      <c r="L196" s="10">
        <v>15</v>
      </c>
      <c r="M196" s="10">
        <f t="shared" si="16"/>
        <v>5</v>
      </c>
      <c r="N196" s="10">
        <v>15</v>
      </c>
      <c r="O196" s="12">
        <v>5</v>
      </c>
      <c r="P196" s="11">
        <v>11400</v>
      </c>
      <c r="Q196" s="10" t="s">
        <v>36</v>
      </c>
      <c r="R196" s="4" t="s">
        <v>1280</v>
      </c>
      <c r="S196" s="4" t="s">
        <v>1279</v>
      </c>
      <c r="T196" s="4" t="s">
        <v>19</v>
      </c>
      <c r="U196" s="4" t="str">
        <f t="shared" si="15"/>
        <v>NOT AN ADD-ON</v>
      </c>
      <c r="V196" s="4" t="str">
        <f t="shared" si="17"/>
        <v>AVIATIONINDUSTRY SOLUTIONAUTHORIZEDNOT AN ADD-ON</v>
      </c>
    </row>
    <row r="197" spans="1:22" ht="15" thickBot="1">
      <c r="A197" s="10" t="s">
        <v>21</v>
      </c>
      <c r="B197" s="10" t="s">
        <v>22</v>
      </c>
      <c r="C197" s="10" t="s">
        <v>448</v>
      </c>
      <c r="D197" s="10" t="s">
        <v>449</v>
      </c>
      <c r="E197" s="10" t="s">
        <v>450</v>
      </c>
      <c r="F197" s="10" t="s">
        <v>451</v>
      </c>
      <c r="G197" s="11">
        <v>10500</v>
      </c>
      <c r="H197" s="163" t="s">
        <v>496</v>
      </c>
      <c r="I197" s="158" t="s">
        <v>497</v>
      </c>
      <c r="J197" s="163" t="s">
        <v>496</v>
      </c>
      <c r="K197" s="10" t="s">
        <v>40</v>
      </c>
      <c r="L197" s="10">
        <v>5</v>
      </c>
      <c r="M197" s="10">
        <f t="shared" si="16"/>
        <v>5</v>
      </c>
      <c r="N197" s="10">
        <v>5</v>
      </c>
      <c r="O197" s="12">
        <v>1</v>
      </c>
      <c r="P197" s="11">
        <v>10500</v>
      </c>
      <c r="Q197" s="10" t="s">
        <v>33</v>
      </c>
      <c r="R197" s="4" t="s">
        <v>1280</v>
      </c>
      <c r="S197" s="4" t="s">
        <v>1279</v>
      </c>
      <c r="T197" s="4" t="s">
        <v>672</v>
      </c>
      <c r="U197" s="4" t="str">
        <f t="shared" si="15"/>
        <v>NOT AN ADD-ON</v>
      </c>
      <c r="V197" s="4" t="str">
        <f t="shared" si="17"/>
        <v>AVIATIONINDUSTRY SOLUTIONLIMITEDNOT AN ADD-ON</v>
      </c>
    </row>
    <row r="198" spans="1:22" ht="15" thickBot="1">
      <c r="A198" s="10" t="s">
        <v>21</v>
      </c>
      <c r="B198" s="10" t="s">
        <v>22</v>
      </c>
      <c r="C198" s="10" t="s">
        <v>448</v>
      </c>
      <c r="D198" s="10" t="s">
        <v>449</v>
      </c>
      <c r="E198" s="10" t="s">
        <v>450</v>
      </c>
      <c r="F198" s="10" t="s">
        <v>451</v>
      </c>
      <c r="G198" s="11">
        <v>6320</v>
      </c>
      <c r="H198" s="163" t="s">
        <v>498</v>
      </c>
      <c r="I198" s="158" t="s">
        <v>499</v>
      </c>
      <c r="J198" s="163" t="s">
        <v>496</v>
      </c>
      <c r="K198" s="10" t="s">
        <v>40</v>
      </c>
      <c r="L198" s="10">
        <v>5</v>
      </c>
      <c r="M198" s="10">
        <f t="shared" si="16"/>
        <v>5</v>
      </c>
      <c r="N198" s="10">
        <v>5</v>
      </c>
      <c r="O198" s="12">
        <v>1</v>
      </c>
      <c r="P198" s="11">
        <v>10500</v>
      </c>
      <c r="Q198" s="10" t="s">
        <v>36</v>
      </c>
      <c r="R198" s="4" t="s">
        <v>1280</v>
      </c>
      <c r="S198" s="4" t="s">
        <v>1279</v>
      </c>
      <c r="T198" s="4" t="s">
        <v>672</v>
      </c>
      <c r="U198" s="4" t="str">
        <f t="shared" si="15"/>
        <v>NOT AN ADD-ON</v>
      </c>
      <c r="V198" s="4" t="str">
        <f t="shared" si="17"/>
        <v>AVIATIONINDUSTRY SOLUTIONLIMITEDNOT AN ADD-ON</v>
      </c>
    </row>
    <row r="199" spans="1:22" ht="15" thickBot="1">
      <c r="A199" s="10" t="s">
        <v>21</v>
      </c>
      <c r="B199" s="10" t="s">
        <v>22</v>
      </c>
      <c r="C199" s="10" t="s">
        <v>140</v>
      </c>
      <c r="D199" s="10" t="s">
        <v>141</v>
      </c>
      <c r="E199" s="10" t="s">
        <v>142</v>
      </c>
      <c r="F199" s="10" t="s">
        <v>143</v>
      </c>
      <c r="G199" s="11">
        <v>3620</v>
      </c>
      <c r="H199" s="163" t="s">
        <v>190</v>
      </c>
      <c r="I199" s="158" t="s">
        <v>201</v>
      </c>
      <c r="J199" s="163" t="s">
        <v>190</v>
      </c>
      <c r="K199" s="10" t="s">
        <v>40</v>
      </c>
      <c r="L199" s="10">
        <v>5</v>
      </c>
      <c r="M199" s="10">
        <f t="shared" si="16"/>
        <v>5</v>
      </c>
      <c r="N199" s="10">
        <v>5</v>
      </c>
      <c r="O199" s="12">
        <v>1</v>
      </c>
      <c r="P199" s="11">
        <v>3620</v>
      </c>
      <c r="Q199" s="10" t="s">
        <v>33</v>
      </c>
      <c r="R199" s="4" t="s">
        <v>1278</v>
      </c>
      <c r="S199" s="4" t="s">
        <v>1278</v>
      </c>
      <c r="T199" s="4" t="s">
        <v>1381</v>
      </c>
      <c r="U199" s="4" t="str">
        <f t="shared" si="15"/>
        <v>NOT AN ADD-ON</v>
      </c>
      <c r="V199" s="4" t="str">
        <f t="shared" si="17"/>
        <v>ASSET MANAGEMENT (CORE)ASSET MANAGEMENT (CORE)EXPRESSNOT AN ADD-ON</v>
      </c>
    </row>
    <row r="200" spans="1:22" ht="15" thickBot="1">
      <c r="A200" s="10" t="s">
        <v>21</v>
      </c>
      <c r="B200" s="10" t="s">
        <v>22</v>
      </c>
      <c r="C200" s="10" t="s">
        <v>140</v>
      </c>
      <c r="D200" s="10" t="s">
        <v>141</v>
      </c>
      <c r="E200" s="10" t="s">
        <v>142</v>
      </c>
      <c r="F200" s="10" t="s">
        <v>143</v>
      </c>
      <c r="G200" s="11">
        <v>2170</v>
      </c>
      <c r="H200" s="163" t="s">
        <v>202</v>
      </c>
      <c r="I200" s="158" t="s">
        <v>203</v>
      </c>
      <c r="J200" s="163" t="s">
        <v>190</v>
      </c>
      <c r="K200" s="10" t="s">
        <v>40</v>
      </c>
      <c r="L200" s="10">
        <v>5</v>
      </c>
      <c r="M200" s="10">
        <f t="shared" si="16"/>
        <v>5</v>
      </c>
      <c r="N200" s="10">
        <v>5</v>
      </c>
      <c r="O200" s="12">
        <v>1</v>
      </c>
      <c r="P200" s="11">
        <v>3620</v>
      </c>
      <c r="Q200" s="10" t="s">
        <v>36</v>
      </c>
      <c r="R200" s="4" t="s">
        <v>1278</v>
      </c>
      <c r="S200" s="4" t="s">
        <v>1278</v>
      </c>
      <c r="T200" s="4" t="s">
        <v>1381</v>
      </c>
      <c r="U200" s="4" t="str">
        <f t="shared" si="15"/>
        <v>NOT AN ADD-ON</v>
      </c>
      <c r="V200" s="4" t="str">
        <f t="shared" si="17"/>
        <v>ASSET MANAGEMENT (CORE)ASSET MANAGEMENT (CORE)EXPRESSNOT AN ADD-ON</v>
      </c>
    </row>
    <row r="201" spans="1:22" ht="15" thickBot="1">
      <c r="A201" s="10" t="s">
        <v>21</v>
      </c>
      <c r="B201" s="10" t="s">
        <v>22</v>
      </c>
      <c r="C201" s="10" t="s">
        <v>448</v>
      </c>
      <c r="D201" s="10" t="s">
        <v>449</v>
      </c>
      <c r="E201" s="10" t="s">
        <v>450</v>
      </c>
      <c r="F201" s="10" t="s">
        <v>451</v>
      </c>
      <c r="G201" s="11">
        <v>3840</v>
      </c>
      <c r="H201" s="163" t="s">
        <v>490</v>
      </c>
      <c r="I201" s="158" t="s">
        <v>491</v>
      </c>
      <c r="J201" s="163" t="s">
        <v>490</v>
      </c>
      <c r="K201" s="10" t="s">
        <v>30</v>
      </c>
      <c r="L201" s="10">
        <v>5</v>
      </c>
      <c r="M201" s="10">
        <f t="shared" si="16"/>
        <v>1.67</v>
      </c>
      <c r="N201" s="15">
        <v>5</v>
      </c>
      <c r="O201" s="16">
        <v>1.67</v>
      </c>
      <c r="P201" s="11">
        <v>3840</v>
      </c>
      <c r="Q201" s="10" t="s">
        <v>33</v>
      </c>
      <c r="R201" s="4" t="s">
        <v>1280</v>
      </c>
      <c r="S201" s="4" t="s">
        <v>1279</v>
      </c>
      <c r="T201" s="4" t="s">
        <v>672</v>
      </c>
      <c r="U201" s="4" t="str">
        <f t="shared" si="15"/>
        <v>NOT AN ADD-ON</v>
      </c>
      <c r="V201" s="4" t="str">
        <f t="shared" si="17"/>
        <v>AVIATIONINDUSTRY SOLUTIONLIMITEDNOT AN ADD-ON</v>
      </c>
    </row>
    <row r="202" spans="1:22" ht="15" thickBot="1">
      <c r="A202" s="10" t="s">
        <v>21</v>
      </c>
      <c r="B202" s="10" t="s">
        <v>22</v>
      </c>
      <c r="C202" s="10" t="s">
        <v>448</v>
      </c>
      <c r="D202" s="10" t="s">
        <v>449</v>
      </c>
      <c r="E202" s="10" t="s">
        <v>450</v>
      </c>
      <c r="F202" s="10" t="s">
        <v>451</v>
      </c>
      <c r="G202" s="11">
        <v>2310</v>
      </c>
      <c r="H202" s="163" t="s">
        <v>492</v>
      </c>
      <c r="I202" s="158" t="s">
        <v>493</v>
      </c>
      <c r="J202" s="163" t="s">
        <v>490</v>
      </c>
      <c r="K202" s="10" t="s">
        <v>30</v>
      </c>
      <c r="L202" s="10">
        <v>5</v>
      </c>
      <c r="M202" s="10">
        <f t="shared" si="16"/>
        <v>1.67</v>
      </c>
      <c r="N202" s="15">
        <v>5</v>
      </c>
      <c r="O202" s="16">
        <v>1.67</v>
      </c>
      <c r="P202" s="11">
        <v>3840</v>
      </c>
      <c r="Q202" s="10" t="s">
        <v>36</v>
      </c>
      <c r="R202" s="4" t="s">
        <v>1280</v>
      </c>
      <c r="S202" s="4" t="s">
        <v>1279</v>
      </c>
      <c r="T202" s="4" t="s">
        <v>672</v>
      </c>
      <c r="U202" s="4" t="str">
        <f t="shared" si="15"/>
        <v>NOT AN ADD-ON</v>
      </c>
      <c r="V202" s="4" t="str">
        <f t="shared" si="17"/>
        <v>AVIATIONINDUSTRY SOLUTIONLIMITEDNOT AN ADD-ON</v>
      </c>
    </row>
    <row r="203" spans="1:22" ht="15" thickBot="1">
      <c r="A203" s="10" t="s">
        <v>1089</v>
      </c>
      <c r="B203" s="10" t="s">
        <v>1090</v>
      </c>
      <c r="C203" s="10" t="s">
        <v>1091</v>
      </c>
      <c r="D203" s="10" t="s">
        <v>1092</v>
      </c>
      <c r="E203" s="10" t="s">
        <v>1093</v>
      </c>
      <c r="F203" s="10" t="s">
        <v>1094</v>
      </c>
      <c r="G203" s="116">
        <v>104000</v>
      </c>
      <c r="H203" s="163" t="s">
        <v>1110</v>
      </c>
      <c r="I203" s="158" t="s">
        <v>1111</v>
      </c>
      <c r="J203" s="163" t="s">
        <v>1110</v>
      </c>
      <c r="K203" s="10" t="s">
        <v>30</v>
      </c>
      <c r="L203" s="207">
        <v>15</v>
      </c>
      <c r="M203" s="10">
        <v>15</v>
      </c>
      <c r="N203" s="207">
        <v>15</v>
      </c>
      <c r="O203" s="12">
        <v>1</v>
      </c>
      <c r="P203" s="116">
        <v>104000</v>
      </c>
      <c r="Q203" s="10" t="s">
        <v>33</v>
      </c>
      <c r="R203" s="4" t="s">
        <v>1385</v>
      </c>
      <c r="S203" s="4" t="s">
        <v>1385</v>
      </c>
      <c r="T203" s="4" t="s">
        <v>19</v>
      </c>
      <c r="U203" s="4" t="str">
        <f t="shared" si="15"/>
        <v>NOT AN ADD-ON</v>
      </c>
      <c r="V203" s="4" t="str">
        <f t="shared" si="17"/>
        <v>APM FOR E&amp;UAPM FOR E&amp;UAUTHORIZEDNOT AN ADD-ON</v>
      </c>
    </row>
    <row r="204" spans="1:22" ht="15" thickBot="1">
      <c r="A204" s="10" t="s">
        <v>1089</v>
      </c>
      <c r="B204" s="10" t="s">
        <v>1090</v>
      </c>
      <c r="C204" s="10" t="s">
        <v>1091</v>
      </c>
      <c r="D204" s="10" t="s">
        <v>1092</v>
      </c>
      <c r="E204" s="10" t="s">
        <v>1093</v>
      </c>
      <c r="F204" s="10" t="s">
        <v>1094</v>
      </c>
      <c r="G204" s="116">
        <v>62600</v>
      </c>
      <c r="H204" s="163" t="s">
        <v>1112</v>
      </c>
      <c r="I204" s="158" t="s">
        <v>1113</v>
      </c>
      <c r="J204" s="163" t="s">
        <v>1110</v>
      </c>
      <c r="K204" s="10" t="s">
        <v>30</v>
      </c>
      <c r="L204" s="207">
        <v>15</v>
      </c>
      <c r="M204" s="10">
        <v>15</v>
      </c>
      <c r="N204" s="207">
        <v>15</v>
      </c>
      <c r="O204" s="12">
        <v>1</v>
      </c>
      <c r="P204" s="116">
        <v>104000</v>
      </c>
      <c r="Q204" s="10" t="s">
        <v>36</v>
      </c>
      <c r="R204" s="4" t="s">
        <v>1385</v>
      </c>
      <c r="S204" s="4" t="s">
        <v>1385</v>
      </c>
      <c r="T204" s="4" t="s">
        <v>19</v>
      </c>
      <c r="U204" s="4" t="str">
        <f t="shared" si="15"/>
        <v>NOT AN ADD-ON</v>
      </c>
      <c r="V204" s="4" t="str">
        <f t="shared" si="17"/>
        <v>APM FOR E&amp;UAPM FOR E&amp;UAUTHORIZEDNOT AN ADD-ON</v>
      </c>
    </row>
    <row r="205" spans="1:22" ht="15" thickBot="1">
      <c r="A205" s="10" t="s">
        <v>1089</v>
      </c>
      <c r="B205" s="10" t="s">
        <v>1090</v>
      </c>
      <c r="C205" s="10" t="s">
        <v>1091</v>
      </c>
      <c r="D205" s="10" t="s">
        <v>1092</v>
      </c>
      <c r="E205" s="10" t="s">
        <v>1093</v>
      </c>
      <c r="F205" s="10" t="s">
        <v>1094</v>
      </c>
      <c r="G205" s="116">
        <v>180</v>
      </c>
      <c r="H205" s="163" t="s">
        <v>1103</v>
      </c>
      <c r="I205" s="158" t="s">
        <v>1105</v>
      </c>
      <c r="J205" s="163" t="s">
        <v>1103</v>
      </c>
      <c r="K205" s="10" t="s">
        <v>1104</v>
      </c>
      <c r="L205" s="207">
        <v>0</v>
      </c>
      <c r="M205" s="10">
        <v>0</v>
      </c>
      <c r="N205" s="207">
        <v>0</v>
      </c>
      <c r="O205" s="12">
        <v>1</v>
      </c>
      <c r="P205" s="116">
        <v>180</v>
      </c>
      <c r="Q205" s="10" t="s">
        <v>33</v>
      </c>
      <c r="R205" s="4" t="s">
        <v>1385</v>
      </c>
      <c r="S205" s="4" t="s">
        <v>1385</v>
      </c>
      <c r="T205" s="4" t="s">
        <v>672</v>
      </c>
      <c r="U205" s="4" t="str">
        <f t="shared" ref="U205:U236" si="18">IF(ISNUMBER(SEARCH("ADD-ON",$I205)),"ADD-ON","NOT AN ADD-ON")</f>
        <v>NOT AN ADD-ON</v>
      </c>
      <c r="V205" s="4" t="str">
        <f t="shared" si="17"/>
        <v>APM FOR E&amp;UAPM FOR E&amp;ULIMITEDNOT AN ADD-ON</v>
      </c>
    </row>
    <row r="206" spans="1:22" ht="29.25" customHeight="1" thickBot="1">
      <c r="A206" s="10" t="s">
        <v>1089</v>
      </c>
      <c r="B206" s="10" t="s">
        <v>1090</v>
      </c>
      <c r="C206" s="10" t="s">
        <v>1091</v>
      </c>
      <c r="D206" s="10" t="s">
        <v>1092</v>
      </c>
      <c r="E206" s="10" t="s">
        <v>1093</v>
      </c>
      <c r="F206" s="10" t="s">
        <v>1094</v>
      </c>
      <c r="G206" s="116">
        <v>108</v>
      </c>
      <c r="H206" s="163" t="s">
        <v>1106</v>
      </c>
      <c r="I206" s="158" t="s">
        <v>1107</v>
      </c>
      <c r="J206" s="163" t="s">
        <v>1103</v>
      </c>
      <c r="K206" s="10" t="s">
        <v>1104</v>
      </c>
      <c r="L206" s="207">
        <v>0</v>
      </c>
      <c r="M206" s="10">
        <v>0</v>
      </c>
      <c r="N206" s="207">
        <v>0</v>
      </c>
      <c r="O206" s="12">
        <v>1</v>
      </c>
      <c r="P206" s="116">
        <v>180</v>
      </c>
      <c r="Q206" s="10" t="s">
        <v>36</v>
      </c>
      <c r="R206" s="4" t="s">
        <v>1385</v>
      </c>
      <c r="S206" s="4" t="s">
        <v>1385</v>
      </c>
      <c r="T206" s="4" t="s">
        <v>672</v>
      </c>
      <c r="U206" s="4" t="str">
        <f t="shared" si="18"/>
        <v>NOT AN ADD-ON</v>
      </c>
      <c r="V206" s="4" t="str">
        <f t="shared" si="17"/>
        <v>APM FOR E&amp;UAPM FOR E&amp;ULIMITEDNOT AN ADD-ON</v>
      </c>
    </row>
    <row r="207" spans="1:22" ht="15" thickBot="1">
      <c r="A207" s="10" t="s">
        <v>1089</v>
      </c>
      <c r="B207" s="10" t="s">
        <v>1090</v>
      </c>
      <c r="C207" s="10" t="s">
        <v>1091</v>
      </c>
      <c r="D207" s="10" t="s">
        <v>1092</v>
      </c>
      <c r="E207" s="10" t="s">
        <v>1093</v>
      </c>
      <c r="F207" s="10" t="s">
        <v>1094</v>
      </c>
      <c r="G207" s="116">
        <v>7730</v>
      </c>
      <c r="H207" s="163" t="s">
        <v>1097</v>
      </c>
      <c r="I207" s="158" t="s">
        <v>1098</v>
      </c>
      <c r="J207" s="163" t="s">
        <v>1097</v>
      </c>
      <c r="K207" s="10" t="s">
        <v>1491</v>
      </c>
      <c r="L207" s="207">
        <v>180</v>
      </c>
      <c r="M207" s="10">
        <v>1</v>
      </c>
      <c r="N207" s="207">
        <v>180</v>
      </c>
      <c r="O207" s="12">
        <v>1</v>
      </c>
      <c r="P207" s="116">
        <v>7730</v>
      </c>
      <c r="Q207" s="10" t="s">
        <v>33</v>
      </c>
      <c r="R207" s="4" t="s">
        <v>1385</v>
      </c>
      <c r="S207" s="4" t="s">
        <v>1385</v>
      </c>
      <c r="T207" s="4" t="s">
        <v>1491</v>
      </c>
      <c r="U207" s="4" t="str">
        <f t="shared" si="18"/>
        <v>NOT AN ADD-ON</v>
      </c>
      <c r="V207" s="4" t="str">
        <f t="shared" si="17"/>
        <v>APM FOR E&amp;UAPM FOR E&amp;UEU RVUNOT AN ADD-ON</v>
      </c>
    </row>
    <row r="208" spans="1:22" ht="29.25" customHeight="1" thickBot="1">
      <c r="A208" s="10" t="s">
        <v>1089</v>
      </c>
      <c r="B208" s="10" t="s">
        <v>1090</v>
      </c>
      <c r="C208" s="10" t="s">
        <v>1091</v>
      </c>
      <c r="D208" s="10" t="s">
        <v>1092</v>
      </c>
      <c r="E208" s="10" t="s">
        <v>1093</v>
      </c>
      <c r="F208" s="10" t="s">
        <v>1094</v>
      </c>
      <c r="G208" s="116">
        <v>4640</v>
      </c>
      <c r="H208" s="163" t="s">
        <v>1099</v>
      </c>
      <c r="I208" s="158" t="s">
        <v>1100</v>
      </c>
      <c r="J208" s="163" t="s">
        <v>1097</v>
      </c>
      <c r="K208" s="10" t="s">
        <v>1491</v>
      </c>
      <c r="L208" s="207">
        <v>180</v>
      </c>
      <c r="M208" s="10">
        <v>1</v>
      </c>
      <c r="N208" s="207">
        <v>180</v>
      </c>
      <c r="O208" s="12">
        <v>1</v>
      </c>
      <c r="P208" s="116">
        <v>7730</v>
      </c>
      <c r="Q208" s="10" t="s">
        <v>36</v>
      </c>
      <c r="R208" s="4" t="s">
        <v>1385</v>
      </c>
      <c r="S208" s="4" t="s">
        <v>1385</v>
      </c>
      <c r="T208" s="4" t="s">
        <v>1491</v>
      </c>
      <c r="U208" s="4" t="str">
        <f t="shared" si="18"/>
        <v>NOT AN ADD-ON</v>
      </c>
      <c r="V208" s="4" t="str">
        <f t="shared" si="17"/>
        <v>APM FOR E&amp;UAPM FOR E&amp;UEU RVUNOT AN ADD-ON</v>
      </c>
    </row>
    <row r="209" spans="1:22" ht="15" thickBot="1">
      <c r="A209" s="10" t="s">
        <v>21</v>
      </c>
      <c r="B209" s="10" t="s">
        <v>1256</v>
      </c>
      <c r="C209" s="10" t="s">
        <v>1257</v>
      </c>
      <c r="D209" s="10" t="s">
        <v>1134</v>
      </c>
      <c r="E209" s="10" t="s">
        <v>1135</v>
      </c>
      <c r="F209" s="10" t="s">
        <v>1258</v>
      </c>
      <c r="G209" s="116">
        <v>4370</v>
      </c>
      <c r="H209" s="163" t="s">
        <v>1267</v>
      </c>
      <c r="I209" s="158" t="s">
        <v>1268</v>
      </c>
      <c r="J209" s="163" t="s">
        <v>1267</v>
      </c>
      <c r="K209" s="10" t="s">
        <v>375</v>
      </c>
      <c r="L209" s="10">
        <v>10</v>
      </c>
      <c r="M209" s="10">
        <f t="shared" ref="M209:M240" si="19">ROUND(IF(K209="Authorized User",L209/3,L209),2)</f>
        <v>10</v>
      </c>
      <c r="N209" s="10">
        <v>10</v>
      </c>
      <c r="O209" s="12">
        <v>100</v>
      </c>
      <c r="P209" s="116">
        <v>4370</v>
      </c>
      <c r="Q209" s="10" t="s">
        <v>33</v>
      </c>
      <c r="R209" s="4" t="s">
        <v>1393</v>
      </c>
      <c r="S209" s="4" t="s">
        <v>1393</v>
      </c>
      <c r="T209" s="4" t="s">
        <v>1382</v>
      </c>
      <c r="U209" s="4" t="str">
        <f t="shared" si="18"/>
        <v>NOT AN ADD-ON</v>
      </c>
      <c r="V209" s="4" t="str">
        <f t="shared" si="17"/>
        <v>APM ASSET HEALTH INSIGHTSAPM ASSET HEALTH INSIGHTSRESOURCE VALUENOT AN ADD-ON</v>
      </c>
    </row>
    <row r="210" spans="1:22" ht="29.25" customHeight="1" thickBot="1">
      <c r="A210" s="10" t="s">
        <v>21</v>
      </c>
      <c r="B210" s="10" t="s">
        <v>1256</v>
      </c>
      <c r="C210" s="10" t="s">
        <v>1257</v>
      </c>
      <c r="D210" s="10" t="s">
        <v>1134</v>
      </c>
      <c r="E210" s="10" t="s">
        <v>1135</v>
      </c>
      <c r="F210" s="10" t="s">
        <v>1258</v>
      </c>
      <c r="G210" s="116">
        <v>2620</v>
      </c>
      <c r="H210" s="163" t="s">
        <v>1269</v>
      </c>
      <c r="I210" s="158" t="s">
        <v>1270</v>
      </c>
      <c r="J210" s="163" t="s">
        <v>1267</v>
      </c>
      <c r="K210" s="10" t="s">
        <v>375</v>
      </c>
      <c r="L210" s="10">
        <v>10</v>
      </c>
      <c r="M210" s="10">
        <f t="shared" si="19"/>
        <v>10</v>
      </c>
      <c r="N210" s="10">
        <v>10</v>
      </c>
      <c r="O210" s="17">
        <v>1</v>
      </c>
      <c r="P210" s="116">
        <v>4370</v>
      </c>
      <c r="Q210" s="10" t="s">
        <v>36</v>
      </c>
      <c r="R210" s="4" t="s">
        <v>1393</v>
      </c>
      <c r="S210" s="4" t="s">
        <v>1393</v>
      </c>
      <c r="T210" s="4" t="s">
        <v>1382</v>
      </c>
      <c r="U210" s="4" t="str">
        <f t="shared" si="18"/>
        <v>NOT AN ADD-ON</v>
      </c>
      <c r="V210" s="4" t="str">
        <f t="shared" si="17"/>
        <v>APM ASSET HEALTH INSIGHTSAPM ASSET HEALTH INSIGHTSRESOURCE VALUENOT AN ADD-ON</v>
      </c>
    </row>
    <row r="211" spans="1:22" ht="15" thickBot="1">
      <c r="A211" s="10" t="s">
        <v>21</v>
      </c>
      <c r="B211" s="10" t="s">
        <v>1256</v>
      </c>
      <c r="C211" s="10" t="s">
        <v>1257</v>
      </c>
      <c r="D211" s="10" t="s">
        <v>1134</v>
      </c>
      <c r="E211" s="10" t="s">
        <v>1135</v>
      </c>
      <c r="F211" s="10" t="s">
        <v>1258</v>
      </c>
      <c r="G211" s="116">
        <v>4370</v>
      </c>
      <c r="H211" s="163" t="s">
        <v>1261</v>
      </c>
      <c r="I211" s="158" t="s">
        <v>1262</v>
      </c>
      <c r="J211" s="163" t="s">
        <v>1261</v>
      </c>
      <c r="K211" s="10" t="s">
        <v>375</v>
      </c>
      <c r="L211" s="10">
        <v>10</v>
      </c>
      <c r="M211" s="10">
        <f t="shared" si="19"/>
        <v>10</v>
      </c>
      <c r="N211" s="10">
        <v>10</v>
      </c>
      <c r="O211" s="17">
        <v>1</v>
      </c>
      <c r="P211" s="116">
        <v>4370</v>
      </c>
      <c r="Q211" s="10" t="s">
        <v>33</v>
      </c>
      <c r="R211" s="4" t="s">
        <v>1393</v>
      </c>
      <c r="S211" s="4" t="s">
        <v>1393</v>
      </c>
      <c r="T211" s="4" t="s">
        <v>1382</v>
      </c>
      <c r="U211" s="4" t="str">
        <f t="shared" si="18"/>
        <v>NOT AN ADD-ON</v>
      </c>
      <c r="V211" s="4" t="str">
        <f t="shared" si="17"/>
        <v>APM ASSET HEALTH INSIGHTSAPM ASSET HEALTH INSIGHTSRESOURCE VALUENOT AN ADD-ON</v>
      </c>
    </row>
    <row r="212" spans="1:22" ht="29.25" customHeight="1" thickBot="1">
      <c r="A212" s="10" t="s">
        <v>21</v>
      </c>
      <c r="B212" s="10" t="s">
        <v>1256</v>
      </c>
      <c r="C212" s="10" t="s">
        <v>1257</v>
      </c>
      <c r="D212" s="10" t="s">
        <v>1134</v>
      </c>
      <c r="E212" s="10" t="s">
        <v>1135</v>
      </c>
      <c r="F212" s="10" t="s">
        <v>1258</v>
      </c>
      <c r="G212" s="116">
        <v>2620</v>
      </c>
      <c r="H212" s="163" t="s">
        <v>1263</v>
      </c>
      <c r="I212" s="166" t="s">
        <v>1264</v>
      </c>
      <c r="J212" s="163" t="s">
        <v>1261</v>
      </c>
      <c r="K212" s="10" t="s">
        <v>375</v>
      </c>
      <c r="L212" s="10">
        <v>10</v>
      </c>
      <c r="M212" s="10">
        <f t="shared" si="19"/>
        <v>10</v>
      </c>
      <c r="N212" s="10">
        <v>10</v>
      </c>
      <c r="O212" s="17">
        <v>1</v>
      </c>
      <c r="P212" s="116">
        <v>4370</v>
      </c>
      <c r="Q212" s="10" t="s">
        <v>36</v>
      </c>
      <c r="R212" s="4" t="s">
        <v>1393</v>
      </c>
      <c r="S212" s="4" t="s">
        <v>1393</v>
      </c>
      <c r="T212" s="4" t="s">
        <v>1382</v>
      </c>
      <c r="U212" s="4" t="str">
        <f t="shared" si="18"/>
        <v>NOT AN ADD-ON</v>
      </c>
      <c r="V212" s="4" t="str">
        <f t="shared" si="17"/>
        <v>APM ASSET HEALTH INSIGHTSAPM ASSET HEALTH INSIGHTSRESOURCE VALUENOT AN ADD-ON</v>
      </c>
    </row>
    <row r="213" spans="1:22" ht="15" thickBot="1">
      <c r="A213" s="10" t="s">
        <v>21</v>
      </c>
      <c r="B213" s="10" t="s">
        <v>22</v>
      </c>
      <c r="C213" s="10" t="s">
        <v>301</v>
      </c>
      <c r="D213" s="10" t="s">
        <v>141</v>
      </c>
      <c r="E213" s="10" t="s">
        <v>142</v>
      </c>
      <c r="F213" s="10" t="s">
        <v>339</v>
      </c>
      <c r="G213" s="11">
        <v>13700</v>
      </c>
      <c r="H213" s="163" t="s">
        <v>374</v>
      </c>
      <c r="I213" s="158" t="s">
        <v>376</v>
      </c>
      <c r="J213" s="163" t="s">
        <v>374</v>
      </c>
      <c r="K213" s="10" t="s">
        <v>375</v>
      </c>
      <c r="L213" s="10">
        <v>0</v>
      </c>
      <c r="M213" s="10">
        <f t="shared" si="19"/>
        <v>0</v>
      </c>
      <c r="N213" s="10">
        <v>10</v>
      </c>
      <c r="O213" s="12">
        <v>1</v>
      </c>
      <c r="P213" s="11">
        <v>13700</v>
      </c>
      <c r="Q213" s="10" t="s">
        <v>33</v>
      </c>
      <c r="R213" s="4" t="s">
        <v>1286</v>
      </c>
      <c r="S213" s="4" t="s">
        <v>507</v>
      </c>
      <c r="T213" s="4" t="s">
        <v>1382</v>
      </c>
      <c r="U213" s="4" t="str">
        <f t="shared" si="18"/>
        <v>NOT AN ADD-ON</v>
      </c>
      <c r="V213" s="4" t="str">
        <f t="shared" si="17"/>
        <v>SCHEDULER PLUSADD-ONRESOURCE VALUENOT AN ADD-ON</v>
      </c>
    </row>
    <row r="214" spans="1:22" ht="15" thickBot="1">
      <c r="A214" s="10" t="s">
        <v>21</v>
      </c>
      <c r="B214" s="10" t="s">
        <v>22</v>
      </c>
      <c r="C214" s="10" t="s">
        <v>301</v>
      </c>
      <c r="D214" s="10" t="s">
        <v>141</v>
      </c>
      <c r="E214" s="10" t="s">
        <v>142</v>
      </c>
      <c r="F214" s="10" t="s">
        <v>339</v>
      </c>
      <c r="G214" s="11">
        <v>8200</v>
      </c>
      <c r="H214" s="163" t="s">
        <v>377</v>
      </c>
      <c r="I214" s="158" t="s">
        <v>378</v>
      </c>
      <c r="J214" s="163" t="s">
        <v>374</v>
      </c>
      <c r="K214" s="10" t="s">
        <v>375</v>
      </c>
      <c r="L214" s="10">
        <v>0</v>
      </c>
      <c r="M214" s="10">
        <f t="shared" si="19"/>
        <v>0</v>
      </c>
      <c r="N214" s="10">
        <v>10</v>
      </c>
      <c r="O214" s="12">
        <v>1</v>
      </c>
      <c r="P214" s="11">
        <v>13700</v>
      </c>
      <c r="Q214" s="10" t="s">
        <v>36</v>
      </c>
      <c r="R214" s="4" t="s">
        <v>1286</v>
      </c>
      <c r="S214" s="4" t="s">
        <v>507</v>
      </c>
      <c r="T214" s="4" t="s">
        <v>1382</v>
      </c>
      <c r="U214" s="4" t="str">
        <f t="shared" si="18"/>
        <v>NOT AN ADD-ON</v>
      </c>
      <c r="V214" s="4" t="str">
        <f t="shared" si="17"/>
        <v>SCHEDULER PLUSADD-ONRESOURCE VALUENOT AN ADD-ON</v>
      </c>
    </row>
    <row r="215" spans="1:22" ht="29.25" customHeight="1" thickBot="1">
      <c r="A215" s="10" t="s">
        <v>21</v>
      </c>
      <c r="B215" s="10" t="s">
        <v>22</v>
      </c>
      <c r="C215" s="10" t="s">
        <v>301</v>
      </c>
      <c r="D215" s="10" t="s">
        <v>141</v>
      </c>
      <c r="E215" s="10" t="s">
        <v>142</v>
      </c>
      <c r="F215" s="10" t="s">
        <v>339</v>
      </c>
      <c r="G215" s="11">
        <v>13700</v>
      </c>
      <c r="H215" s="163" t="s">
        <v>381</v>
      </c>
      <c r="I215" s="166" t="s">
        <v>382</v>
      </c>
      <c r="J215" s="163" t="s">
        <v>381</v>
      </c>
      <c r="K215" s="10" t="s">
        <v>375</v>
      </c>
      <c r="L215" s="10">
        <v>0</v>
      </c>
      <c r="M215" s="10">
        <f t="shared" si="19"/>
        <v>0</v>
      </c>
      <c r="N215" s="10">
        <v>10</v>
      </c>
      <c r="O215" s="12">
        <v>1</v>
      </c>
      <c r="P215" s="11">
        <v>13700</v>
      </c>
      <c r="Q215" s="10" t="s">
        <v>33</v>
      </c>
      <c r="R215" s="4" t="s">
        <v>1286</v>
      </c>
      <c r="S215" s="4" t="s">
        <v>507</v>
      </c>
      <c r="T215" s="4" t="s">
        <v>1382</v>
      </c>
      <c r="U215" s="4" t="str">
        <f t="shared" si="18"/>
        <v>NOT AN ADD-ON</v>
      </c>
      <c r="V215" s="4" t="str">
        <f t="shared" si="17"/>
        <v>SCHEDULER PLUSADD-ONRESOURCE VALUENOT AN ADD-ON</v>
      </c>
    </row>
    <row r="216" spans="1:22" ht="15" thickBot="1">
      <c r="A216" s="10" t="s">
        <v>21</v>
      </c>
      <c r="B216" s="10" t="s">
        <v>22</v>
      </c>
      <c r="C216" s="10" t="s">
        <v>301</v>
      </c>
      <c r="D216" s="10" t="s">
        <v>141</v>
      </c>
      <c r="E216" s="10" t="s">
        <v>142</v>
      </c>
      <c r="F216" s="10" t="s">
        <v>339</v>
      </c>
      <c r="G216" s="11">
        <v>8200</v>
      </c>
      <c r="H216" s="163" t="s">
        <v>383</v>
      </c>
      <c r="I216" s="166" t="s">
        <v>384</v>
      </c>
      <c r="J216" s="163" t="s">
        <v>381</v>
      </c>
      <c r="K216" s="10" t="s">
        <v>375</v>
      </c>
      <c r="L216" s="10">
        <v>0</v>
      </c>
      <c r="M216" s="10">
        <f t="shared" si="19"/>
        <v>0</v>
      </c>
      <c r="N216" s="10">
        <v>10</v>
      </c>
      <c r="O216" s="12">
        <v>1</v>
      </c>
      <c r="P216" s="11">
        <v>13700</v>
      </c>
      <c r="Q216" s="10" t="s">
        <v>36</v>
      </c>
      <c r="R216" s="4" t="s">
        <v>1286</v>
      </c>
      <c r="S216" s="4" t="s">
        <v>507</v>
      </c>
      <c r="T216" s="4" t="s">
        <v>1382</v>
      </c>
      <c r="U216" s="4" t="str">
        <f t="shared" si="18"/>
        <v>NOT AN ADD-ON</v>
      </c>
      <c r="V216" s="4" t="str">
        <f t="shared" si="17"/>
        <v>SCHEDULER PLUSADD-ONRESOURCE VALUENOT AN ADD-ON</v>
      </c>
    </row>
    <row r="217" spans="1:22" ht="29.25" customHeight="1" thickBot="1">
      <c r="A217" s="10" t="s">
        <v>21</v>
      </c>
      <c r="B217" s="10" t="s">
        <v>22</v>
      </c>
      <c r="C217" s="10" t="s">
        <v>140</v>
      </c>
      <c r="D217" s="10" t="s">
        <v>141</v>
      </c>
      <c r="E217" s="10" t="s">
        <v>142</v>
      </c>
      <c r="F217" s="10" t="s">
        <v>143</v>
      </c>
      <c r="G217" s="11">
        <v>19400</v>
      </c>
      <c r="H217" s="163" t="s">
        <v>154</v>
      </c>
      <c r="I217" s="158" t="s">
        <v>155</v>
      </c>
      <c r="J217" s="163" t="s">
        <v>154</v>
      </c>
      <c r="K217" s="10" t="s">
        <v>40</v>
      </c>
      <c r="L217" s="10">
        <v>10</v>
      </c>
      <c r="M217" s="10">
        <f t="shared" si="19"/>
        <v>10</v>
      </c>
      <c r="N217" s="10">
        <v>10</v>
      </c>
      <c r="O217" s="12">
        <v>1</v>
      </c>
      <c r="P217" s="11">
        <v>19400</v>
      </c>
      <c r="Q217" s="10" t="s">
        <v>33</v>
      </c>
      <c r="R217" s="4" t="s">
        <v>1278</v>
      </c>
      <c r="S217" s="4" t="s">
        <v>1278</v>
      </c>
      <c r="T217" s="4" t="s">
        <v>19</v>
      </c>
      <c r="U217" s="4" t="str">
        <f t="shared" si="18"/>
        <v>NOT AN ADD-ON</v>
      </c>
      <c r="V217" s="4" t="str">
        <f t="shared" si="17"/>
        <v>ASSET MANAGEMENT (CORE)ASSET MANAGEMENT (CORE)AUTHORIZEDNOT AN ADD-ON</v>
      </c>
    </row>
    <row r="218" spans="1:22" ht="29.25" customHeight="1" thickBot="1">
      <c r="A218" s="10" t="s">
        <v>21</v>
      </c>
      <c r="B218" s="10" t="s">
        <v>22</v>
      </c>
      <c r="C218" s="10" t="s">
        <v>140</v>
      </c>
      <c r="D218" s="10" t="s">
        <v>141</v>
      </c>
      <c r="E218" s="10" t="s">
        <v>142</v>
      </c>
      <c r="F218" s="10" t="s">
        <v>143</v>
      </c>
      <c r="G218" s="11">
        <v>11600</v>
      </c>
      <c r="H218" s="163" t="s">
        <v>156</v>
      </c>
      <c r="I218" s="158" t="s">
        <v>157</v>
      </c>
      <c r="J218" s="163" t="s">
        <v>154</v>
      </c>
      <c r="K218" s="10" t="s">
        <v>40</v>
      </c>
      <c r="L218" s="10">
        <v>10</v>
      </c>
      <c r="M218" s="10">
        <f t="shared" si="19"/>
        <v>10</v>
      </c>
      <c r="N218" s="10">
        <v>10</v>
      </c>
      <c r="O218" s="12">
        <v>1</v>
      </c>
      <c r="P218" s="11">
        <v>19400</v>
      </c>
      <c r="Q218" s="10" t="s">
        <v>36</v>
      </c>
      <c r="R218" s="4" t="s">
        <v>1278</v>
      </c>
      <c r="S218" s="4" t="s">
        <v>1278</v>
      </c>
      <c r="T218" s="4" t="s">
        <v>19</v>
      </c>
      <c r="U218" s="4" t="str">
        <f t="shared" si="18"/>
        <v>NOT AN ADD-ON</v>
      </c>
      <c r="V218" s="4" t="str">
        <f t="shared" si="17"/>
        <v>ASSET MANAGEMENT (CORE)ASSET MANAGEMENT (CORE)AUTHORIZEDNOT AN ADD-ON</v>
      </c>
    </row>
    <row r="219" spans="1:22" ht="29.25" customHeight="1" thickBot="1">
      <c r="A219" s="10" t="s">
        <v>21</v>
      </c>
      <c r="B219" s="10" t="s">
        <v>22</v>
      </c>
      <c r="C219" s="10" t="s">
        <v>140</v>
      </c>
      <c r="D219" s="10" t="s">
        <v>141</v>
      </c>
      <c r="E219" s="10" t="s">
        <v>142</v>
      </c>
      <c r="F219" s="10" t="s">
        <v>143</v>
      </c>
      <c r="G219" s="11">
        <v>4180</v>
      </c>
      <c r="H219" s="163" t="s">
        <v>170</v>
      </c>
      <c r="I219" s="166" t="s">
        <v>171</v>
      </c>
      <c r="J219" s="163" t="s">
        <v>154</v>
      </c>
      <c r="K219" s="10" t="s">
        <v>40</v>
      </c>
      <c r="L219" s="10">
        <v>10</v>
      </c>
      <c r="M219" s="10">
        <f t="shared" si="19"/>
        <v>10</v>
      </c>
      <c r="N219" s="10">
        <v>10</v>
      </c>
      <c r="O219" s="12">
        <v>1</v>
      </c>
      <c r="P219" s="11">
        <v>19400</v>
      </c>
      <c r="Q219" s="10" t="s">
        <v>48</v>
      </c>
      <c r="R219" s="4" t="s">
        <v>1278</v>
      </c>
      <c r="S219" s="4" t="s">
        <v>1278</v>
      </c>
      <c r="T219" s="4" t="s">
        <v>19</v>
      </c>
      <c r="U219" s="4" t="str">
        <f t="shared" si="18"/>
        <v>NOT AN ADD-ON</v>
      </c>
      <c r="V219" s="4" t="str">
        <f t="shared" si="17"/>
        <v>ASSET MANAGEMENT (CORE)ASSET MANAGEMENT (CORE)AUTHORIZEDNOT AN ADD-ON</v>
      </c>
    </row>
    <row r="220" spans="1:22" ht="29.25" customHeight="1" thickBot="1">
      <c r="A220" s="10" t="s">
        <v>21</v>
      </c>
      <c r="B220" s="10" t="s">
        <v>22</v>
      </c>
      <c r="C220" s="10" t="s">
        <v>140</v>
      </c>
      <c r="D220" s="10" t="s">
        <v>141</v>
      </c>
      <c r="E220" s="10" t="s">
        <v>142</v>
      </c>
      <c r="F220" s="10" t="s">
        <v>143</v>
      </c>
      <c r="G220" s="11">
        <v>18400</v>
      </c>
      <c r="H220" s="163" t="s">
        <v>174</v>
      </c>
      <c r="I220" s="166" t="s">
        <v>175</v>
      </c>
      <c r="J220" s="163" t="s">
        <v>154</v>
      </c>
      <c r="K220" s="10" t="s">
        <v>40</v>
      </c>
      <c r="L220" s="10">
        <v>10</v>
      </c>
      <c r="M220" s="10">
        <f t="shared" si="19"/>
        <v>10</v>
      </c>
      <c r="N220" s="10">
        <v>10</v>
      </c>
      <c r="O220" s="12">
        <v>1</v>
      </c>
      <c r="P220" s="11">
        <v>19400</v>
      </c>
      <c r="Q220" s="10" t="s">
        <v>48</v>
      </c>
      <c r="R220" s="4" t="s">
        <v>1278</v>
      </c>
      <c r="S220" s="4" t="s">
        <v>1278</v>
      </c>
      <c r="T220" s="4" t="s">
        <v>19</v>
      </c>
      <c r="U220" s="4" t="str">
        <f t="shared" si="18"/>
        <v>NOT AN ADD-ON</v>
      </c>
      <c r="V220" s="4" t="str">
        <f t="shared" si="17"/>
        <v>ASSET MANAGEMENT (CORE)ASSET MANAGEMENT (CORE)AUTHORIZEDNOT AN ADD-ON</v>
      </c>
    </row>
    <row r="221" spans="1:22" ht="15" thickBot="1">
      <c r="A221" s="10" t="s">
        <v>21</v>
      </c>
      <c r="B221" s="10" t="s">
        <v>22</v>
      </c>
      <c r="C221" s="10" t="s">
        <v>140</v>
      </c>
      <c r="D221" s="10" t="s">
        <v>141</v>
      </c>
      <c r="E221" s="10" t="s">
        <v>142</v>
      </c>
      <c r="F221" s="10" t="s">
        <v>143</v>
      </c>
      <c r="G221" s="11">
        <v>19400</v>
      </c>
      <c r="H221" s="163" t="s">
        <v>160</v>
      </c>
      <c r="I221" s="158" t="s">
        <v>167</v>
      </c>
      <c r="J221" s="163" t="s">
        <v>160</v>
      </c>
      <c r="K221" s="10" t="s">
        <v>40</v>
      </c>
      <c r="L221" s="10">
        <v>10</v>
      </c>
      <c r="M221" s="10">
        <f t="shared" si="19"/>
        <v>10</v>
      </c>
      <c r="N221" s="10">
        <v>10</v>
      </c>
      <c r="O221" s="12">
        <v>1</v>
      </c>
      <c r="P221" s="11">
        <v>19400</v>
      </c>
      <c r="Q221" s="10" t="s">
        <v>33</v>
      </c>
      <c r="R221" s="4" t="s">
        <v>1278</v>
      </c>
      <c r="S221" s="4" t="s">
        <v>1278</v>
      </c>
      <c r="T221" s="4" t="s">
        <v>19</v>
      </c>
      <c r="U221" s="4" t="str">
        <f t="shared" si="18"/>
        <v>NOT AN ADD-ON</v>
      </c>
      <c r="V221" s="4" t="str">
        <f t="shared" si="17"/>
        <v>ASSET MANAGEMENT (CORE)ASSET MANAGEMENT (CORE)AUTHORIZEDNOT AN ADD-ON</v>
      </c>
    </row>
    <row r="222" spans="1:22" ht="15" thickBot="1">
      <c r="A222" s="10" t="s">
        <v>21</v>
      </c>
      <c r="B222" s="10" t="s">
        <v>22</v>
      </c>
      <c r="C222" s="10" t="s">
        <v>140</v>
      </c>
      <c r="D222" s="10" t="s">
        <v>141</v>
      </c>
      <c r="E222" s="10" t="s">
        <v>142</v>
      </c>
      <c r="F222" s="10" t="s">
        <v>143</v>
      </c>
      <c r="G222" s="11">
        <v>11600</v>
      </c>
      <c r="H222" s="163" t="s">
        <v>168</v>
      </c>
      <c r="I222" s="158" t="s">
        <v>169</v>
      </c>
      <c r="J222" s="163" t="s">
        <v>160</v>
      </c>
      <c r="K222" s="10" t="s">
        <v>40</v>
      </c>
      <c r="L222" s="10">
        <v>10</v>
      </c>
      <c r="M222" s="10">
        <f t="shared" si="19"/>
        <v>10</v>
      </c>
      <c r="N222" s="10">
        <v>10</v>
      </c>
      <c r="O222" s="12">
        <v>1</v>
      </c>
      <c r="P222" s="11">
        <v>19400</v>
      </c>
      <c r="Q222" s="10" t="s">
        <v>36</v>
      </c>
      <c r="R222" s="4" t="s">
        <v>1278</v>
      </c>
      <c r="S222" s="4" t="s">
        <v>1278</v>
      </c>
      <c r="T222" s="4" t="s">
        <v>19</v>
      </c>
      <c r="U222" s="4" t="str">
        <f t="shared" si="18"/>
        <v>NOT AN ADD-ON</v>
      </c>
      <c r="V222" s="4" t="str">
        <f t="shared" si="17"/>
        <v>ASSET MANAGEMENT (CORE)ASSET MANAGEMENT (CORE)AUTHORIZEDNOT AN ADD-ON</v>
      </c>
    </row>
    <row r="223" spans="1:22" ht="27" thickBot="1">
      <c r="A223" s="10" t="s">
        <v>21</v>
      </c>
      <c r="B223" s="10" t="s">
        <v>22</v>
      </c>
      <c r="C223" s="10" t="s">
        <v>140</v>
      </c>
      <c r="D223" s="10" t="s">
        <v>141</v>
      </c>
      <c r="E223" s="10" t="s">
        <v>142</v>
      </c>
      <c r="F223" s="10" t="s">
        <v>143</v>
      </c>
      <c r="G223" s="11">
        <v>4180</v>
      </c>
      <c r="H223" s="163" t="s">
        <v>161</v>
      </c>
      <c r="I223" s="166" t="s">
        <v>162</v>
      </c>
      <c r="J223" s="163" t="s">
        <v>160</v>
      </c>
      <c r="K223" s="10" t="s">
        <v>40</v>
      </c>
      <c r="L223" s="10">
        <v>10</v>
      </c>
      <c r="M223" s="10">
        <f t="shared" si="19"/>
        <v>10</v>
      </c>
      <c r="N223" s="10">
        <v>10</v>
      </c>
      <c r="O223" s="12">
        <v>1</v>
      </c>
      <c r="P223" s="11">
        <v>19400</v>
      </c>
      <c r="Q223" s="10" t="s">
        <v>48</v>
      </c>
      <c r="R223" s="4" t="s">
        <v>1278</v>
      </c>
      <c r="S223" s="4" t="s">
        <v>1278</v>
      </c>
      <c r="T223" s="4" t="s">
        <v>19</v>
      </c>
      <c r="U223" s="4" t="str">
        <f t="shared" si="18"/>
        <v>NOT AN ADD-ON</v>
      </c>
      <c r="V223" s="4" t="str">
        <f t="shared" si="17"/>
        <v>ASSET MANAGEMENT (CORE)ASSET MANAGEMENT (CORE)AUTHORIZEDNOT AN ADD-ON</v>
      </c>
    </row>
    <row r="224" spans="1:22" ht="29.25" customHeight="1" thickBot="1">
      <c r="A224" s="10" t="s">
        <v>21</v>
      </c>
      <c r="B224" s="10" t="s">
        <v>22</v>
      </c>
      <c r="C224" s="10" t="s">
        <v>140</v>
      </c>
      <c r="D224" s="10" t="s">
        <v>141</v>
      </c>
      <c r="E224" s="10" t="s">
        <v>142</v>
      </c>
      <c r="F224" s="10" t="s">
        <v>143</v>
      </c>
      <c r="G224" s="11">
        <v>18400</v>
      </c>
      <c r="H224" s="163" t="s">
        <v>163</v>
      </c>
      <c r="I224" s="166" t="s">
        <v>164</v>
      </c>
      <c r="J224" s="163" t="s">
        <v>160</v>
      </c>
      <c r="K224" s="10" t="s">
        <v>40</v>
      </c>
      <c r="L224" s="10">
        <v>10</v>
      </c>
      <c r="M224" s="10">
        <f t="shared" si="19"/>
        <v>10</v>
      </c>
      <c r="N224" s="10">
        <v>10</v>
      </c>
      <c r="O224" s="12">
        <v>1</v>
      </c>
      <c r="P224" s="11">
        <v>19400</v>
      </c>
      <c r="Q224" s="10" t="s">
        <v>48</v>
      </c>
      <c r="R224" s="4" t="s">
        <v>1278</v>
      </c>
      <c r="S224" s="4" t="s">
        <v>1278</v>
      </c>
      <c r="T224" s="4" t="s">
        <v>19</v>
      </c>
      <c r="U224" s="4" t="str">
        <f t="shared" si="18"/>
        <v>NOT AN ADD-ON</v>
      </c>
      <c r="V224" s="4" t="str">
        <f t="shared" si="17"/>
        <v>ASSET MANAGEMENT (CORE)ASSET MANAGEMENT (CORE)AUTHORIZEDNOT AN ADD-ON</v>
      </c>
    </row>
    <row r="225" spans="1:22" ht="15" thickBot="1">
      <c r="A225" s="10" t="s">
        <v>21</v>
      </c>
      <c r="B225" s="10" t="s">
        <v>22</v>
      </c>
      <c r="C225" s="10" t="s">
        <v>140</v>
      </c>
      <c r="D225" s="10" t="s">
        <v>141</v>
      </c>
      <c r="E225" s="10" t="s">
        <v>142</v>
      </c>
      <c r="F225" s="10" t="s">
        <v>143</v>
      </c>
      <c r="G225" s="11">
        <v>733</v>
      </c>
      <c r="H225" s="163" t="s">
        <v>191</v>
      </c>
      <c r="I225" s="166" t="s">
        <v>192</v>
      </c>
      <c r="J225" s="163" t="s">
        <v>184</v>
      </c>
      <c r="K225" s="10" t="s">
        <v>40</v>
      </c>
      <c r="L225" s="10">
        <v>5</v>
      </c>
      <c r="M225" s="10">
        <f t="shared" si="19"/>
        <v>5</v>
      </c>
      <c r="N225" s="10">
        <v>5</v>
      </c>
      <c r="O225" s="12">
        <v>1</v>
      </c>
      <c r="P225" s="11">
        <v>3620</v>
      </c>
      <c r="Q225" s="10" t="s">
        <v>48</v>
      </c>
      <c r="R225" s="4" t="s">
        <v>1278</v>
      </c>
      <c r="S225" s="4" t="s">
        <v>1278</v>
      </c>
      <c r="T225" s="4" t="s">
        <v>1381</v>
      </c>
      <c r="U225" s="4" t="str">
        <f t="shared" si="18"/>
        <v>NOT AN ADD-ON</v>
      </c>
      <c r="V225" s="4" t="str">
        <f t="shared" si="17"/>
        <v>ASSET MANAGEMENT (CORE)ASSET MANAGEMENT (CORE)EXPRESSNOT AN ADD-ON</v>
      </c>
    </row>
    <row r="226" spans="1:22" ht="29.25" customHeight="1" thickBot="1">
      <c r="A226" s="10" t="s">
        <v>21</v>
      </c>
      <c r="B226" s="10" t="s">
        <v>22</v>
      </c>
      <c r="C226" s="10" t="s">
        <v>140</v>
      </c>
      <c r="D226" s="10" t="s">
        <v>141</v>
      </c>
      <c r="E226" s="10" t="s">
        <v>142</v>
      </c>
      <c r="F226" s="10" t="s">
        <v>143</v>
      </c>
      <c r="G226" s="11">
        <v>733</v>
      </c>
      <c r="H226" s="163" t="s">
        <v>188</v>
      </c>
      <c r="I226" s="166" t="s">
        <v>189</v>
      </c>
      <c r="J226" s="163" t="s">
        <v>190</v>
      </c>
      <c r="K226" s="10" t="s">
        <v>40</v>
      </c>
      <c r="L226" s="10">
        <v>5</v>
      </c>
      <c r="M226" s="10">
        <f t="shared" si="19"/>
        <v>5</v>
      </c>
      <c r="N226" s="10">
        <v>5</v>
      </c>
      <c r="O226" s="12">
        <v>1</v>
      </c>
      <c r="P226" s="11">
        <v>3620</v>
      </c>
      <c r="Q226" s="10" t="s">
        <v>48</v>
      </c>
      <c r="R226" s="4" t="s">
        <v>1278</v>
      </c>
      <c r="S226" s="4" t="s">
        <v>1278</v>
      </c>
      <c r="T226" s="4" t="s">
        <v>1381</v>
      </c>
      <c r="U226" s="4" t="str">
        <f t="shared" si="18"/>
        <v>NOT AN ADD-ON</v>
      </c>
      <c r="V226" s="4" t="str">
        <f t="shared" si="17"/>
        <v>ASSET MANAGEMENT (CORE)ASSET MANAGEMENT (CORE)EXPRESSNOT AN ADD-ON</v>
      </c>
    </row>
    <row r="227" spans="1:22" ht="15" thickBot="1">
      <c r="A227" s="10" t="s">
        <v>21</v>
      </c>
      <c r="B227" s="10" t="s">
        <v>22</v>
      </c>
      <c r="C227" s="10" t="s">
        <v>301</v>
      </c>
      <c r="D227" s="10" t="s">
        <v>141</v>
      </c>
      <c r="E227" s="10" t="s">
        <v>142</v>
      </c>
      <c r="F227" s="10" t="s">
        <v>143</v>
      </c>
      <c r="G227" s="11">
        <v>6130</v>
      </c>
      <c r="H227" s="163" t="s">
        <v>314</v>
      </c>
      <c r="I227" s="158" t="s">
        <v>315</v>
      </c>
      <c r="J227" s="163" t="s">
        <v>314</v>
      </c>
      <c r="K227" s="10" t="s">
        <v>40</v>
      </c>
      <c r="L227" s="10">
        <v>0</v>
      </c>
      <c r="M227" s="10">
        <f t="shared" si="19"/>
        <v>0</v>
      </c>
      <c r="N227" s="10">
        <v>10</v>
      </c>
      <c r="O227" s="12">
        <v>1</v>
      </c>
      <c r="P227" s="11">
        <v>6130</v>
      </c>
      <c r="Q227" s="10" t="s">
        <v>33</v>
      </c>
      <c r="R227" s="4" t="s">
        <v>1285</v>
      </c>
      <c r="S227" s="4" t="s">
        <v>507</v>
      </c>
      <c r="T227" s="4" t="s">
        <v>19</v>
      </c>
      <c r="U227" s="4" t="str">
        <f t="shared" si="18"/>
        <v>NOT AN ADD-ON</v>
      </c>
      <c r="V227" s="4" t="str">
        <f t="shared" si="17"/>
        <v>SCHEDULERADD-ONAUTHORIZEDNOT AN ADD-ON</v>
      </c>
    </row>
    <row r="228" spans="1:22" ht="15" thickBot="1">
      <c r="A228" s="10" t="s">
        <v>21</v>
      </c>
      <c r="B228" s="10" t="s">
        <v>22</v>
      </c>
      <c r="C228" s="10" t="s">
        <v>301</v>
      </c>
      <c r="D228" s="10" t="s">
        <v>141</v>
      </c>
      <c r="E228" s="10" t="s">
        <v>142</v>
      </c>
      <c r="F228" s="10" t="s">
        <v>143</v>
      </c>
      <c r="G228" s="11">
        <v>3680</v>
      </c>
      <c r="H228" s="163" t="s">
        <v>316</v>
      </c>
      <c r="I228" s="158" t="s">
        <v>317</v>
      </c>
      <c r="J228" s="163" t="s">
        <v>314</v>
      </c>
      <c r="K228" s="10" t="s">
        <v>40</v>
      </c>
      <c r="L228" s="10">
        <v>0</v>
      </c>
      <c r="M228" s="10">
        <f t="shared" si="19"/>
        <v>0</v>
      </c>
      <c r="N228" s="10">
        <v>10</v>
      </c>
      <c r="O228" s="12">
        <v>1</v>
      </c>
      <c r="P228" s="11">
        <v>6130</v>
      </c>
      <c r="Q228" s="10" t="s">
        <v>36</v>
      </c>
      <c r="R228" s="4" t="s">
        <v>1285</v>
      </c>
      <c r="S228" s="4" t="s">
        <v>507</v>
      </c>
      <c r="T228" s="4" t="s">
        <v>19</v>
      </c>
      <c r="U228" s="4" t="str">
        <f t="shared" si="18"/>
        <v>NOT AN ADD-ON</v>
      </c>
      <c r="V228" s="4" t="str">
        <f t="shared" si="17"/>
        <v>SCHEDULERADD-ONAUTHORIZEDNOT AN ADD-ON</v>
      </c>
    </row>
    <row r="229" spans="1:22" ht="29.25" customHeight="1" thickBot="1">
      <c r="A229" s="10" t="s">
        <v>21</v>
      </c>
      <c r="B229" s="10" t="s">
        <v>22</v>
      </c>
      <c r="C229" s="10" t="s">
        <v>301</v>
      </c>
      <c r="D229" s="10" t="s">
        <v>141</v>
      </c>
      <c r="E229" s="10" t="s">
        <v>142</v>
      </c>
      <c r="F229" s="10" t="s">
        <v>143</v>
      </c>
      <c r="G229" s="11">
        <v>1330</v>
      </c>
      <c r="H229" s="163" t="s">
        <v>326</v>
      </c>
      <c r="I229" s="166" t="s">
        <v>327</v>
      </c>
      <c r="J229" s="163" t="s">
        <v>314</v>
      </c>
      <c r="K229" s="10" t="s">
        <v>40</v>
      </c>
      <c r="L229" s="10">
        <v>0</v>
      </c>
      <c r="M229" s="10">
        <f t="shared" si="19"/>
        <v>0</v>
      </c>
      <c r="N229" s="10">
        <v>10</v>
      </c>
      <c r="O229" s="12">
        <v>1</v>
      </c>
      <c r="P229" s="11">
        <v>6130</v>
      </c>
      <c r="Q229" s="10" t="s">
        <v>48</v>
      </c>
      <c r="R229" s="4" t="s">
        <v>1285</v>
      </c>
      <c r="S229" s="4" t="s">
        <v>507</v>
      </c>
      <c r="T229" s="4" t="s">
        <v>19</v>
      </c>
      <c r="U229" s="4" t="str">
        <f t="shared" si="18"/>
        <v>NOT AN ADD-ON</v>
      </c>
      <c r="V229" s="4" t="str">
        <f t="shared" si="17"/>
        <v>SCHEDULERADD-ONAUTHORIZEDNOT AN ADD-ON</v>
      </c>
    </row>
    <row r="230" spans="1:22" ht="29.25" customHeight="1" thickBot="1">
      <c r="A230" s="10" t="s">
        <v>21</v>
      </c>
      <c r="B230" s="10" t="s">
        <v>22</v>
      </c>
      <c r="C230" s="10" t="s">
        <v>301</v>
      </c>
      <c r="D230" s="10" t="s">
        <v>141</v>
      </c>
      <c r="E230" s="10" t="s">
        <v>142</v>
      </c>
      <c r="F230" s="10" t="s">
        <v>143</v>
      </c>
      <c r="G230" s="11">
        <v>6130</v>
      </c>
      <c r="H230" s="163" t="s">
        <v>322</v>
      </c>
      <c r="I230" s="158" t="s">
        <v>323</v>
      </c>
      <c r="J230" s="163" t="s">
        <v>322</v>
      </c>
      <c r="K230" s="10" t="s">
        <v>40</v>
      </c>
      <c r="L230" s="10">
        <v>0</v>
      </c>
      <c r="M230" s="10">
        <f t="shared" si="19"/>
        <v>0</v>
      </c>
      <c r="N230" s="10">
        <v>10</v>
      </c>
      <c r="O230" s="12">
        <v>1</v>
      </c>
      <c r="P230" s="11">
        <v>6130</v>
      </c>
      <c r="Q230" s="10" t="s">
        <v>33</v>
      </c>
      <c r="R230" s="4" t="s">
        <v>1285</v>
      </c>
      <c r="S230" s="4" t="s">
        <v>507</v>
      </c>
      <c r="T230" s="4" t="s">
        <v>19</v>
      </c>
      <c r="U230" s="4" t="str">
        <f t="shared" si="18"/>
        <v>NOT AN ADD-ON</v>
      </c>
      <c r="V230" s="4" t="str">
        <f t="shared" si="17"/>
        <v>SCHEDULERADD-ONAUTHORIZEDNOT AN ADD-ON</v>
      </c>
    </row>
    <row r="231" spans="1:22" ht="15" thickBot="1">
      <c r="A231" s="10" t="s">
        <v>21</v>
      </c>
      <c r="B231" s="10" t="s">
        <v>22</v>
      </c>
      <c r="C231" s="10" t="s">
        <v>301</v>
      </c>
      <c r="D231" s="10" t="s">
        <v>141</v>
      </c>
      <c r="E231" s="10" t="s">
        <v>142</v>
      </c>
      <c r="F231" s="10" t="s">
        <v>143</v>
      </c>
      <c r="G231" s="11">
        <v>3680</v>
      </c>
      <c r="H231" s="163" t="s">
        <v>324</v>
      </c>
      <c r="I231" s="158" t="s">
        <v>325</v>
      </c>
      <c r="J231" s="163" t="s">
        <v>322</v>
      </c>
      <c r="K231" s="10" t="s">
        <v>40</v>
      </c>
      <c r="L231" s="10">
        <v>0</v>
      </c>
      <c r="M231" s="10">
        <f t="shared" si="19"/>
        <v>0</v>
      </c>
      <c r="N231" s="10">
        <v>10</v>
      </c>
      <c r="O231" s="12">
        <v>1</v>
      </c>
      <c r="P231" s="11">
        <v>6130</v>
      </c>
      <c r="Q231" s="10" t="s">
        <v>36</v>
      </c>
      <c r="R231" s="4" t="s">
        <v>1285</v>
      </c>
      <c r="S231" s="4" t="s">
        <v>507</v>
      </c>
      <c r="T231" s="4" t="s">
        <v>19</v>
      </c>
      <c r="U231" s="4" t="str">
        <f t="shared" si="18"/>
        <v>NOT AN ADD-ON</v>
      </c>
      <c r="V231" s="4" t="str">
        <f t="shared" si="17"/>
        <v>SCHEDULERADD-ONAUTHORIZEDNOT AN ADD-ON</v>
      </c>
    </row>
    <row r="232" spans="1:22" ht="27" thickBot="1">
      <c r="A232" s="10" t="s">
        <v>21</v>
      </c>
      <c r="B232" s="10" t="s">
        <v>22</v>
      </c>
      <c r="C232" s="10" t="s">
        <v>301</v>
      </c>
      <c r="D232" s="10" t="s">
        <v>141</v>
      </c>
      <c r="E232" s="10" t="s">
        <v>142</v>
      </c>
      <c r="F232" s="10" t="s">
        <v>143</v>
      </c>
      <c r="G232" s="11">
        <v>1330</v>
      </c>
      <c r="H232" s="163" t="s">
        <v>318</v>
      </c>
      <c r="I232" s="166" t="s">
        <v>319</v>
      </c>
      <c r="J232" s="163" t="s">
        <v>314</v>
      </c>
      <c r="K232" s="10" t="s">
        <v>40</v>
      </c>
      <c r="L232" s="10">
        <v>0</v>
      </c>
      <c r="M232" s="10">
        <f t="shared" si="19"/>
        <v>0</v>
      </c>
      <c r="N232" s="10">
        <v>10</v>
      </c>
      <c r="O232" s="12">
        <v>1</v>
      </c>
      <c r="P232" s="11">
        <v>6130</v>
      </c>
      <c r="Q232" s="10" t="s">
        <v>48</v>
      </c>
      <c r="R232" s="4" t="s">
        <v>1285</v>
      </c>
      <c r="S232" s="4" t="s">
        <v>507</v>
      </c>
      <c r="T232" s="4" t="s">
        <v>19</v>
      </c>
      <c r="U232" s="4" t="str">
        <f t="shared" si="18"/>
        <v>NOT AN ADD-ON</v>
      </c>
      <c r="V232" s="4" t="str">
        <f t="shared" si="17"/>
        <v>SCHEDULERADD-ONAUTHORIZEDNOT AN ADD-ON</v>
      </c>
    </row>
    <row r="233" spans="1:22" ht="29.25" customHeight="1" thickBot="1">
      <c r="A233" s="10" t="s">
        <v>21</v>
      </c>
      <c r="B233" s="10" t="s">
        <v>22</v>
      </c>
      <c r="C233" s="10" t="s">
        <v>986</v>
      </c>
      <c r="D233" s="10" t="s">
        <v>141</v>
      </c>
      <c r="E233" s="10" t="s">
        <v>142</v>
      </c>
      <c r="F233" s="10" t="s">
        <v>143</v>
      </c>
      <c r="G233" s="11">
        <v>8160</v>
      </c>
      <c r="H233" s="163" t="s">
        <v>989</v>
      </c>
      <c r="I233" s="158" t="s">
        <v>990</v>
      </c>
      <c r="J233" s="163" t="s">
        <v>989</v>
      </c>
      <c r="K233" s="10" t="s">
        <v>40</v>
      </c>
      <c r="L233" s="10">
        <v>15</v>
      </c>
      <c r="M233" s="10">
        <f t="shared" si="19"/>
        <v>15</v>
      </c>
      <c r="N233" s="10">
        <v>15</v>
      </c>
      <c r="O233" s="12">
        <v>1</v>
      </c>
      <c r="P233" s="11">
        <v>8160</v>
      </c>
      <c r="Q233" s="10" t="s">
        <v>33</v>
      </c>
      <c r="R233" s="4" t="s">
        <v>1293</v>
      </c>
      <c r="S233" s="4" t="s">
        <v>1383</v>
      </c>
      <c r="T233" s="4" t="s">
        <v>19</v>
      </c>
      <c r="U233" s="4" t="str">
        <f t="shared" si="18"/>
        <v>NOT AN ADD-ON</v>
      </c>
      <c r="V233" s="4" t="str">
        <f t="shared" si="17"/>
        <v>HEALTH SAFETY AND ENVIRONMENT MANAGERHSEAUTHORIZEDNOT AN ADD-ON</v>
      </c>
    </row>
    <row r="234" spans="1:22" ht="29.25" customHeight="1" thickBot="1">
      <c r="A234" s="10" t="s">
        <v>21</v>
      </c>
      <c r="B234" s="10" t="s">
        <v>22</v>
      </c>
      <c r="C234" s="10" t="s">
        <v>986</v>
      </c>
      <c r="D234" s="10" t="s">
        <v>141</v>
      </c>
      <c r="E234" s="10" t="s">
        <v>142</v>
      </c>
      <c r="F234" s="10" t="s">
        <v>143</v>
      </c>
      <c r="G234" s="11">
        <v>4890</v>
      </c>
      <c r="H234" s="163" t="s">
        <v>991</v>
      </c>
      <c r="I234" s="158" t="s">
        <v>992</v>
      </c>
      <c r="J234" s="163" t="s">
        <v>989</v>
      </c>
      <c r="K234" s="10" t="s">
        <v>40</v>
      </c>
      <c r="L234" s="10">
        <v>15</v>
      </c>
      <c r="M234" s="10">
        <f t="shared" si="19"/>
        <v>15</v>
      </c>
      <c r="N234" s="10">
        <v>15</v>
      </c>
      <c r="O234" s="12">
        <v>1</v>
      </c>
      <c r="P234" s="11">
        <v>8160</v>
      </c>
      <c r="Q234" s="10" t="s">
        <v>36</v>
      </c>
      <c r="R234" s="4" t="s">
        <v>1293</v>
      </c>
      <c r="S234" s="4" t="s">
        <v>1383</v>
      </c>
      <c r="T234" s="4" t="s">
        <v>19</v>
      </c>
      <c r="U234" s="4" t="str">
        <f t="shared" si="18"/>
        <v>NOT AN ADD-ON</v>
      </c>
      <c r="V234" s="4" t="str">
        <f t="shared" si="17"/>
        <v>HEALTH SAFETY AND ENVIRONMENT MANAGERHSEAUTHORIZEDNOT AN ADD-ON</v>
      </c>
    </row>
    <row r="235" spans="1:22" ht="27" thickBot="1">
      <c r="A235" s="10" t="s">
        <v>21</v>
      </c>
      <c r="B235" s="10" t="s">
        <v>22</v>
      </c>
      <c r="C235" s="10" t="s">
        <v>986</v>
      </c>
      <c r="D235" s="10" t="s">
        <v>141</v>
      </c>
      <c r="E235" s="10" t="s">
        <v>142</v>
      </c>
      <c r="F235" s="10" t="s">
        <v>143</v>
      </c>
      <c r="G235" s="11">
        <v>1760</v>
      </c>
      <c r="H235" s="163" t="s">
        <v>1013</v>
      </c>
      <c r="I235" s="166" t="s">
        <v>1014</v>
      </c>
      <c r="J235" s="163" t="s">
        <v>989</v>
      </c>
      <c r="K235" s="10" t="s">
        <v>40</v>
      </c>
      <c r="L235" s="10">
        <v>15</v>
      </c>
      <c r="M235" s="10">
        <f t="shared" si="19"/>
        <v>15</v>
      </c>
      <c r="N235" s="10">
        <v>15</v>
      </c>
      <c r="O235" s="12">
        <v>1</v>
      </c>
      <c r="P235" s="11">
        <v>8160</v>
      </c>
      <c r="Q235" s="10" t="s">
        <v>48</v>
      </c>
      <c r="R235" s="4" t="s">
        <v>1293</v>
      </c>
      <c r="S235" s="4" t="s">
        <v>1383</v>
      </c>
      <c r="T235" s="4" t="s">
        <v>19</v>
      </c>
      <c r="U235" s="4" t="str">
        <f t="shared" si="18"/>
        <v>NOT AN ADD-ON</v>
      </c>
      <c r="V235" s="4" t="str">
        <f t="shared" si="17"/>
        <v>HEALTH SAFETY AND ENVIRONMENT MANAGERHSEAUTHORIZEDNOT AN ADD-ON</v>
      </c>
    </row>
    <row r="236" spans="1:22" ht="15" thickBot="1">
      <c r="A236" s="10" t="s">
        <v>21</v>
      </c>
      <c r="B236" s="10" t="s">
        <v>22</v>
      </c>
      <c r="C236" s="10" t="s">
        <v>986</v>
      </c>
      <c r="D236" s="10" t="s">
        <v>141</v>
      </c>
      <c r="E236" s="10" t="s">
        <v>142</v>
      </c>
      <c r="F236" s="10" t="s">
        <v>143</v>
      </c>
      <c r="G236" s="11">
        <v>8160</v>
      </c>
      <c r="H236" s="163" t="s">
        <v>1007</v>
      </c>
      <c r="I236" s="158" t="s">
        <v>1010</v>
      </c>
      <c r="J236" s="163" t="s">
        <v>1007</v>
      </c>
      <c r="K236" s="10" t="s">
        <v>40</v>
      </c>
      <c r="L236" s="10">
        <v>15</v>
      </c>
      <c r="M236" s="10">
        <f t="shared" si="19"/>
        <v>15</v>
      </c>
      <c r="N236" s="10">
        <v>15</v>
      </c>
      <c r="O236" s="12">
        <v>1</v>
      </c>
      <c r="P236" s="11">
        <v>8160</v>
      </c>
      <c r="Q236" s="10" t="s">
        <v>33</v>
      </c>
      <c r="R236" s="4" t="s">
        <v>1293</v>
      </c>
      <c r="S236" s="4" t="s">
        <v>1383</v>
      </c>
      <c r="T236" s="4" t="s">
        <v>19</v>
      </c>
      <c r="U236" s="4" t="str">
        <f t="shared" si="18"/>
        <v>NOT AN ADD-ON</v>
      </c>
      <c r="V236" s="4" t="str">
        <f t="shared" si="17"/>
        <v>HEALTH SAFETY AND ENVIRONMENT MANAGERHSEAUTHORIZEDNOT AN ADD-ON</v>
      </c>
    </row>
    <row r="237" spans="1:22" ht="29.25" customHeight="1" thickBot="1">
      <c r="A237" s="10" t="s">
        <v>21</v>
      </c>
      <c r="B237" s="10" t="s">
        <v>22</v>
      </c>
      <c r="C237" s="10" t="s">
        <v>986</v>
      </c>
      <c r="D237" s="10" t="s">
        <v>141</v>
      </c>
      <c r="E237" s="10" t="s">
        <v>142</v>
      </c>
      <c r="F237" s="10" t="s">
        <v>143</v>
      </c>
      <c r="G237" s="11">
        <v>4890</v>
      </c>
      <c r="H237" s="163" t="s">
        <v>1011</v>
      </c>
      <c r="I237" s="166" t="s">
        <v>1012</v>
      </c>
      <c r="J237" s="163" t="s">
        <v>1007</v>
      </c>
      <c r="K237" s="10" t="s">
        <v>40</v>
      </c>
      <c r="L237" s="10">
        <v>15</v>
      </c>
      <c r="M237" s="10">
        <f t="shared" si="19"/>
        <v>15</v>
      </c>
      <c r="N237" s="10">
        <v>15</v>
      </c>
      <c r="O237" s="12">
        <v>1</v>
      </c>
      <c r="P237" s="11">
        <v>8160</v>
      </c>
      <c r="Q237" s="10" t="s">
        <v>36</v>
      </c>
      <c r="R237" s="4" t="s">
        <v>1293</v>
      </c>
      <c r="S237" s="4" t="s">
        <v>1383</v>
      </c>
      <c r="T237" s="4" t="s">
        <v>19</v>
      </c>
      <c r="U237" s="4" t="str">
        <f t="shared" ref="U237:U246" si="20">IF(ISNUMBER(SEARCH("ADD-ON",$I237)),"ADD-ON","NOT AN ADD-ON")</f>
        <v>NOT AN ADD-ON</v>
      </c>
      <c r="V237" s="4" t="str">
        <f t="shared" si="17"/>
        <v>HEALTH SAFETY AND ENVIRONMENT MANAGERHSEAUTHORIZEDNOT AN ADD-ON</v>
      </c>
    </row>
    <row r="238" spans="1:22" ht="27" thickBot="1">
      <c r="A238" s="10" t="s">
        <v>21</v>
      </c>
      <c r="B238" s="10" t="s">
        <v>22</v>
      </c>
      <c r="C238" s="10" t="s">
        <v>986</v>
      </c>
      <c r="D238" s="10" t="s">
        <v>141</v>
      </c>
      <c r="E238" s="10" t="s">
        <v>142</v>
      </c>
      <c r="F238" s="10" t="s">
        <v>143</v>
      </c>
      <c r="G238" s="11">
        <v>1760</v>
      </c>
      <c r="H238" s="163" t="s">
        <v>1005</v>
      </c>
      <c r="I238" s="166" t="s">
        <v>1006</v>
      </c>
      <c r="J238" s="163" t="s">
        <v>1007</v>
      </c>
      <c r="K238" s="10" t="s">
        <v>40</v>
      </c>
      <c r="L238" s="10">
        <v>15</v>
      </c>
      <c r="M238" s="10">
        <f t="shared" si="19"/>
        <v>15</v>
      </c>
      <c r="N238" s="10">
        <v>15</v>
      </c>
      <c r="O238" s="12">
        <v>1</v>
      </c>
      <c r="P238" s="11">
        <v>8160</v>
      </c>
      <c r="Q238" s="10" t="s">
        <v>48</v>
      </c>
      <c r="R238" s="4" t="s">
        <v>1293</v>
      </c>
      <c r="S238" s="4" t="s">
        <v>1383</v>
      </c>
      <c r="T238" s="4" t="s">
        <v>19</v>
      </c>
      <c r="U238" s="4" t="str">
        <f t="shared" si="20"/>
        <v>NOT AN ADD-ON</v>
      </c>
      <c r="V238" s="4" t="str">
        <f t="shared" si="17"/>
        <v>HEALTH SAFETY AND ENVIRONMENT MANAGERHSEAUTHORIZEDNOT AN ADD-ON</v>
      </c>
    </row>
    <row r="239" spans="1:22" ht="15" thickBot="1">
      <c r="A239" s="10" t="s">
        <v>21</v>
      </c>
      <c r="B239" s="10" t="s">
        <v>22</v>
      </c>
      <c r="C239" s="10" t="s">
        <v>686</v>
      </c>
      <c r="D239" s="10" t="s">
        <v>687</v>
      </c>
      <c r="E239" s="10" t="s">
        <v>688</v>
      </c>
      <c r="F239" s="10" t="s">
        <v>689</v>
      </c>
      <c r="G239" s="11">
        <v>23400</v>
      </c>
      <c r="H239" s="163" t="s">
        <v>726</v>
      </c>
      <c r="I239" s="158" t="s">
        <v>727</v>
      </c>
      <c r="J239" s="163" t="s">
        <v>726</v>
      </c>
      <c r="K239" s="10" t="s">
        <v>40</v>
      </c>
      <c r="L239" s="10">
        <v>15</v>
      </c>
      <c r="M239" s="10">
        <f t="shared" si="19"/>
        <v>15</v>
      </c>
      <c r="N239" s="10">
        <v>15</v>
      </c>
      <c r="O239" s="12">
        <v>1</v>
      </c>
      <c r="P239" s="11">
        <v>23400</v>
      </c>
      <c r="Q239" s="10" t="s">
        <v>33</v>
      </c>
      <c r="R239" s="4" t="s">
        <v>1282</v>
      </c>
      <c r="S239" s="4" t="s">
        <v>1279</v>
      </c>
      <c r="T239" s="4" t="s">
        <v>19</v>
      </c>
      <c r="U239" s="4" t="str">
        <f t="shared" si="20"/>
        <v>NOT AN ADD-ON</v>
      </c>
      <c r="V239" s="4" t="str">
        <f t="shared" si="17"/>
        <v>OIL AND GASINDUSTRY SOLUTIONAUTHORIZEDNOT AN ADD-ON</v>
      </c>
    </row>
    <row r="240" spans="1:22" ht="29.25" customHeight="1" thickBot="1">
      <c r="A240" s="10" t="s">
        <v>21</v>
      </c>
      <c r="B240" s="10" t="s">
        <v>22</v>
      </c>
      <c r="C240" s="10" t="s">
        <v>686</v>
      </c>
      <c r="D240" s="10" t="s">
        <v>687</v>
      </c>
      <c r="E240" s="10" t="s">
        <v>688</v>
      </c>
      <c r="F240" s="10" t="s">
        <v>689</v>
      </c>
      <c r="G240" s="11">
        <v>14000</v>
      </c>
      <c r="H240" s="163" t="s">
        <v>728</v>
      </c>
      <c r="I240" s="158" t="s">
        <v>729</v>
      </c>
      <c r="J240" s="163" t="s">
        <v>726</v>
      </c>
      <c r="K240" s="10" t="s">
        <v>40</v>
      </c>
      <c r="L240" s="10">
        <v>15</v>
      </c>
      <c r="M240" s="10">
        <f t="shared" si="19"/>
        <v>15</v>
      </c>
      <c r="N240" s="10">
        <v>15</v>
      </c>
      <c r="O240" s="12">
        <v>1</v>
      </c>
      <c r="P240" s="11">
        <v>23400</v>
      </c>
      <c r="Q240" s="10" t="s">
        <v>36</v>
      </c>
      <c r="R240" s="4" t="s">
        <v>1282</v>
      </c>
      <c r="S240" s="4" t="s">
        <v>1279</v>
      </c>
      <c r="T240" s="4" t="s">
        <v>19</v>
      </c>
      <c r="U240" s="4" t="str">
        <f t="shared" si="20"/>
        <v>NOT AN ADD-ON</v>
      </c>
      <c r="V240" s="4" t="str">
        <f t="shared" si="17"/>
        <v>OIL AND GASINDUSTRY SOLUTIONAUTHORIZEDNOT AN ADD-ON</v>
      </c>
    </row>
    <row r="241" spans="1:22" ht="15" thickBot="1">
      <c r="A241" s="10" t="s">
        <v>21</v>
      </c>
      <c r="B241" s="10" t="s">
        <v>22</v>
      </c>
      <c r="C241" s="10" t="s">
        <v>686</v>
      </c>
      <c r="D241" s="10" t="s">
        <v>687</v>
      </c>
      <c r="E241" s="10" t="s">
        <v>688</v>
      </c>
      <c r="F241" s="10" t="s">
        <v>689</v>
      </c>
      <c r="G241" s="11">
        <v>8260</v>
      </c>
      <c r="H241" s="163" t="s">
        <v>742</v>
      </c>
      <c r="I241" s="166" t="s">
        <v>743</v>
      </c>
      <c r="J241" s="163" t="s">
        <v>726</v>
      </c>
      <c r="K241" s="10" t="s">
        <v>40</v>
      </c>
      <c r="L241" s="10">
        <v>15</v>
      </c>
      <c r="M241" s="10">
        <f t="shared" ref="M241:M272" si="21">ROUND(IF(K241="Authorized User",L241/3,L241),2)</f>
        <v>15</v>
      </c>
      <c r="N241" s="10">
        <v>15</v>
      </c>
      <c r="O241" s="12">
        <v>1</v>
      </c>
      <c r="P241" s="11">
        <v>23400</v>
      </c>
      <c r="Q241" s="10" t="s">
        <v>48</v>
      </c>
      <c r="R241" s="4" t="s">
        <v>1282</v>
      </c>
      <c r="S241" s="4" t="s">
        <v>1279</v>
      </c>
      <c r="T241" s="4" t="s">
        <v>19</v>
      </c>
      <c r="U241" s="4" t="str">
        <f t="shared" si="20"/>
        <v>NOT AN ADD-ON</v>
      </c>
      <c r="V241" s="4" t="str">
        <f t="shared" si="17"/>
        <v>OIL AND GASINDUSTRY SOLUTIONAUTHORIZEDNOT AN ADD-ON</v>
      </c>
    </row>
    <row r="242" spans="1:22" ht="29.25" customHeight="1" thickBot="1">
      <c r="A242" s="10" t="s">
        <v>21</v>
      </c>
      <c r="B242" s="10" t="s">
        <v>22</v>
      </c>
      <c r="C242" s="10" t="s">
        <v>686</v>
      </c>
      <c r="D242" s="10" t="s">
        <v>687</v>
      </c>
      <c r="E242" s="10" t="s">
        <v>688</v>
      </c>
      <c r="F242" s="10" t="s">
        <v>689</v>
      </c>
      <c r="G242" s="11">
        <v>5030</v>
      </c>
      <c r="H242" s="163" t="s">
        <v>740</v>
      </c>
      <c r="I242" s="166" t="s">
        <v>741</v>
      </c>
      <c r="J242" s="163" t="s">
        <v>726</v>
      </c>
      <c r="K242" s="10" t="s">
        <v>40</v>
      </c>
      <c r="L242" s="10">
        <v>15</v>
      </c>
      <c r="M242" s="10">
        <f t="shared" si="21"/>
        <v>15</v>
      </c>
      <c r="N242" s="10">
        <v>15</v>
      </c>
      <c r="O242" s="12">
        <v>1</v>
      </c>
      <c r="P242" s="11">
        <v>23400</v>
      </c>
      <c r="Q242" s="10" t="s">
        <v>48</v>
      </c>
      <c r="R242" s="4" t="s">
        <v>1282</v>
      </c>
      <c r="S242" s="4" t="s">
        <v>1279</v>
      </c>
      <c r="T242" s="4" t="s">
        <v>19</v>
      </c>
      <c r="U242" s="4" t="str">
        <f t="shared" si="20"/>
        <v>NOT AN ADD-ON</v>
      </c>
      <c r="V242" s="4" t="str">
        <f t="shared" si="17"/>
        <v>OIL AND GASINDUSTRY SOLUTIONAUTHORIZEDNOT AN ADD-ON</v>
      </c>
    </row>
    <row r="243" spans="1:22" ht="15" thickBot="1">
      <c r="A243" s="10" t="s">
        <v>21</v>
      </c>
      <c r="B243" s="10" t="s">
        <v>22</v>
      </c>
      <c r="C243" s="10" t="s">
        <v>686</v>
      </c>
      <c r="D243" s="10" t="s">
        <v>687</v>
      </c>
      <c r="E243" s="10" t="s">
        <v>688</v>
      </c>
      <c r="F243" s="10" t="s">
        <v>689</v>
      </c>
      <c r="G243" s="11">
        <v>23400</v>
      </c>
      <c r="H243" s="163" t="s">
        <v>732</v>
      </c>
      <c r="I243" s="158" t="s">
        <v>737</v>
      </c>
      <c r="J243" s="163" t="s">
        <v>732</v>
      </c>
      <c r="K243" s="10" t="s">
        <v>40</v>
      </c>
      <c r="L243" s="10">
        <v>15</v>
      </c>
      <c r="M243" s="10">
        <f t="shared" si="21"/>
        <v>15</v>
      </c>
      <c r="N243" s="10">
        <v>15</v>
      </c>
      <c r="O243" s="12">
        <v>1</v>
      </c>
      <c r="P243" s="11">
        <v>23400</v>
      </c>
      <c r="Q243" s="10" t="s">
        <v>33</v>
      </c>
      <c r="R243" s="4" t="s">
        <v>1282</v>
      </c>
      <c r="S243" s="4" t="s">
        <v>1279</v>
      </c>
      <c r="T243" s="4" t="s">
        <v>19</v>
      </c>
      <c r="U243" s="4" t="str">
        <f t="shared" si="20"/>
        <v>NOT AN ADD-ON</v>
      </c>
      <c r="V243" s="4" t="str">
        <f t="shared" si="17"/>
        <v>OIL AND GASINDUSTRY SOLUTIONAUTHORIZEDNOT AN ADD-ON</v>
      </c>
    </row>
    <row r="244" spans="1:22" ht="15" thickBot="1">
      <c r="A244" s="10" t="s">
        <v>21</v>
      </c>
      <c r="B244" s="10" t="s">
        <v>22</v>
      </c>
      <c r="C244" s="10" t="s">
        <v>686</v>
      </c>
      <c r="D244" s="10" t="s">
        <v>687</v>
      </c>
      <c r="E244" s="10" t="s">
        <v>688</v>
      </c>
      <c r="F244" s="10" t="s">
        <v>689</v>
      </c>
      <c r="G244" s="11">
        <v>14000</v>
      </c>
      <c r="H244" s="163" t="s">
        <v>738</v>
      </c>
      <c r="I244" s="158" t="s">
        <v>739</v>
      </c>
      <c r="J244" s="163" t="s">
        <v>732</v>
      </c>
      <c r="K244" s="10" t="s">
        <v>40</v>
      </c>
      <c r="L244" s="10">
        <v>15</v>
      </c>
      <c r="M244" s="10">
        <f t="shared" si="21"/>
        <v>15</v>
      </c>
      <c r="N244" s="10">
        <v>15</v>
      </c>
      <c r="O244" s="12">
        <v>1</v>
      </c>
      <c r="P244" s="11">
        <v>23400</v>
      </c>
      <c r="Q244" s="10" t="s">
        <v>36</v>
      </c>
      <c r="R244" s="4" t="s">
        <v>1282</v>
      </c>
      <c r="S244" s="4" t="s">
        <v>1279</v>
      </c>
      <c r="T244" s="4" t="s">
        <v>19</v>
      </c>
      <c r="U244" s="4" t="str">
        <f t="shared" si="20"/>
        <v>NOT AN ADD-ON</v>
      </c>
      <c r="V244" s="4" t="str">
        <f t="shared" si="17"/>
        <v>OIL AND GASINDUSTRY SOLUTIONAUTHORIZEDNOT AN ADD-ON</v>
      </c>
    </row>
    <row r="245" spans="1:22" ht="15" thickBot="1">
      <c r="A245" s="10" t="s">
        <v>21</v>
      </c>
      <c r="B245" s="10" t="s">
        <v>22</v>
      </c>
      <c r="C245" s="10" t="s">
        <v>686</v>
      </c>
      <c r="D245" s="10" t="s">
        <v>687</v>
      </c>
      <c r="E245" s="10" t="s">
        <v>688</v>
      </c>
      <c r="F245" s="10" t="s">
        <v>689</v>
      </c>
      <c r="G245" s="11">
        <v>8260</v>
      </c>
      <c r="H245" s="163" t="s">
        <v>733</v>
      </c>
      <c r="I245" s="166" t="s">
        <v>734</v>
      </c>
      <c r="J245" s="163" t="s">
        <v>732</v>
      </c>
      <c r="K245" s="10" t="s">
        <v>40</v>
      </c>
      <c r="L245" s="10">
        <v>15</v>
      </c>
      <c r="M245" s="10">
        <f t="shared" si="21"/>
        <v>15</v>
      </c>
      <c r="N245" s="10">
        <v>15</v>
      </c>
      <c r="O245" s="12">
        <v>1</v>
      </c>
      <c r="P245" s="11">
        <v>23400</v>
      </c>
      <c r="Q245" s="10" t="s">
        <v>48</v>
      </c>
      <c r="R245" s="4" t="s">
        <v>1282</v>
      </c>
      <c r="S245" s="4" t="s">
        <v>1279</v>
      </c>
      <c r="T245" s="4" t="s">
        <v>19</v>
      </c>
      <c r="U245" s="4" t="str">
        <f t="shared" si="20"/>
        <v>NOT AN ADD-ON</v>
      </c>
      <c r="V245" s="4" t="str">
        <f t="shared" si="17"/>
        <v>OIL AND GASINDUSTRY SOLUTIONAUTHORIZEDNOT AN ADD-ON</v>
      </c>
    </row>
    <row r="246" spans="1:22" ht="15" thickBot="1">
      <c r="A246" s="10" t="s">
        <v>21</v>
      </c>
      <c r="B246" s="10" t="s">
        <v>22</v>
      </c>
      <c r="C246" s="10" t="s">
        <v>686</v>
      </c>
      <c r="D246" s="10" t="s">
        <v>687</v>
      </c>
      <c r="E246" s="10" t="s">
        <v>688</v>
      </c>
      <c r="F246" s="10" t="s">
        <v>689</v>
      </c>
      <c r="G246" s="11">
        <v>5030</v>
      </c>
      <c r="H246" s="163" t="s">
        <v>730</v>
      </c>
      <c r="I246" s="166" t="s">
        <v>731</v>
      </c>
      <c r="J246" s="163" t="s">
        <v>732</v>
      </c>
      <c r="K246" s="10" t="s">
        <v>40</v>
      </c>
      <c r="L246" s="10">
        <v>15</v>
      </c>
      <c r="M246" s="10">
        <f t="shared" si="21"/>
        <v>15</v>
      </c>
      <c r="N246" s="10">
        <v>15</v>
      </c>
      <c r="O246" s="12">
        <v>1</v>
      </c>
      <c r="P246" s="11">
        <v>23400</v>
      </c>
      <c r="Q246" s="10" t="s">
        <v>48</v>
      </c>
      <c r="R246" s="4" t="s">
        <v>1282</v>
      </c>
      <c r="S246" s="4" t="s">
        <v>1279</v>
      </c>
      <c r="T246" s="4" t="s">
        <v>19</v>
      </c>
      <c r="U246" s="4" t="str">
        <f t="shared" si="20"/>
        <v>NOT AN ADD-ON</v>
      </c>
      <c r="V246" s="4" t="str">
        <f t="shared" si="17"/>
        <v>OIL AND GASINDUSTRY SOLUTIONAUTHORIZEDNOT AN ADD-ON</v>
      </c>
    </row>
    <row r="247" spans="1:22" ht="15" thickBot="1">
      <c r="A247" s="10" t="s">
        <v>21</v>
      </c>
      <c r="B247" s="10" t="s">
        <v>22</v>
      </c>
      <c r="C247" s="10" t="s">
        <v>686</v>
      </c>
      <c r="D247" s="10" t="s">
        <v>687</v>
      </c>
      <c r="E247" s="10" t="s">
        <v>688</v>
      </c>
      <c r="F247" s="10" t="s">
        <v>689</v>
      </c>
      <c r="G247" s="11">
        <v>6570</v>
      </c>
      <c r="H247" s="163" t="s">
        <v>698</v>
      </c>
      <c r="I247" s="158" t="s">
        <v>699</v>
      </c>
      <c r="J247" s="163" t="s">
        <v>698</v>
      </c>
      <c r="K247" s="10" t="s">
        <v>40</v>
      </c>
      <c r="L247" s="10">
        <v>5</v>
      </c>
      <c r="M247" s="10">
        <f t="shared" si="21"/>
        <v>5</v>
      </c>
      <c r="N247" s="10">
        <v>15</v>
      </c>
      <c r="O247" s="12">
        <v>1</v>
      </c>
      <c r="P247" s="11">
        <v>6570</v>
      </c>
      <c r="Q247" s="10" t="s">
        <v>33</v>
      </c>
      <c r="R247" s="4" t="s">
        <v>1282</v>
      </c>
      <c r="S247" s="4" t="s">
        <v>1279</v>
      </c>
      <c r="T247" s="4" t="s">
        <v>19</v>
      </c>
      <c r="U247" s="4" t="s">
        <v>507</v>
      </c>
      <c r="V247" s="4" t="str">
        <f t="shared" si="17"/>
        <v>OIL AND GASINDUSTRY SOLUTIONAUTHORIZEDADD-ON</v>
      </c>
    </row>
    <row r="248" spans="1:22" ht="15" thickBot="1">
      <c r="A248" s="10" t="s">
        <v>21</v>
      </c>
      <c r="B248" s="10" t="s">
        <v>22</v>
      </c>
      <c r="C248" s="10" t="s">
        <v>686</v>
      </c>
      <c r="D248" s="10" t="s">
        <v>687</v>
      </c>
      <c r="E248" s="10" t="s">
        <v>688</v>
      </c>
      <c r="F248" s="10" t="s">
        <v>689</v>
      </c>
      <c r="G248" s="11">
        <v>3940</v>
      </c>
      <c r="H248" s="163" t="s">
        <v>700</v>
      </c>
      <c r="I248" s="158" t="s">
        <v>701</v>
      </c>
      <c r="J248" s="163" t="s">
        <v>698</v>
      </c>
      <c r="K248" s="10" t="s">
        <v>40</v>
      </c>
      <c r="L248" s="10">
        <v>5</v>
      </c>
      <c r="M248" s="10">
        <f t="shared" si="21"/>
        <v>5</v>
      </c>
      <c r="N248" s="10">
        <v>15</v>
      </c>
      <c r="O248" s="12">
        <v>1</v>
      </c>
      <c r="P248" s="11">
        <v>6570</v>
      </c>
      <c r="Q248" s="10" t="s">
        <v>36</v>
      </c>
      <c r="R248" s="4" t="s">
        <v>1282</v>
      </c>
      <c r="S248" s="4" t="s">
        <v>1279</v>
      </c>
      <c r="T248" s="4" t="s">
        <v>19</v>
      </c>
      <c r="U248" s="4" t="s">
        <v>507</v>
      </c>
      <c r="V248" s="4" t="str">
        <f t="shared" si="17"/>
        <v>OIL AND GASINDUSTRY SOLUTIONAUTHORIZEDADD-ON</v>
      </c>
    </row>
    <row r="249" spans="1:22" ht="15" thickBot="1">
      <c r="A249" s="10" t="s">
        <v>21</v>
      </c>
      <c r="B249" s="10" t="s">
        <v>22</v>
      </c>
      <c r="C249" s="10" t="s">
        <v>686</v>
      </c>
      <c r="D249" s="10" t="s">
        <v>687</v>
      </c>
      <c r="E249" s="10" t="s">
        <v>688</v>
      </c>
      <c r="F249" s="10" t="s">
        <v>689</v>
      </c>
      <c r="G249" s="11">
        <v>1410</v>
      </c>
      <c r="H249" s="163" t="s">
        <v>710</v>
      </c>
      <c r="I249" s="166" t="s">
        <v>711</v>
      </c>
      <c r="J249" s="163" t="s">
        <v>698</v>
      </c>
      <c r="K249" s="10" t="s">
        <v>40</v>
      </c>
      <c r="L249" s="10">
        <v>5</v>
      </c>
      <c r="M249" s="10">
        <f t="shared" si="21"/>
        <v>5</v>
      </c>
      <c r="N249" s="10">
        <v>15</v>
      </c>
      <c r="O249" s="12">
        <v>5</v>
      </c>
      <c r="P249" s="11">
        <v>6570</v>
      </c>
      <c r="Q249" s="10" t="s">
        <v>48</v>
      </c>
      <c r="R249" s="4" t="s">
        <v>1282</v>
      </c>
      <c r="S249" s="4" t="s">
        <v>1279</v>
      </c>
      <c r="T249" s="4" t="s">
        <v>19</v>
      </c>
      <c r="U249" s="4" t="s">
        <v>507</v>
      </c>
      <c r="V249" s="4" t="str">
        <f t="shared" si="17"/>
        <v>OIL AND GASINDUSTRY SOLUTIONAUTHORIZEDADD-ON</v>
      </c>
    </row>
    <row r="250" spans="1:22" ht="15" thickBot="1">
      <c r="A250" s="10" t="s">
        <v>21</v>
      </c>
      <c r="B250" s="10" t="s">
        <v>22</v>
      </c>
      <c r="C250" s="10" t="s">
        <v>686</v>
      </c>
      <c r="D250" s="10" t="s">
        <v>687</v>
      </c>
      <c r="E250" s="10" t="s">
        <v>688</v>
      </c>
      <c r="F250" s="10" t="s">
        <v>689</v>
      </c>
      <c r="G250" s="11">
        <v>6570</v>
      </c>
      <c r="H250" s="163" t="s">
        <v>704</v>
      </c>
      <c r="I250" s="158" t="s">
        <v>707</v>
      </c>
      <c r="J250" s="163" t="s">
        <v>704</v>
      </c>
      <c r="K250" s="10" t="s">
        <v>40</v>
      </c>
      <c r="L250" s="10">
        <v>5</v>
      </c>
      <c r="M250" s="10">
        <f t="shared" si="21"/>
        <v>5</v>
      </c>
      <c r="N250" s="10">
        <v>15</v>
      </c>
      <c r="O250" s="12">
        <v>1</v>
      </c>
      <c r="P250" s="11">
        <v>6570</v>
      </c>
      <c r="Q250" s="10" t="s">
        <v>33</v>
      </c>
      <c r="R250" s="4" t="s">
        <v>1282</v>
      </c>
      <c r="S250" s="4" t="s">
        <v>1279</v>
      </c>
      <c r="T250" s="4" t="s">
        <v>19</v>
      </c>
      <c r="U250" s="4" t="str">
        <f t="shared" ref="U250:U260" si="22">IF(ISNUMBER(SEARCH("ADD-ON",$I250)),"ADD-ON","NOT AN ADD-ON")</f>
        <v>ADD-ON</v>
      </c>
      <c r="V250" s="4" t="str">
        <f t="shared" si="17"/>
        <v>OIL AND GASINDUSTRY SOLUTIONAUTHORIZEDADD-ON</v>
      </c>
    </row>
    <row r="251" spans="1:22" ht="29.25" customHeight="1" thickBot="1">
      <c r="A251" s="10" t="s">
        <v>21</v>
      </c>
      <c r="B251" s="10" t="s">
        <v>22</v>
      </c>
      <c r="C251" s="10" t="s">
        <v>686</v>
      </c>
      <c r="D251" s="10" t="s">
        <v>687</v>
      </c>
      <c r="E251" s="10" t="s">
        <v>688</v>
      </c>
      <c r="F251" s="10" t="s">
        <v>689</v>
      </c>
      <c r="G251" s="11">
        <v>3940</v>
      </c>
      <c r="H251" s="163" t="s">
        <v>708</v>
      </c>
      <c r="I251" s="158" t="s">
        <v>709</v>
      </c>
      <c r="J251" s="163" t="s">
        <v>704</v>
      </c>
      <c r="K251" s="10" t="s">
        <v>40</v>
      </c>
      <c r="L251" s="10">
        <v>5</v>
      </c>
      <c r="M251" s="10">
        <f t="shared" si="21"/>
        <v>5</v>
      </c>
      <c r="N251" s="10">
        <v>15</v>
      </c>
      <c r="O251" s="12">
        <v>1</v>
      </c>
      <c r="P251" s="11">
        <v>6570</v>
      </c>
      <c r="Q251" s="10" t="s">
        <v>36</v>
      </c>
      <c r="R251" s="4" t="s">
        <v>1282</v>
      </c>
      <c r="S251" s="4" t="s">
        <v>1279</v>
      </c>
      <c r="T251" s="4" t="s">
        <v>19</v>
      </c>
      <c r="U251" s="4" t="str">
        <f t="shared" si="22"/>
        <v>ADD-ON</v>
      </c>
      <c r="V251" s="4" t="str">
        <f t="shared" si="17"/>
        <v>OIL AND GASINDUSTRY SOLUTIONAUTHORIZEDADD-ON</v>
      </c>
    </row>
    <row r="252" spans="1:22" ht="29.25" customHeight="1" thickBot="1">
      <c r="A252" s="10" t="s">
        <v>21</v>
      </c>
      <c r="B252" s="10" t="s">
        <v>22</v>
      </c>
      <c r="C252" s="10" t="s">
        <v>686</v>
      </c>
      <c r="D252" s="10" t="s">
        <v>687</v>
      </c>
      <c r="E252" s="10" t="s">
        <v>688</v>
      </c>
      <c r="F252" s="10" t="s">
        <v>689</v>
      </c>
      <c r="G252" s="11">
        <v>1410</v>
      </c>
      <c r="H252" s="163" t="s">
        <v>702</v>
      </c>
      <c r="I252" s="166" t="s">
        <v>703</v>
      </c>
      <c r="J252" s="163" t="s">
        <v>704</v>
      </c>
      <c r="K252" s="10" t="s">
        <v>40</v>
      </c>
      <c r="L252" s="10">
        <v>5</v>
      </c>
      <c r="M252" s="10">
        <f t="shared" si="21"/>
        <v>5</v>
      </c>
      <c r="N252" s="10">
        <v>15</v>
      </c>
      <c r="O252" s="12">
        <v>1</v>
      </c>
      <c r="P252" s="11">
        <v>6570</v>
      </c>
      <c r="Q252" s="10" t="s">
        <v>48</v>
      </c>
      <c r="R252" s="4" t="s">
        <v>1282</v>
      </c>
      <c r="S252" s="4" t="s">
        <v>1279</v>
      </c>
      <c r="T252" s="4" t="s">
        <v>19</v>
      </c>
      <c r="U252" s="4" t="str">
        <f t="shared" si="22"/>
        <v>ADD-ON</v>
      </c>
      <c r="V252" s="4" t="str">
        <f t="shared" si="17"/>
        <v>OIL AND GASINDUSTRY SOLUTIONAUTHORIZEDADD-ON</v>
      </c>
    </row>
    <row r="253" spans="1:22" ht="29.25" customHeight="1" thickBot="1">
      <c r="A253" s="10" t="s">
        <v>21</v>
      </c>
      <c r="B253" s="10" t="s">
        <v>22</v>
      </c>
      <c r="C253" s="10" t="s">
        <v>870</v>
      </c>
      <c r="D253" s="10" t="s">
        <v>871</v>
      </c>
      <c r="E253" s="10" t="s">
        <v>872</v>
      </c>
      <c r="F253" s="10" t="s">
        <v>873</v>
      </c>
      <c r="G253" s="11">
        <v>23400</v>
      </c>
      <c r="H253" s="163" t="s">
        <v>910</v>
      </c>
      <c r="I253" s="158" t="s">
        <v>911</v>
      </c>
      <c r="J253" s="163" t="s">
        <v>910</v>
      </c>
      <c r="K253" s="10" t="s">
        <v>40</v>
      </c>
      <c r="L253" s="10">
        <v>15</v>
      </c>
      <c r="M253" s="10">
        <f t="shared" si="21"/>
        <v>15</v>
      </c>
      <c r="N253" s="10">
        <v>15</v>
      </c>
      <c r="O253" s="12">
        <v>1</v>
      </c>
      <c r="P253" s="11">
        <v>23400</v>
      </c>
      <c r="Q253" s="10" t="s">
        <v>33</v>
      </c>
      <c r="R253" s="4" t="s">
        <v>1284</v>
      </c>
      <c r="S253" s="4" t="s">
        <v>1279</v>
      </c>
      <c r="T253" s="4" t="s">
        <v>19</v>
      </c>
      <c r="U253" s="4" t="str">
        <f t="shared" si="22"/>
        <v>NOT AN ADD-ON</v>
      </c>
      <c r="V253" s="4" t="str">
        <f t="shared" si="17"/>
        <v>UTILITIESINDUSTRY SOLUTIONAUTHORIZEDNOT AN ADD-ON</v>
      </c>
    </row>
    <row r="254" spans="1:22" ht="29.25" customHeight="1" thickBot="1">
      <c r="A254" s="10" t="s">
        <v>21</v>
      </c>
      <c r="B254" s="10" t="s">
        <v>22</v>
      </c>
      <c r="C254" s="10" t="s">
        <v>870</v>
      </c>
      <c r="D254" s="10" t="s">
        <v>871</v>
      </c>
      <c r="E254" s="10" t="s">
        <v>872</v>
      </c>
      <c r="F254" s="10" t="s">
        <v>873</v>
      </c>
      <c r="G254" s="11">
        <v>14000</v>
      </c>
      <c r="H254" s="163" t="s">
        <v>912</v>
      </c>
      <c r="I254" s="158" t="s">
        <v>913</v>
      </c>
      <c r="J254" s="163" t="s">
        <v>910</v>
      </c>
      <c r="K254" s="10" t="s">
        <v>40</v>
      </c>
      <c r="L254" s="10">
        <v>15</v>
      </c>
      <c r="M254" s="10">
        <f t="shared" si="21"/>
        <v>15</v>
      </c>
      <c r="N254" s="10">
        <v>15</v>
      </c>
      <c r="O254" s="12">
        <v>1</v>
      </c>
      <c r="P254" s="11">
        <v>23400</v>
      </c>
      <c r="Q254" s="10" t="s">
        <v>36</v>
      </c>
      <c r="R254" s="4" t="s">
        <v>1284</v>
      </c>
      <c r="S254" s="4" t="s">
        <v>1279</v>
      </c>
      <c r="T254" s="4" t="s">
        <v>19</v>
      </c>
      <c r="U254" s="4" t="str">
        <f t="shared" si="22"/>
        <v>NOT AN ADD-ON</v>
      </c>
      <c r="V254" s="4" t="str">
        <f t="shared" si="17"/>
        <v>UTILITIESINDUSTRY SOLUTIONAUTHORIZEDNOT AN ADD-ON</v>
      </c>
    </row>
    <row r="255" spans="1:22" ht="15" thickBot="1">
      <c r="A255" s="10" t="s">
        <v>21</v>
      </c>
      <c r="B255" s="10" t="s">
        <v>22</v>
      </c>
      <c r="C255" s="10" t="s">
        <v>870</v>
      </c>
      <c r="D255" s="10" t="s">
        <v>871</v>
      </c>
      <c r="E255" s="10" t="s">
        <v>872</v>
      </c>
      <c r="F255" s="10" t="s">
        <v>873</v>
      </c>
      <c r="G255" s="11">
        <v>8260</v>
      </c>
      <c r="H255" s="163" t="s">
        <v>922</v>
      </c>
      <c r="I255" s="166" t="s">
        <v>923</v>
      </c>
      <c r="J255" s="163" t="s">
        <v>910</v>
      </c>
      <c r="K255" s="10" t="s">
        <v>40</v>
      </c>
      <c r="L255" s="10">
        <v>15</v>
      </c>
      <c r="M255" s="10">
        <f t="shared" si="21"/>
        <v>15</v>
      </c>
      <c r="N255" s="10">
        <v>15</v>
      </c>
      <c r="O255" s="12">
        <v>1</v>
      </c>
      <c r="P255" s="11">
        <v>23400</v>
      </c>
      <c r="Q255" s="10" t="s">
        <v>48</v>
      </c>
      <c r="R255" s="4" t="s">
        <v>1284</v>
      </c>
      <c r="S255" s="4" t="s">
        <v>1279</v>
      </c>
      <c r="T255" s="4" t="s">
        <v>19</v>
      </c>
      <c r="U255" s="4" t="str">
        <f t="shared" si="22"/>
        <v>NOT AN ADD-ON</v>
      </c>
      <c r="V255" s="4" t="str">
        <f t="shared" si="17"/>
        <v>UTILITIESINDUSTRY SOLUTIONAUTHORIZEDNOT AN ADD-ON</v>
      </c>
    </row>
    <row r="256" spans="1:22" ht="15" thickBot="1">
      <c r="A256" s="10" t="s">
        <v>21</v>
      </c>
      <c r="B256" s="10" t="s">
        <v>22</v>
      </c>
      <c r="C256" s="10" t="s">
        <v>870</v>
      </c>
      <c r="D256" s="10" t="s">
        <v>871</v>
      </c>
      <c r="E256" s="10" t="s">
        <v>872</v>
      </c>
      <c r="F256" s="10" t="s">
        <v>873</v>
      </c>
      <c r="G256" s="11">
        <v>5030</v>
      </c>
      <c r="H256" s="163" t="s">
        <v>920</v>
      </c>
      <c r="I256" s="158" t="s">
        <v>921</v>
      </c>
      <c r="J256" s="163" t="s">
        <v>910</v>
      </c>
      <c r="K256" s="10" t="s">
        <v>40</v>
      </c>
      <c r="L256" s="10">
        <v>15</v>
      </c>
      <c r="M256" s="10">
        <f t="shared" si="21"/>
        <v>15</v>
      </c>
      <c r="N256" s="10">
        <v>15</v>
      </c>
      <c r="O256" s="12">
        <v>1</v>
      </c>
      <c r="P256" s="11">
        <v>23400</v>
      </c>
      <c r="Q256" s="10" t="s">
        <v>48</v>
      </c>
      <c r="R256" s="4" t="s">
        <v>1284</v>
      </c>
      <c r="S256" s="4" t="s">
        <v>1279</v>
      </c>
      <c r="T256" s="4" t="s">
        <v>19</v>
      </c>
      <c r="U256" s="4" t="str">
        <f t="shared" si="22"/>
        <v>NOT AN ADD-ON</v>
      </c>
      <c r="V256" s="4" t="str">
        <f t="shared" si="17"/>
        <v>UTILITIESINDUSTRY SOLUTIONAUTHORIZEDNOT AN ADD-ON</v>
      </c>
    </row>
    <row r="257" spans="1:22" ht="15" thickBot="1">
      <c r="A257" s="10" t="s">
        <v>21</v>
      </c>
      <c r="B257" s="10" t="s">
        <v>22</v>
      </c>
      <c r="C257" s="10" t="s">
        <v>870</v>
      </c>
      <c r="D257" s="10" t="s">
        <v>871</v>
      </c>
      <c r="E257" s="10" t="s">
        <v>872</v>
      </c>
      <c r="F257" s="10" t="s">
        <v>873</v>
      </c>
      <c r="G257" s="11">
        <v>23400</v>
      </c>
      <c r="H257" s="163" t="s">
        <v>916</v>
      </c>
      <c r="I257" s="158" t="s">
        <v>917</v>
      </c>
      <c r="J257" s="163" t="s">
        <v>916</v>
      </c>
      <c r="K257" s="10" t="s">
        <v>40</v>
      </c>
      <c r="L257" s="10">
        <v>15</v>
      </c>
      <c r="M257" s="10">
        <f t="shared" si="21"/>
        <v>15</v>
      </c>
      <c r="N257" s="10">
        <v>15</v>
      </c>
      <c r="O257" s="12">
        <v>1</v>
      </c>
      <c r="P257" s="11">
        <v>23400</v>
      </c>
      <c r="Q257" s="10" t="s">
        <v>33</v>
      </c>
      <c r="R257" s="4" t="s">
        <v>1284</v>
      </c>
      <c r="S257" s="4" t="s">
        <v>1279</v>
      </c>
      <c r="T257" s="4" t="s">
        <v>19</v>
      </c>
      <c r="U257" s="4" t="str">
        <f t="shared" si="22"/>
        <v>NOT AN ADD-ON</v>
      </c>
      <c r="V257" s="4" t="str">
        <f t="shared" si="17"/>
        <v>UTILITIESINDUSTRY SOLUTIONAUTHORIZEDNOT AN ADD-ON</v>
      </c>
    </row>
    <row r="258" spans="1:22" ht="29.25" customHeight="1" thickBot="1">
      <c r="A258" s="10" t="s">
        <v>21</v>
      </c>
      <c r="B258" s="10" t="s">
        <v>22</v>
      </c>
      <c r="C258" s="10" t="s">
        <v>870</v>
      </c>
      <c r="D258" s="10" t="s">
        <v>871</v>
      </c>
      <c r="E258" s="10" t="s">
        <v>872</v>
      </c>
      <c r="F258" s="10" t="s">
        <v>873</v>
      </c>
      <c r="G258" s="11">
        <v>14000</v>
      </c>
      <c r="H258" s="163" t="s">
        <v>918</v>
      </c>
      <c r="I258" s="158" t="s">
        <v>919</v>
      </c>
      <c r="J258" s="163" t="s">
        <v>916</v>
      </c>
      <c r="K258" s="10" t="s">
        <v>40</v>
      </c>
      <c r="L258" s="10">
        <v>15</v>
      </c>
      <c r="M258" s="10">
        <f t="shared" si="21"/>
        <v>15</v>
      </c>
      <c r="N258" s="10">
        <v>15</v>
      </c>
      <c r="O258" s="12">
        <v>1</v>
      </c>
      <c r="P258" s="11">
        <v>23400</v>
      </c>
      <c r="Q258" s="10" t="s">
        <v>36</v>
      </c>
      <c r="R258" s="4" t="s">
        <v>1284</v>
      </c>
      <c r="S258" s="4" t="s">
        <v>1279</v>
      </c>
      <c r="T258" s="4" t="s">
        <v>19</v>
      </c>
      <c r="U258" s="4" t="str">
        <f t="shared" si="22"/>
        <v>NOT AN ADD-ON</v>
      </c>
      <c r="V258" s="4" t="str">
        <f t="shared" si="17"/>
        <v>UTILITIESINDUSTRY SOLUTIONAUTHORIZEDNOT AN ADD-ON</v>
      </c>
    </row>
    <row r="259" spans="1:22" ht="15" thickBot="1">
      <c r="A259" s="10" t="s">
        <v>21</v>
      </c>
      <c r="B259" s="10" t="s">
        <v>22</v>
      </c>
      <c r="C259" s="10" t="s">
        <v>870</v>
      </c>
      <c r="D259" s="10" t="s">
        <v>871</v>
      </c>
      <c r="E259" s="10" t="s">
        <v>872</v>
      </c>
      <c r="F259" s="10" t="s">
        <v>873</v>
      </c>
      <c r="G259" s="11">
        <v>8260</v>
      </c>
      <c r="H259" s="163" t="s">
        <v>960</v>
      </c>
      <c r="I259" s="166" t="s">
        <v>961</v>
      </c>
      <c r="J259" s="163" t="s">
        <v>916</v>
      </c>
      <c r="K259" s="10" t="s">
        <v>40</v>
      </c>
      <c r="L259" s="10">
        <v>15</v>
      </c>
      <c r="M259" s="10">
        <f t="shared" si="21"/>
        <v>15</v>
      </c>
      <c r="N259" s="10">
        <v>15</v>
      </c>
      <c r="O259" s="12">
        <v>1</v>
      </c>
      <c r="P259" s="11">
        <v>23400</v>
      </c>
      <c r="Q259" s="10" t="s">
        <v>48</v>
      </c>
      <c r="R259" s="4" t="s">
        <v>1284</v>
      </c>
      <c r="S259" s="4" t="s">
        <v>1279</v>
      </c>
      <c r="T259" s="4" t="s">
        <v>19</v>
      </c>
      <c r="U259" s="4" t="str">
        <f t="shared" si="22"/>
        <v>NOT AN ADD-ON</v>
      </c>
      <c r="V259" s="4" t="str">
        <f t="shared" ref="V259:V322" si="23">CONCATENATE(R259,S259,T259,U259)</f>
        <v>UTILITIESINDUSTRY SOLUTIONAUTHORIZEDNOT AN ADD-ON</v>
      </c>
    </row>
    <row r="260" spans="1:22" ht="29.25" customHeight="1" thickBot="1">
      <c r="A260" s="10" t="s">
        <v>21</v>
      </c>
      <c r="B260" s="10" t="s">
        <v>22</v>
      </c>
      <c r="C260" s="10" t="s">
        <v>870</v>
      </c>
      <c r="D260" s="10" t="s">
        <v>871</v>
      </c>
      <c r="E260" s="10" t="s">
        <v>872</v>
      </c>
      <c r="F260" s="10" t="s">
        <v>873</v>
      </c>
      <c r="G260" s="11">
        <v>5030</v>
      </c>
      <c r="H260" s="163" t="s">
        <v>958</v>
      </c>
      <c r="I260" s="166" t="s">
        <v>959</v>
      </c>
      <c r="J260" s="163" t="s">
        <v>916</v>
      </c>
      <c r="K260" s="10" t="s">
        <v>40</v>
      </c>
      <c r="L260" s="10">
        <v>15</v>
      </c>
      <c r="M260" s="10">
        <f t="shared" si="21"/>
        <v>15</v>
      </c>
      <c r="N260" s="10">
        <v>15</v>
      </c>
      <c r="O260" s="12">
        <v>1</v>
      </c>
      <c r="P260" s="11">
        <v>23400</v>
      </c>
      <c r="Q260" s="10" t="s">
        <v>48</v>
      </c>
      <c r="R260" s="4" t="s">
        <v>1284</v>
      </c>
      <c r="S260" s="4" t="s">
        <v>1279</v>
      </c>
      <c r="T260" s="4" t="s">
        <v>19</v>
      </c>
      <c r="U260" s="4" t="str">
        <f t="shared" si="22"/>
        <v>NOT AN ADD-ON</v>
      </c>
      <c r="V260" s="4" t="str">
        <f t="shared" si="23"/>
        <v>UTILITIESINDUSTRY SOLUTIONAUTHORIZEDNOT AN ADD-ON</v>
      </c>
    </row>
    <row r="261" spans="1:22" ht="15" thickBot="1">
      <c r="A261" s="10" t="s">
        <v>21</v>
      </c>
      <c r="B261" s="10" t="s">
        <v>22</v>
      </c>
      <c r="C261" s="10" t="s">
        <v>870</v>
      </c>
      <c r="D261" s="10" t="s">
        <v>871</v>
      </c>
      <c r="E261" s="10" t="s">
        <v>872</v>
      </c>
      <c r="F261" s="10" t="s">
        <v>873</v>
      </c>
      <c r="G261" s="11">
        <v>6570</v>
      </c>
      <c r="H261" s="163" t="s">
        <v>882</v>
      </c>
      <c r="I261" s="158" t="s">
        <v>883</v>
      </c>
      <c r="J261" s="163" t="s">
        <v>882</v>
      </c>
      <c r="K261" s="10" t="s">
        <v>40</v>
      </c>
      <c r="L261" s="10">
        <v>5</v>
      </c>
      <c r="M261" s="10">
        <f t="shared" si="21"/>
        <v>5</v>
      </c>
      <c r="N261" s="10">
        <v>15</v>
      </c>
      <c r="O261" s="12">
        <v>1</v>
      </c>
      <c r="P261" s="11">
        <v>6570</v>
      </c>
      <c r="Q261" s="10" t="s">
        <v>33</v>
      </c>
      <c r="R261" s="4" t="s">
        <v>1284</v>
      </c>
      <c r="S261" s="4" t="s">
        <v>1279</v>
      </c>
      <c r="T261" s="4" t="s">
        <v>19</v>
      </c>
      <c r="U261" s="4" t="s">
        <v>507</v>
      </c>
      <c r="V261" s="4" t="str">
        <f t="shared" si="23"/>
        <v>UTILITIESINDUSTRY SOLUTIONAUTHORIZEDADD-ON</v>
      </c>
    </row>
    <row r="262" spans="1:22" ht="15" thickBot="1">
      <c r="A262" s="10" t="s">
        <v>21</v>
      </c>
      <c r="B262" s="10" t="s">
        <v>22</v>
      </c>
      <c r="C262" s="10" t="s">
        <v>870</v>
      </c>
      <c r="D262" s="10" t="s">
        <v>871</v>
      </c>
      <c r="E262" s="10" t="s">
        <v>872</v>
      </c>
      <c r="F262" s="10" t="s">
        <v>873</v>
      </c>
      <c r="G262" s="11">
        <v>3940</v>
      </c>
      <c r="H262" s="163" t="s">
        <v>884</v>
      </c>
      <c r="I262" s="158" t="s">
        <v>885</v>
      </c>
      <c r="J262" s="163" t="s">
        <v>882</v>
      </c>
      <c r="K262" s="10" t="s">
        <v>40</v>
      </c>
      <c r="L262" s="10">
        <v>5</v>
      </c>
      <c r="M262" s="10">
        <f t="shared" si="21"/>
        <v>5</v>
      </c>
      <c r="N262" s="10">
        <v>15</v>
      </c>
      <c r="O262" s="12">
        <v>1</v>
      </c>
      <c r="P262" s="11">
        <v>6570</v>
      </c>
      <c r="Q262" s="10" t="s">
        <v>36</v>
      </c>
      <c r="R262" s="4" t="s">
        <v>1284</v>
      </c>
      <c r="S262" s="4" t="s">
        <v>1279</v>
      </c>
      <c r="T262" s="4" t="s">
        <v>19</v>
      </c>
      <c r="U262" s="4" t="s">
        <v>507</v>
      </c>
      <c r="V262" s="4" t="str">
        <f t="shared" si="23"/>
        <v>UTILITIESINDUSTRY SOLUTIONAUTHORIZEDADD-ON</v>
      </c>
    </row>
    <row r="263" spans="1:22" ht="15" thickBot="1">
      <c r="A263" s="10" t="s">
        <v>21</v>
      </c>
      <c r="B263" s="10" t="s">
        <v>22</v>
      </c>
      <c r="C263" s="10" t="s">
        <v>870</v>
      </c>
      <c r="D263" s="10" t="s">
        <v>871</v>
      </c>
      <c r="E263" s="10" t="s">
        <v>872</v>
      </c>
      <c r="F263" s="10" t="s">
        <v>873</v>
      </c>
      <c r="G263" s="11">
        <v>1410</v>
      </c>
      <c r="H263" s="163" t="s">
        <v>889</v>
      </c>
      <c r="I263" s="166" t="s">
        <v>890</v>
      </c>
      <c r="J263" s="163" t="s">
        <v>882</v>
      </c>
      <c r="K263" s="10" t="s">
        <v>40</v>
      </c>
      <c r="L263" s="10">
        <v>5</v>
      </c>
      <c r="M263" s="10">
        <f t="shared" si="21"/>
        <v>5</v>
      </c>
      <c r="N263" s="10">
        <v>15</v>
      </c>
      <c r="O263" s="12">
        <v>1</v>
      </c>
      <c r="P263" s="11">
        <v>6570</v>
      </c>
      <c r="Q263" s="10" t="s">
        <v>48</v>
      </c>
      <c r="R263" s="4" t="s">
        <v>1284</v>
      </c>
      <c r="S263" s="4" t="s">
        <v>1279</v>
      </c>
      <c r="T263" s="4" t="s">
        <v>19</v>
      </c>
      <c r="U263" s="4" t="s">
        <v>507</v>
      </c>
      <c r="V263" s="4" t="str">
        <f t="shared" si="23"/>
        <v>UTILITIESINDUSTRY SOLUTIONAUTHORIZEDADD-ON</v>
      </c>
    </row>
    <row r="264" spans="1:22" ht="15" thickBot="1">
      <c r="A264" s="10" t="s">
        <v>21</v>
      </c>
      <c r="B264" s="10" t="s">
        <v>22</v>
      </c>
      <c r="C264" s="10" t="s">
        <v>870</v>
      </c>
      <c r="D264" s="10" t="s">
        <v>871</v>
      </c>
      <c r="E264" s="10" t="s">
        <v>872</v>
      </c>
      <c r="F264" s="10" t="s">
        <v>873</v>
      </c>
      <c r="G264" s="11">
        <v>6570</v>
      </c>
      <c r="H264" s="163" t="s">
        <v>888</v>
      </c>
      <c r="I264" s="158" t="s">
        <v>893</v>
      </c>
      <c r="J264" s="163" t="s">
        <v>888</v>
      </c>
      <c r="K264" s="10" t="s">
        <v>40</v>
      </c>
      <c r="L264" s="10">
        <v>5</v>
      </c>
      <c r="M264" s="10">
        <f t="shared" si="21"/>
        <v>5</v>
      </c>
      <c r="N264" s="10">
        <v>15</v>
      </c>
      <c r="O264" s="12">
        <v>1</v>
      </c>
      <c r="P264" s="11">
        <v>6570</v>
      </c>
      <c r="Q264" s="10" t="s">
        <v>33</v>
      </c>
      <c r="R264" s="4" t="s">
        <v>1284</v>
      </c>
      <c r="S264" s="4" t="s">
        <v>1279</v>
      </c>
      <c r="T264" s="4" t="s">
        <v>19</v>
      </c>
      <c r="U264" s="4" t="str">
        <f>IF(ISNUMBER(SEARCH("ADD-ON",$I264)),"ADD-ON","NOT AN ADD-ON")</f>
        <v>ADD-ON</v>
      </c>
      <c r="V264" s="4" t="str">
        <f t="shared" si="23"/>
        <v>UTILITIESINDUSTRY SOLUTIONAUTHORIZEDADD-ON</v>
      </c>
    </row>
    <row r="265" spans="1:22" ht="29.25" customHeight="1" thickBot="1">
      <c r="A265" s="10" t="s">
        <v>21</v>
      </c>
      <c r="B265" s="10" t="s">
        <v>22</v>
      </c>
      <c r="C265" s="10" t="s">
        <v>870</v>
      </c>
      <c r="D265" s="10" t="s">
        <v>871</v>
      </c>
      <c r="E265" s="10" t="s">
        <v>872</v>
      </c>
      <c r="F265" s="10" t="s">
        <v>873</v>
      </c>
      <c r="G265" s="11">
        <v>3940</v>
      </c>
      <c r="H265" s="163" t="s">
        <v>894</v>
      </c>
      <c r="I265" s="158" t="s">
        <v>895</v>
      </c>
      <c r="J265" s="163" t="s">
        <v>888</v>
      </c>
      <c r="K265" s="10" t="s">
        <v>40</v>
      </c>
      <c r="L265" s="10">
        <v>5</v>
      </c>
      <c r="M265" s="10">
        <f t="shared" si="21"/>
        <v>5</v>
      </c>
      <c r="N265" s="10">
        <v>15</v>
      </c>
      <c r="O265" s="12">
        <v>1</v>
      </c>
      <c r="P265" s="11">
        <v>6570</v>
      </c>
      <c r="Q265" s="10" t="s">
        <v>36</v>
      </c>
      <c r="R265" s="4" t="s">
        <v>1284</v>
      </c>
      <c r="S265" s="4" t="s">
        <v>1279</v>
      </c>
      <c r="T265" s="4" t="s">
        <v>19</v>
      </c>
      <c r="U265" s="4" t="str">
        <f>IF(ISNUMBER(SEARCH("ADD-ON",$I265)),"ADD-ON","NOT AN ADD-ON")</f>
        <v>ADD-ON</v>
      </c>
      <c r="V265" s="4" t="str">
        <f t="shared" si="23"/>
        <v>UTILITIESINDUSTRY SOLUTIONAUTHORIZEDADD-ON</v>
      </c>
    </row>
    <row r="266" spans="1:22" ht="27" thickBot="1">
      <c r="A266" s="10" t="s">
        <v>21</v>
      </c>
      <c r="B266" s="10" t="s">
        <v>22</v>
      </c>
      <c r="C266" s="10" t="s">
        <v>870</v>
      </c>
      <c r="D266" s="10" t="s">
        <v>871</v>
      </c>
      <c r="E266" s="10" t="s">
        <v>872</v>
      </c>
      <c r="F266" s="10" t="s">
        <v>873</v>
      </c>
      <c r="G266" s="11">
        <v>1410</v>
      </c>
      <c r="H266" s="163" t="s">
        <v>886</v>
      </c>
      <c r="I266" s="166" t="s">
        <v>887</v>
      </c>
      <c r="J266" s="163" t="s">
        <v>888</v>
      </c>
      <c r="K266" s="10" t="s">
        <v>40</v>
      </c>
      <c r="L266" s="10">
        <v>5</v>
      </c>
      <c r="M266" s="10">
        <f t="shared" si="21"/>
        <v>5</v>
      </c>
      <c r="N266" s="10">
        <v>15</v>
      </c>
      <c r="O266" s="12">
        <v>1</v>
      </c>
      <c r="P266" s="11">
        <v>6570</v>
      </c>
      <c r="Q266" s="10" t="s">
        <v>48</v>
      </c>
      <c r="R266" s="4" t="s">
        <v>1284</v>
      </c>
      <c r="S266" s="4" t="s">
        <v>1279</v>
      </c>
      <c r="T266" s="4" t="s">
        <v>19</v>
      </c>
      <c r="U266" s="4" t="s">
        <v>507</v>
      </c>
      <c r="V266" s="4" t="str">
        <f t="shared" si="23"/>
        <v>UTILITIESINDUSTRY SOLUTIONAUTHORIZEDADD-ON</v>
      </c>
    </row>
    <row r="267" spans="1:22" ht="15" thickBot="1">
      <c r="A267" s="10" t="s">
        <v>21</v>
      </c>
      <c r="B267" s="10" t="s">
        <v>22</v>
      </c>
      <c r="C267" s="10" t="s">
        <v>94</v>
      </c>
      <c r="D267" s="10" t="s">
        <v>95</v>
      </c>
      <c r="E267" s="10" t="s">
        <v>96</v>
      </c>
      <c r="F267" s="10" t="s">
        <v>97</v>
      </c>
      <c r="G267" s="11">
        <v>17500</v>
      </c>
      <c r="H267" s="163" t="s">
        <v>114</v>
      </c>
      <c r="I267" s="158" t="s">
        <v>115</v>
      </c>
      <c r="J267" s="163" t="s">
        <v>114</v>
      </c>
      <c r="K267" s="10" t="s">
        <v>40</v>
      </c>
      <c r="L267" s="10">
        <v>15</v>
      </c>
      <c r="M267" s="10">
        <f t="shared" si="21"/>
        <v>15</v>
      </c>
      <c r="N267" s="10">
        <v>15</v>
      </c>
      <c r="O267" s="17">
        <v>1</v>
      </c>
      <c r="P267" s="11">
        <v>17500</v>
      </c>
      <c r="Q267" s="10" t="s">
        <v>33</v>
      </c>
      <c r="R267" s="4" t="s">
        <v>1294</v>
      </c>
      <c r="S267" s="4" t="s">
        <v>1379</v>
      </c>
      <c r="T267" s="4" t="s">
        <v>19</v>
      </c>
      <c r="U267" s="4" t="str">
        <f t="shared" ref="U267:U310" si="24">IF(ISNUMBER(SEARCH("ADD-ON",$I267)),"ADD-ON","NOT AN ADD-ON")</f>
        <v>NOT AN ADD-ON</v>
      </c>
      <c r="V267" s="4" t="str">
        <f t="shared" si="23"/>
        <v>ASSET CONFIGURATION MANAGERACMAUTHORIZEDNOT AN ADD-ON</v>
      </c>
    </row>
    <row r="268" spans="1:22" ht="29.25" customHeight="1" thickBot="1">
      <c r="A268" s="10" t="s">
        <v>21</v>
      </c>
      <c r="B268" s="10" t="s">
        <v>22</v>
      </c>
      <c r="C268" s="10" t="s">
        <v>94</v>
      </c>
      <c r="D268" s="10" t="s">
        <v>95</v>
      </c>
      <c r="E268" s="10" t="s">
        <v>96</v>
      </c>
      <c r="F268" s="10" t="s">
        <v>97</v>
      </c>
      <c r="G268" s="11">
        <v>10500</v>
      </c>
      <c r="H268" s="163" t="s">
        <v>116</v>
      </c>
      <c r="I268" s="158" t="s">
        <v>117</v>
      </c>
      <c r="J268" s="163" t="s">
        <v>114</v>
      </c>
      <c r="K268" s="10" t="s">
        <v>40</v>
      </c>
      <c r="L268" s="10">
        <v>15</v>
      </c>
      <c r="M268" s="10">
        <f t="shared" si="21"/>
        <v>15</v>
      </c>
      <c r="N268" s="10">
        <v>15</v>
      </c>
      <c r="O268" s="17">
        <v>1</v>
      </c>
      <c r="P268" s="11">
        <v>17500</v>
      </c>
      <c r="Q268" s="10" t="s">
        <v>36</v>
      </c>
      <c r="R268" s="4" t="s">
        <v>1294</v>
      </c>
      <c r="S268" s="4" t="s">
        <v>1379</v>
      </c>
      <c r="T268" s="4" t="s">
        <v>19</v>
      </c>
      <c r="U268" s="4" t="str">
        <f t="shared" si="24"/>
        <v>NOT AN ADD-ON</v>
      </c>
      <c r="V268" s="4" t="str">
        <f t="shared" si="23"/>
        <v>ASSET CONFIGURATION MANAGERACMAUTHORIZEDNOT AN ADD-ON</v>
      </c>
    </row>
    <row r="269" spans="1:22" ht="15" thickBot="1">
      <c r="A269" s="10" t="s">
        <v>21</v>
      </c>
      <c r="B269" s="10" t="s">
        <v>22</v>
      </c>
      <c r="C269" s="10" t="s">
        <v>94</v>
      </c>
      <c r="D269" s="10" t="s">
        <v>95</v>
      </c>
      <c r="E269" s="10" t="s">
        <v>96</v>
      </c>
      <c r="F269" s="10" t="s">
        <v>97</v>
      </c>
      <c r="G269" s="11">
        <v>3760</v>
      </c>
      <c r="H269" s="163" t="s">
        <v>126</v>
      </c>
      <c r="I269" s="166" t="s">
        <v>127</v>
      </c>
      <c r="J269" s="163" t="s">
        <v>114</v>
      </c>
      <c r="K269" s="10" t="s">
        <v>40</v>
      </c>
      <c r="L269" s="10">
        <v>15</v>
      </c>
      <c r="M269" s="10">
        <f t="shared" si="21"/>
        <v>15</v>
      </c>
      <c r="N269" s="10">
        <v>15</v>
      </c>
      <c r="O269" s="17">
        <v>1</v>
      </c>
      <c r="P269" s="11">
        <v>17500</v>
      </c>
      <c r="Q269" s="10" t="s">
        <v>48</v>
      </c>
      <c r="R269" s="4" t="s">
        <v>1294</v>
      </c>
      <c r="S269" s="4" t="s">
        <v>1379</v>
      </c>
      <c r="T269" s="4" t="s">
        <v>19</v>
      </c>
      <c r="U269" s="4" t="str">
        <f t="shared" si="24"/>
        <v>NOT AN ADD-ON</v>
      </c>
      <c r="V269" s="4" t="str">
        <f t="shared" si="23"/>
        <v>ASSET CONFIGURATION MANAGERACMAUTHORIZEDNOT AN ADD-ON</v>
      </c>
    </row>
    <row r="270" spans="1:22" ht="15" thickBot="1">
      <c r="A270" s="10" t="s">
        <v>21</v>
      </c>
      <c r="B270" s="10" t="s">
        <v>22</v>
      </c>
      <c r="C270" s="10" t="s">
        <v>94</v>
      </c>
      <c r="D270" s="10" t="s">
        <v>95</v>
      </c>
      <c r="E270" s="10" t="s">
        <v>96</v>
      </c>
      <c r="F270" s="10" t="s">
        <v>97</v>
      </c>
      <c r="G270" s="11">
        <v>17500</v>
      </c>
      <c r="H270" s="163" t="s">
        <v>120</v>
      </c>
      <c r="I270" s="158" t="s">
        <v>123</v>
      </c>
      <c r="J270" s="163" t="s">
        <v>120</v>
      </c>
      <c r="K270" s="10" t="s">
        <v>40</v>
      </c>
      <c r="L270" s="10">
        <v>15</v>
      </c>
      <c r="M270" s="10">
        <f t="shared" si="21"/>
        <v>15</v>
      </c>
      <c r="N270" s="10">
        <v>15</v>
      </c>
      <c r="O270" s="12">
        <v>1</v>
      </c>
      <c r="P270" s="11">
        <v>17500</v>
      </c>
      <c r="Q270" s="10" t="s">
        <v>33</v>
      </c>
      <c r="R270" s="4" t="s">
        <v>1294</v>
      </c>
      <c r="S270" s="4" t="s">
        <v>1379</v>
      </c>
      <c r="T270" s="4" t="s">
        <v>19</v>
      </c>
      <c r="U270" s="4" t="str">
        <f t="shared" si="24"/>
        <v>NOT AN ADD-ON</v>
      </c>
      <c r="V270" s="4" t="str">
        <f t="shared" si="23"/>
        <v>ASSET CONFIGURATION MANAGERACMAUTHORIZEDNOT AN ADD-ON</v>
      </c>
    </row>
    <row r="271" spans="1:22" ht="29.25" customHeight="1" thickBot="1">
      <c r="A271" s="10" t="s">
        <v>21</v>
      </c>
      <c r="B271" s="10" t="s">
        <v>22</v>
      </c>
      <c r="C271" s="10" t="s">
        <v>94</v>
      </c>
      <c r="D271" s="10" t="s">
        <v>95</v>
      </c>
      <c r="E271" s="10" t="s">
        <v>96</v>
      </c>
      <c r="F271" s="10" t="s">
        <v>97</v>
      </c>
      <c r="G271" s="11">
        <v>10500</v>
      </c>
      <c r="H271" s="163" t="s">
        <v>124</v>
      </c>
      <c r="I271" s="158" t="s">
        <v>125</v>
      </c>
      <c r="J271" s="163" t="s">
        <v>120</v>
      </c>
      <c r="K271" s="10" t="s">
        <v>40</v>
      </c>
      <c r="L271" s="10">
        <v>15</v>
      </c>
      <c r="M271" s="10">
        <f t="shared" si="21"/>
        <v>15</v>
      </c>
      <c r="N271" s="10">
        <v>15</v>
      </c>
      <c r="O271" s="12">
        <v>1</v>
      </c>
      <c r="P271" s="11">
        <v>17500</v>
      </c>
      <c r="Q271" s="10" t="s">
        <v>36</v>
      </c>
      <c r="R271" s="4" t="s">
        <v>1294</v>
      </c>
      <c r="S271" s="4" t="s">
        <v>1379</v>
      </c>
      <c r="T271" s="4" t="s">
        <v>19</v>
      </c>
      <c r="U271" s="4" t="str">
        <f t="shared" si="24"/>
        <v>NOT AN ADD-ON</v>
      </c>
      <c r="V271" s="4" t="str">
        <f t="shared" si="23"/>
        <v>ASSET CONFIGURATION MANAGERACMAUTHORIZEDNOT AN ADD-ON</v>
      </c>
    </row>
    <row r="272" spans="1:22" ht="27" thickBot="1">
      <c r="A272" s="10" t="s">
        <v>21</v>
      </c>
      <c r="B272" s="10" t="s">
        <v>22</v>
      </c>
      <c r="C272" s="10" t="s">
        <v>94</v>
      </c>
      <c r="D272" s="10" t="s">
        <v>95</v>
      </c>
      <c r="E272" s="10" t="s">
        <v>96</v>
      </c>
      <c r="F272" s="10" t="s">
        <v>97</v>
      </c>
      <c r="G272" s="11">
        <v>3760</v>
      </c>
      <c r="H272" s="163" t="s">
        <v>118</v>
      </c>
      <c r="I272" s="166" t="s">
        <v>119</v>
      </c>
      <c r="J272" s="163" t="s">
        <v>120</v>
      </c>
      <c r="K272" s="10" t="s">
        <v>40</v>
      </c>
      <c r="L272" s="10">
        <v>15</v>
      </c>
      <c r="M272" s="10">
        <f t="shared" si="21"/>
        <v>15</v>
      </c>
      <c r="N272" s="10">
        <v>15</v>
      </c>
      <c r="O272" s="12">
        <v>1</v>
      </c>
      <c r="P272" s="11">
        <v>17500</v>
      </c>
      <c r="Q272" s="10" t="s">
        <v>48</v>
      </c>
      <c r="R272" s="4" t="s">
        <v>1294</v>
      </c>
      <c r="S272" s="4" t="s">
        <v>1379</v>
      </c>
      <c r="T272" s="4" t="s">
        <v>19</v>
      </c>
      <c r="U272" s="4" t="str">
        <f t="shared" si="24"/>
        <v>NOT AN ADD-ON</v>
      </c>
      <c r="V272" s="4" t="str">
        <f t="shared" si="23"/>
        <v>ASSET CONFIGURATION MANAGERACMAUTHORIZEDNOT AN ADD-ON</v>
      </c>
    </row>
    <row r="273" spans="1:22" ht="29.25" customHeight="1" thickBot="1">
      <c r="A273" s="10" t="s">
        <v>21</v>
      </c>
      <c r="B273" s="10" t="s">
        <v>22</v>
      </c>
      <c r="C273" s="10" t="s">
        <v>23</v>
      </c>
      <c r="D273" s="10" t="s">
        <v>24</v>
      </c>
      <c r="E273" s="10" t="s">
        <v>25</v>
      </c>
      <c r="F273" s="10" t="s">
        <v>26</v>
      </c>
      <c r="G273" s="11">
        <v>7030</v>
      </c>
      <c r="H273" s="163" t="s">
        <v>64</v>
      </c>
      <c r="I273" s="158" t="s">
        <v>65</v>
      </c>
      <c r="J273" s="163" t="s">
        <v>64</v>
      </c>
      <c r="K273" s="10" t="s">
        <v>40</v>
      </c>
      <c r="L273" s="10">
        <v>5</v>
      </c>
      <c r="M273" s="10">
        <f t="shared" ref="M273:M304" si="25">ROUND(IF(K273="Authorized User",L273/3,L273),2)</f>
        <v>5</v>
      </c>
      <c r="N273" s="10">
        <v>5</v>
      </c>
      <c r="O273" s="17">
        <v>1</v>
      </c>
      <c r="P273" s="11">
        <v>7030</v>
      </c>
      <c r="Q273" s="10" t="s">
        <v>33</v>
      </c>
      <c r="R273" s="4" t="s">
        <v>42</v>
      </c>
      <c r="S273" s="4" t="s">
        <v>42</v>
      </c>
      <c r="T273" s="4" t="s">
        <v>19</v>
      </c>
      <c r="U273" s="4" t="str">
        <f t="shared" si="24"/>
        <v>NOT AN ADD-ON</v>
      </c>
      <c r="V273" s="4" t="str">
        <f t="shared" si="23"/>
        <v>ANYWHEREANYWHEREAUTHORIZEDNOT AN ADD-ON</v>
      </c>
    </row>
    <row r="274" spans="1:22" ht="15" thickBot="1">
      <c r="A274" s="10" t="s">
        <v>21</v>
      </c>
      <c r="B274" s="10" t="s">
        <v>22</v>
      </c>
      <c r="C274" s="10" t="s">
        <v>23</v>
      </c>
      <c r="D274" s="10" t="s">
        <v>24</v>
      </c>
      <c r="E274" s="10" t="s">
        <v>25</v>
      </c>
      <c r="F274" s="10" t="s">
        <v>26</v>
      </c>
      <c r="G274" s="11">
        <v>4220</v>
      </c>
      <c r="H274" s="163" t="s">
        <v>66</v>
      </c>
      <c r="I274" s="158" t="s">
        <v>67</v>
      </c>
      <c r="J274" s="163" t="s">
        <v>64</v>
      </c>
      <c r="K274" s="10" t="s">
        <v>40</v>
      </c>
      <c r="L274" s="10">
        <v>5</v>
      </c>
      <c r="M274" s="10">
        <f t="shared" si="25"/>
        <v>5</v>
      </c>
      <c r="N274" s="10">
        <v>5</v>
      </c>
      <c r="O274" s="17">
        <v>1</v>
      </c>
      <c r="P274" s="11">
        <v>7030</v>
      </c>
      <c r="Q274" s="10" t="s">
        <v>36</v>
      </c>
      <c r="R274" s="4" t="s">
        <v>42</v>
      </c>
      <c r="S274" s="4" t="s">
        <v>42</v>
      </c>
      <c r="T274" s="4" t="s">
        <v>19</v>
      </c>
      <c r="U274" s="4" t="str">
        <f t="shared" si="24"/>
        <v>NOT AN ADD-ON</v>
      </c>
      <c r="V274" s="4" t="str">
        <f t="shared" si="23"/>
        <v>ANYWHEREANYWHEREAUTHORIZEDNOT AN ADD-ON</v>
      </c>
    </row>
    <row r="275" spans="1:22" ht="15" thickBot="1">
      <c r="A275" s="10" t="s">
        <v>21</v>
      </c>
      <c r="B275" s="10" t="s">
        <v>22</v>
      </c>
      <c r="C275" s="10" t="s">
        <v>23</v>
      </c>
      <c r="D275" s="10" t="s">
        <v>24</v>
      </c>
      <c r="E275" s="10" t="s">
        <v>25</v>
      </c>
      <c r="F275" s="10" t="s">
        <v>26</v>
      </c>
      <c r="G275" s="11">
        <v>1500</v>
      </c>
      <c r="H275" s="163" t="s">
        <v>76</v>
      </c>
      <c r="I275" s="158" t="s">
        <v>77</v>
      </c>
      <c r="J275" s="163" t="s">
        <v>64</v>
      </c>
      <c r="K275" s="10" t="s">
        <v>40</v>
      </c>
      <c r="L275" s="10">
        <v>5</v>
      </c>
      <c r="M275" s="10">
        <f t="shared" si="25"/>
        <v>5</v>
      </c>
      <c r="N275" s="10">
        <v>5</v>
      </c>
      <c r="O275" s="17">
        <v>1</v>
      </c>
      <c r="P275" s="11">
        <v>7030</v>
      </c>
      <c r="Q275" s="10" t="s">
        <v>48</v>
      </c>
      <c r="R275" s="4" t="s">
        <v>42</v>
      </c>
      <c r="S275" s="4" t="s">
        <v>42</v>
      </c>
      <c r="T275" s="4" t="s">
        <v>19</v>
      </c>
      <c r="U275" s="4" t="str">
        <f t="shared" si="24"/>
        <v>NOT AN ADD-ON</v>
      </c>
      <c r="V275" s="4" t="str">
        <f t="shared" si="23"/>
        <v>ANYWHEREANYWHEREAUTHORIZEDNOT AN ADD-ON</v>
      </c>
    </row>
    <row r="276" spans="1:22" ht="15" thickBot="1">
      <c r="A276" s="10" t="s">
        <v>21</v>
      </c>
      <c r="B276" s="10" t="s">
        <v>22</v>
      </c>
      <c r="C276" s="10" t="s">
        <v>23</v>
      </c>
      <c r="D276" s="10" t="s">
        <v>24</v>
      </c>
      <c r="E276" s="10" t="s">
        <v>25</v>
      </c>
      <c r="F276" s="10" t="s">
        <v>26</v>
      </c>
      <c r="G276" s="11">
        <v>7030</v>
      </c>
      <c r="H276" s="163" t="s">
        <v>72</v>
      </c>
      <c r="I276" s="158" t="s">
        <v>73</v>
      </c>
      <c r="J276" s="163" t="s">
        <v>72</v>
      </c>
      <c r="K276" s="10" t="s">
        <v>40</v>
      </c>
      <c r="L276" s="10">
        <v>5</v>
      </c>
      <c r="M276" s="10">
        <f t="shared" si="25"/>
        <v>5</v>
      </c>
      <c r="N276" s="10">
        <v>5</v>
      </c>
      <c r="O276" s="12">
        <v>1</v>
      </c>
      <c r="P276" s="11">
        <v>7030</v>
      </c>
      <c r="Q276" s="10" t="s">
        <v>33</v>
      </c>
      <c r="R276" s="4" t="s">
        <v>42</v>
      </c>
      <c r="S276" s="4" t="s">
        <v>42</v>
      </c>
      <c r="T276" s="4" t="s">
        <v>19</v>
      </c>
      <c r="U276" s="4" t="str">
        <f t="shared" si="24"/>
        <v>NOT AN ADD-ON</v>
      </c>
      <c r="V276" s="4" t="str">
        <f t="shared" si="23"/>
        <v>ANYWHEREANYWHEREAUTHORIZEDNOT AN ADD-ON</v>
      </c>
    </row>
    <row r="277" spans="1:22" ht="15" thickBot="1">
      <c r="A277" s="10" t="s">
        <v>21</v>
      </c>
      <c r="B277" s="10" t="s">
        <v>22</v>
      </c>
      <c r="C277" s="10" t="s">
        <v>23</v>
      </c>
      <c r="D277" s="10" t="s">
        <v>24</v>
      </c>
      <c r="E277" s="10" t="s">
        <v>25</v>
      </c>
      <c r="F277" s="10" t="s">
        <v>26</v>
      </c>
      <c r="G277" s="11">
        <v>4220</v>
      </c>
      <c r="H277" s="163" t="s">
        <v>74</v>
      </c>
      <c r="I277" s="158" t="s">
        <v>75</v>
      </c>
      <c r="J277" s="163" t="s">
        <v>72</v>
      </c>
      <c r="K277" s="10" t="s">
        <v>40</v>
      </c>
      <c r="L277" s="10">
        <v>5</v>
      </c>
      <c r="M277" s="10">
        <f t="shared" si="25"/>
        <v>5</v>
      </c>
      <c r="N277" s="10">
        <v>5</v>
      </c>
      <c r="O277" s="12">
        <v>1</v>
      </c>
      <c r="P277" s="11">
        <v>7030</v>
      </c>
      <c r="Q277" s="10" t="s">
        <v>36</v>
      </c>
      <c r="R277" s="4" t="s">
        <v>42</v>
      </c>
      <c r="S277" s="4" t="s">
        <v>42</v>
      </c>
      <c r="T277" s="4" t="s">
        <v>19</v>
      </c>
      <c r="U277" s="4" t="str">
        <f t="shared" si="24"/>
        <v>NOT AN ADD-ON</v>
      </c>
      <c r="V277" s="4" t="str">
        <f t="shared" si="23"/>
        <v>ANYWHEREANYWHEREAUTHORIZEDNOT AN ADD-ON</v>
      </c>
    </row>
    <row r="278" spans="1:22" ht="15" thickBot="1">
      <c r="A278" s="10" t="s">
        <v>21</v>
      </c>
      <c r="B278" s="10" t="s">
        <v>22</v>
      </c>
      <c r="C278" s="10" t="s">
        <v>23</v>
      </c>
      <c r="D278" s="10" t="s">
        <v>24</v>
      </c>
      <c r="E278" s="10" t="s">
        <v>25</v>
      </c>
      <c r="F278" s="10" t="s">
        <v>26</v>
      </c>
      <c r="G278" s="11">
        <v>1500</v>
      </c>
      <c r="H278" s="163" t="s">
        <v>68</v>
      </c>
      <c r="I278" s="166" t="s">
        <v>69</v>
      </c>
      <c r="J278" s="163" t="s">
        <v>47</v>
      </c>
      <c r="K278" s="10" t="s">
        <v>40</v>
      </c>
      <c r="L278" s="10">
        <v>5</v>
      </c>
      <c r="M278" s="10">
        <f t="shared" si="25"/>
        <v>5</v>
      </c>
      <c r="N278" s="10">
        <v>5</v>
      </c>
      <c r="O278" s="12">
        <v>1</v>
      </c>
      <c r="P278" s="11">
        <v>4260</v>
      </c>
      <c r="Q278" s="10" t="s">
        <v>48</v>
      </c>
      <c r="R278" s="4" t="s">
        <v>42</v>
      </c>
      <c r="S278" s="4" t="s">
        <v>42</v>
      </c>
      <c r="T278" s="4" t="s">
        <v>19</v>
      </c>
      <c r="U278" s="4" t="str">
        <f t="shared" si="24"/>
        <v>NOT AN ADD-ON</v>
      </c>
      <c r="V278" s="4" t="str">
        <f t="shared" si="23"/>
        <v>ANYWHEREANYWHEREAUTHORIZEDNOT AN ADD-ON</v>
      </c>
    </row>
    <row r="279" spans="1:22" ht="15" thickBot="1">
      <c r="A279" s="10" t="s">
        <v>21</v>
      </c>
      <c r="B279" s="10" t="s">
        <v>22</v>
      </c>
      <c r="C279" s="10" t="s">
        <v>23</v>
      </c>
      <c r="D279" s="10" t="s">
        <v>24</v>
      </c>
      <c r="E279" s="10" t="s">
        <v>25</v>
      </c>
      <c r="F279" s="10" t="s">
        <v>26</v>
      </c>
      <c r="G279" s="11">
        <v>4260</v>
      </c>
      <c r="H279" s="163" t="s">
        <v>39</v>
      </c>
      <c r="I279" s="158" t="s">
        <v>41</v>
      </c>
      <c r="J279" s="163" t="s">
        <v>39</v>
      </c>
      <c r="K279" s="10" t="s">
        <v>40</v>
      </c>
      <c r="L279" s="10">
        <v>0</v>
      </c>
      <c r="M279" s="10">
        <f t="shared" si="25"/>
        <v>0</v>
      </c>
      <c r="N279" s="10">
        <v>5</v>
      </c>
      <c r="O279" s="12">
        <v>1</v>
      </c>
      <c r="P279" s="11">
        <v>4260</v>
      </c>
      <c r="Q279" s="10" t="s">
        <v>33</v>
      </c>
      <c r="R279" s="4" t="s">
        <v>42</v>
      </c>
      <c r="S279" s="4" t="s">
        <v>42</v>
      </c>
      <c r="T279" s="4" t="s">
        <v>19</v>
      </c>
      <c r="U279" s="4" t="str">
        <f t="shared" si="24"/>
        <v>ADD-ON</v>
      </c>
      <c r="V279" s="4" t="str">
        <f t="shared" si="23"/>
        <v>ANYWHEREANYWHEREAUTHORIZEDADD-ON</v>
      </c>
    </row>
    <row r="280" spans="1:22" ht="15" thickBot="1">
      <c r="A280" s="10" t="s">
        <v>21</v>
      </c>
      <c r="B280" s="10" t="s">
        <v>22</v>
      </c>
      <c r="C280" s="10" t="s">
        <v>23</v>
      </c>
      <c r="D280" s="10" t="s">
        <v>24</v>
      </c>
      <c r="E280" s="10" t="s">
        <v>25</v>
      </c>
      <c r="F280" s="10" t="s">
        <v>26</v>
      </c>
      <c r="G280" s="11">
        <v>2550</v>
      </c>
      <c r="H280" s="163" t="s">
        <v>43</v>
      </c>
      <c r="I280" s="158" t="s">
        <v>44</v>
      </c>
      <c r="J280" s="163" t="s">
        <v>39</v>
      </c>
      <c r="K280" s="10" t="s">
        <v>40</v>
      </c>
      <c r="L280" s="10">
        <v>0</v>
      </c>
      <c r="M280" s="10">
        <f t="shared" si="25"/>
        <v>0</v>
      </c>
      <c r="N280" s="10">
        <v>5</v>
      </c>
      <c r="O280" s="12">
        <v>1</v>
      </c>
      <c r="P280" s="11">
        <v>4260</v>
      </c>
      <c r="Q280" s="10" t="s">
        <v>36</v>
      </c>
      <c r="R280" s="4" t="s">
        <v>42</v>
      </c>
      <c r="S280" s="4" t="s">
        <v>42</v>
      </c>
      <c r="T280" s="4" t="s">
        <v>19</v>
      </c>
      <c r="U280" s="4" t="str">
        <f t="shared" si="24"/>
        <v>ADD-ON</v>
      </c>
      <c r="V280" s="4" t="str">
        <f t="shared" si="23"/>
        <v>ANYWHEREANYWHEREAUTHORIZEDADD-ON</v>
      </c>
    </row>
    <row r="281" spans="1:22" ht="15" thickBot="1">
      <c r="A281" s="10" t="s">
        <v>21</v>
      </c>
      <c r="B281" s="10" t="s">
        <v>22</v>
      </c>
      <c r="C281" s="10" t="s">
        <v>23</v>
      </c>
      <c r="D281" s="10" t="s">
        <v>24</v>
      </c>
      <c r="E281" s="10" t="s">
        <v>25</v>
      </c>
      <c r="F281" s="10" t="s">
        <v>26</v>
      </c>
      <c r="G281" s="11">
        <v>918</v>
      </c>
      <c r="H281" s="163" t="s">
        <v>54</v>
      </c>
      <c r="I281" s="166" t="s">
        <v>55</v>
      </c>
      <c r="J281" s="163" t="s">
        <v>39</v>
      </c>
      <c r="K281" s="10" t="s">
        <v>40</v>
      </c>
      <c r="L281" s="10">
        <v>0</v>
      </c>
      <c r="M281" s="10">
        <f t="shared" si="25"/>
        <v>0</v>
      </c>
      <c r="N281" s="10">
        <v>5</v>
      </c>
      <c r="O281" s="12">
        <v>1</v>
      </c>
      <c r="P281" s="11">
        <v>4260</v>
      </c>
      <c r="Q281" s="10" t="s">
        <v>48</v>
      </c>
      <c r="R281" s="4" t="s">
        <v>42</v>
      </c>
      <c r="S281" s="4" t="s">
        <v>42</v>
      </c>
      <c r="T281" s="4" t="s">
        <v>19</v>
      </c>
      <c r="U281" s="4" t="str">
        <f t="shared" si="24"/>
        <v>ADD-ON</v>
      </c>
      <c r="V281" s="4" t="str">
        <f t="shared" si="23"/>
        <v>ANYWHEREANYWHEREAUTHORIZEDADD-ON</v>
      </c>
    </row>
    <row r="282" spans="1:22" ht="29.25" customHeight="1" thickBot="1">
      <c r="A282" s="10" t="s">
        <v>21</v>
      </c>
      <c r="B282" s="10" t="s">
        <v>22</v>
      </c>
      <c r="C282" s="10" t="s">
        <v>23</v>
      </c>
      <c r="D282" s="10" t="s">
        <v>24</v>
      </c>
      <c r="E282" s="10" t="s">
        <v>25</v>
      </c>
      <c r="F282" s="10" t="s">
        <v>26</v>
      </c>
      <c r="G282" s="11">
        <v>4260</v>
      </c>
      <c r="H282" s="163" t="s">
        <v>47</v>
      </c>
      <c r="I282" s="158" t="s">
        <v>51</v>
      </c>
      <c r="J282" s="163" t="s">
        <v>47</v>
      </c>
      <c r="K282" s="10" t="s">
        <v>40</v>
      </c>
      <c r="L282" s="10">
        <v>0</v>
      </c>
      <c r="M282" s="10">
        <f t="shared" si="25"/>
        <v>0</v>
      </c>
      <c r="N282" s="10">
        <v>5</v>
      </c>
      <c r="O282" s="12">
        <v>1</v>
      </c>
      <c r="P282" s="11">
        <v>4260</v>
      </c>
      <c r="Q282" s="10" t="s">
        <v>33</v>
      </c>
      <c r="R282" s="4" t="s">
        <v>42</v>
      </c>
      <c r="S282" s="4" t="s">
        <v>42</v>
      </c>
      <c r="T282" s="4" t="s">
        <v>19</v>
      </c>
      <c r="U282" s="4" t="str">
        <f t="shared" si="24"/>
        <v>ADD-ON</v>
      </c>
      <c r="V282" s="4" t="str">
        <f t="shared" si="23"/>
        <v>ANYWHEREANYWHEREAUTHORIZEDADD-ON</v>
      </c>
    </row>
    <row r="283" spans="1:22" ht="15" thickBot="1">
      <c r="A283" s="10" t="s">
        <v>21</v>
      </c>
      <c r="B283" s="10" t="s">
        <v>22</v>
      </c>
      <c r="C283" s="10" t="s">
        <v>23</v>
      </c>
      <c r="D283" s="10" t="s">
        <v>24</v>
      </c>
      <c r="E283" s="10" t="s">
        <v>25</v>
      </c>
      <c r="F283" s="10" t="s">
        <v>26</v>
      </c>
      <c r="G283" s="11">
        <v>2550</v>
      </c>
      <c r="H283" s="163" t="s">
        <v>52</v>
      </c>
      <c r="I283" s="158" t="s">
        <v>53</v>
      </c>
      <c r="J283" s="163" t="s">
        <v>47</v>
      </c>
      <c r="K283" s="10" t="s">
        <v>40</v>
      </c>
      <c r="L283" s="10">
        <v>0</v>
      </c>
      <c r="M283" s="10">
        <f t="shared" si="25"/>
        <v>0</v>
      </c>
      <c r="N283" s="10">
        <v>5</v>
      </c>
      <c r="O283" s="12">
        <v>1</v>
      </c>
      <c r="P283" s="11">
        <v>4260</v>
      </c>
      <c r="Q283" s="10" t="s">
        <v>36</v>
      </c>
      <c r="R283" s="4" t="s">
        <v>42</v>
      </c>
      <c r="S283" s="4" t="s">
        <v>42</v>
      </c>
      <c r="T283" s="4" t="s">
        <v>19</v>
      </c>
      <c r="U283" s="4" t="str">
        <f t="shared" si="24"/>
        <v>ADD-ON</v>
      </c>
      <c r="V283" s="4" t="str">
        <f t="shared" si="23"/>
        <v>ANYWHEREANYWHEREAUTHORIZEDADD-ON</v>
      </c>
    </row>
    <row r="284" spans="1:22" ht="27" thickBot="1">
      <c r="A284" s="10" t="s">
        <v>21</v>
      </c>
      <c r="B284" s="10" t="s">
        <v>22</v>
      </c>
      <c r="C284" s="10" t="s">
        <v>23</v>
      </c>
      <c r="D284" s="10" t="s">
        <v>24</v>
      </c>
      <c r="E284" s="10" t="s">
        <v>25</v>
      </c>
      <c r="F284" s="10" t="s">
        <v>26</v>
      </c>
      <c r="G284" s="11">
        <v>918</v>
      </c>
      <c r="H284" s="163" t="s">
        <v>45</v>
      </c>
      <c r="I284" s="166" t="s">
        <v>46</v>
      </c>
      <c r="J284" s="163" t="s">
        <v>47</v>
      </c>
      <c r="K284" s="10" t="s">
        <v>40</v>
      </c>
      <c r="L284" s="10">
        <v>0</v>
      </c>
      <c r="M284" s="10">
        <f t="shared" si="25"/>
        <v>0</v>
      </c>
      <c r="N284" s="10">
        <v>5</v>
      </c>
      <c r="O284" s="17">
        <v>1</v>
      </c>
      <c r="P284" s="11">
        <v>4260</v>
      </c>
      <c r="Q284" s="10" t="s">
        <v>48</v>
      </c>
      <c r="R284" s="4" t="s">
        <v>42</v>
      </c>
      <c r="S284" s="4" t="s">
        <v>42</v>
      </c>
      <c r="T284" s="4" t="s">
        <v>19</v>
      </c>
      <c r="U284" s="4" t="str">
        <f t="shared" si="24"/>
        <v>ADD-ON</v>
      </c>
      <c r="V284" s="4" t="str">
        <f t="shared" si="23"/>
        <v>ANYWHEREANYWHEREAUTHORIZEDADD-ON</v>
      </c>
    </row>
    <row r="285" spans="1:22" ht="15" thickBot="1">
      <c r="A285" s="10" t="s">
        <v>21</v>
      </c>
      <c r="B285" s="10" t="s">
        <v>22</v>
      </c>
      <c r="C285" s="10" t="s">
        <v>230</v>
      </c>
      <c r="D285" s="10" t="s">
        <v>141</v>
      </c>
      <c r="E285" s="10" t="s">
        <v>142</v>
      </c>
      <c r="F285" s="10" t="s">
        <v>143</v>
      </c>
      <c r="G285" s="11">
        <v>10900</v>
      </c>
      <c r="H285" s="163" t="s">
        <v>233</v>
      </c>
      <c r="I285" s="158" t="s">
        <v>236</v>
      </c>
      <c r="J285" s="163" t="s">
        <v>233</v>
      </c>
      <c r="K285" s="10" t="s">
        <v>40</v>
      </c>
      <c r="L285" s="10">
        <v>5</v>
      </c>
      <c r="M285" s="10">
        <f t="shared" si="25"/>
        <v>5</v>
      </c>
      <c r="N285" s="10">
        <v>15</v>
      </c>
      <c r="O285" s="17">
        <v>1</v>
      </c>
      <c r="P285" s="11">
        <v>10900</v>
      </c>
      <c r="Q285" s="10" t="s">
        <v>33</v>
      </c>
      <c r="R285" s="4" t="s">
        <v>234</v>
      </c>
      <c r="S285" s="4" t="s">
        <v>235</v>
      </c>
      <c r="T285" s="4" t="s">
        <v>19</v>
      </c>
      <c r="U285" s="4" t="str">
        <f t="shared" si="24"/>
        <v>NOT AN ADD-ON</v>
      </c>
      <c r="V285" s="4" t="str">
        <f t="shared" si="23"/>
        <v>MANAGED SERVICE PROVIDERSMSPAUTHORIZEDNOT AN ADD-ON</v>
      </c>
    </row>
    <row r="286" spans="1:22" ht="15" thickBot="1">
      <c r="A286" s="10" t="s">
        <v>21</v>
      </c>
      <c r="B286" s="10" t="s">
        <v>22</v>
      </c>
      <c r="C286" s="10" t="s">
        <v>140</v>
      </c>
      <c r="D286" s="10" t="s">
        <v>141</v>
      </c>
      <c r="E286" s="10" t="s">
        <v>142</v>
      </c>
      <c r="F286" s="10" t="s">
        <v>143</v>
      </c>
      <c r="G286" s="11">
        <v>6530</v>
      </c>
      <c r="H286" s="163" t="s">
        <v>237</v>
      </c>
      <c r="I286" s="158" t="s">
        <v>238</v>
      </c>
      <c r="J286" s="163" t="s">
        <v>233</v>
      </c>
      <c r="K286" s="10" t="s">
        <v>40</v>
      </c>
      <c r="L286" s="10">
        <v>5</v>
      </c>
      <c r="M286" s="10">
        <f t="shared" si="25"/>
        <v>5</v>
      </c>
      <c r="N286" s="10">
        <v>15</v>
      </c>
      <c r="O286" s="17">
        <v>1</v>
      </c>
      <c r="P286" s="11">
        <v>10900</v>
      </c>
      <c r="Q286" s="10" t="s">
        <v>36</v>
      </c>
      <c r="R286" s="4" t="s">
        <v>234</v>
      </c>
      <c r="S286" s="4" t="s">
        <v>235</v>
      </c>
      <c r="T286" s="4" t="s">
        <v>19</v>
      </c>
      <c r="U286" s="4" t="str">
        <f t="shared" si="24"/>
        <v>NOT AN ADD-ON</v>
      </c>
      <c r="V286" s="4" t="str">
        <f t="shared" si="23"/>
        <v>MANAGED SERVICE PROVIDERSMSPAUTHORIZEDNOT AN ADD-ON</v>
      </c>
    </row>
    <row r="287" spans="1:22" ht="27" thickBot="1">
      <c r="A287" s="10" t="s">
        <v>21</v>
      </c>
      <c r="B287" s="10" t="s">
        <v>22</v>
      </c>
      <c r="C287" s="10" t="s">
        <v>230</v>
      </c>
      <c r="D287" s="10" t="s">
        <v>141</v>
      </c>
      <c r="E287" s="10" t="s">
        <v>142</v>
      </c>
      <c r="F287" s="10" t="s">
        <v>143</v>
      </c>
      <c r="G287" s="11">
        <v>2350</v>
      </c>
      <c r="H287" s="163" t="s">
        <v>247</v>
      </c>
      <c r="I287" s="166" t="s">
        <v>248</v>
      </c>
      <c r="J287" s="163" t="s">
        <v>233</v>
      </c>
      <c r="K287" s="10" t="s">
        <v>40</v>
      </c>
      <c r="L287" s="10">
        <v>5</v>
      </c>
      <c r="M287" s="10">
        <f t="shared" si="25"/>
        <v>5</v>
      </c>
      <c r="N287" s="10">
        <v>15</v>
      </c>
      <c r="O287" s="17">
        <v>1</v>
      </c>
      <c r="P287" s="11">
        <v>10900</v>
      </c>
      <c r="Q287" s="10" t="s">
        <v>48</v>
      </c>
      <c r="R287" s="4" t="s">
        <v>234</v>
      </c>
      <c r="S287" s="4" t="s">
        <v>235</v>
      </c>
      <c r="T287" s="4" t="s">
        <v>19</v>
      </c>
      <c r="U287" s="4" t="str">
        <f t="shared" si="24"/>
        <v>NOT AN ADD-ON</v>
      </c>
      <c r="V287" s="4" t="str">
        <f t="shared" si="23"/>
        <v>MANAGED SERVICE PROVIDERSMSPAUTHORIZEDNOT AN ADD-ON</v>
      </c>
    </row>
    <row r="288" spans="1:22" ht="15" thickBot="1">
      <c r="A288" s="10" t="s">
        <v>21</v>
      </c>
      <c r="B288" s="10" t="s">
        <v>22</v>
      </c>
      <c r="C288" s="10" t="s">
        <v>230</v>
      </c>
      <c r="D288" s="10" t="s">
        <v>141</v>
      </c>
      <c r="E288" s="10" t="s">
        <v>142</v>
      </c>
      <c r="F288" s="10" t="s">
        <v>143</v>
      </c>
      <c r="G288" s="11">
        <v>10900</v>
      </c>
      <c r="H288" s="163" t="s">
        <v>241</v>
      </c>
      <c r="I288" s="166" t="s">
        <v>242</v>
      </c>
      <c r="J288" s="163" t="s">
        <v>241</v>
      </c>
      <c r="K288" s="10" t="s">
        <v>40</v>
      </c>
      <c r="L288" s="10">
        <v>5</v>
      </c>
      <c r="M288" s="10">
        <f t="shared" si="25"/>
        <v>5</v>
      </c>
      <c r="N288" s="10">
        <v>15</v>
      </c>
      <c r="O288" s="17">
        <v>1</v>
      </c>
      <c r="P288" s="11">
        <v>10900</v>
      </c>
      <c r="Q288" s="10" t="s">
        <v>33</v>
      </c>
      <c r="R288" s="4" t="s">
        <v>234</v>
      </c>
      <c r="S288" s="4" t="s">
        <v>235</v>
      </c>
      <c r="T288" s="4" t="s">
        <v>19</v>
      </c>
      <c r="U288" s="4" t="str">
        <f t="shared" si="24"/>
        <v>NOT AN ADD-ON</v>
      </c>
      <c r="V288" s="4" t="str">
        <f t="shared" si="23"/>
        <v>MANAGED SERVICE PROVIDERSMSPAUTHORIZEDNOT AN ADD-ON</v>
      </c>
    </row>
    <row r="289" spans="1:22" ht="15" thickBot="1">
      <c r="A289" s="10" t="s">
        <v>21</v>
      </c>
      <c r="B289" s="10" t="s">
        <v>22</v>
      </c>
      <c r="C289" s="10" t="s">
        <v>230</v>
      </c>
      <c r="D289" s="10" t="s">
        <v>141</v>
      </c>
      <c r="E289" s="10" t="s">
        <v>142</v>
      </c>
      <c r="F289" s="10" t="s">
        <v>143</v>
      </c>
      <c r="G289" s="11">
        <v>6530</v>
      </c>
      <c r="H289" s="163" t="s">
        <v>243</v>
      </c>
      <c r="I289" s="166" t="s">
        <v>244</v>
      </c>
      <c r="J289" s="163" t="s">
        <v>241</v>
      </c>
      <c r="K289" s="10" t="s">
        <v>40</v>
      </c>
      <c r="L289" s="10">
        <v>5</v>
      </c>
      <c r="M289" s="10">
        <f t="shared" si="25"/>
        <v>5</v>
      </c>
      <c r="N289" s="10">
        <v>15</v>
      </c>
      <c r="O289" s="17">
        <v>1</v>
      </c>
      <c r="P289" s="11">
        <v>10900</v>
      </c>
      <c r="Q289" s="10" t="s">
        <v>36</v>
      </c>
      <c r="R289" s="4" t="s">
        <v>234</v>
      </c>
      <c r="S289" s="4" t="s">
        <v>235</v>
      </c>
      <c r="T289" s="4" t="s">
        <v>19</v>
      </c>
      <c r="U289" s="4" t="str">
        <f t="shared" si="24"/>
        <v>NOT AN ADD-ON</v>
      </c>
      <c r="V289" s="4" t="str">
        <f t="shared" si="23"/>
        <v>MANAGED SERVICE PROVIDERSMSPAUTHORIZEDNOT AN ADD-ON</v>
      </c>
    </row>
    <row r="290" spans="1:22" ht="29.25" customHeight="1" thickBot="1">
      <c r="A290" s="10" t="s">
        <v>21</v>
      </c>
      <c r="B290" s="10" t="s">
        <v>22</v>
      </c>
      <c r="C290" s="10" t="s">
        <v>230</v>
      </c>
      <c r="D290" s="10" t="s">
        <v>141</v>
      </c>
      <c r="E290" s="10" t="s">
        <v>142</v>
      </c>
      <c r="F290" s="10" t="s">
        <v>143</v>
      </c>
      <c r="G290" s="11">
        <v>2350</v>
      </c>
      <c r="H290" s="163" t="s">
        <v>245</v>
      </c>
      <c r="I290" s="166" t="s">
        <v>246</v>
      </c>
      <c r="J290" s="163" t="s">
        <v>241</v>
      </c>
      <c r="K290" s="10" t="s">
        <v>40</v>
      </c>
      <c r="L290" s="10">
        <v>5</v>
      </c>
      <c r="M290" s="10">
        <f t="shared" si="25"/>
        <v>5</v>
      </c>
      <c r="N290" s="10">
        <v>15</v>
      </c>
      <c r="O290" s="17">
        <v>1</v>
      </c>
      <c r="P290" s="11">
        <v>10900</v>
      </c>
      <c r="Q290" s="10" t="s">
        <v>48</v>
      </c>
      <c r="R290" s="4" t="s">
        <v>234</v>
      </c>
      <c r="S290" s="4" t="s">
        <v>235</v>
      </c>
      <c r="T290" s="4" t="s">
        <v>19</v>
      </c>
      <c r="U290" s="4" t="str">
        <f t="shared" si="24"/>
        <v>NOT AN ADD-ON</v>
      </c>
      <c r="V290" s="4" t="str">
        <f t="shared" si="23"/>
        <v>MANAGED SERVICE PROVIDERSMSPAUTHORIZEDNOT AN ADD-ON</v>
      </c>
    </row>
    <row r="291" spans="1:22" ht="29.25" customHeight="1" thickBot="1">
      <c r="A291" s="10" t="s">
        <v>21</v>
      </c>
      <c r="B291" s="10" t="s">
        <v>22</v>
      </c>
      <c r="C291" s="10" t="s">
        <v>204</v>
      </c>
      <c r="D291" s="10" t="s">
        <v>141</v>
      </c>
      <c r="E291" s="10" t="s">
        <v>142</v>
      </c>
      <c r="F291" s="10" t="s">
        <v>143</v>
      </c>
      <c r="G291" s="11">
        <v>3270</v>
      </c>
      <c r="H291" s="163" t="s">
        <v>207</v>
      </c>
      <c r="I291" s="158" t="s">
        <v>209</v>
      </c>
      <c r="J291" s="163" t="s">
        <v>207</v>
      </c>
      <c r="K291" s="10" t="s">
        <v>40</v>
      </c>
      <c r="L291" s="10">
        <v>5</v>
      </c>
      <c r="M291" s="10">
        <f t="shared" si="25"/>
        <v>5</v>
      </c>
      <c r="N291" s="10">
        <v>15</v>
      </c>
      <c r="O291" s="17">
        <v>1</v>
      </c>
      <c r="P291" s="11">
        <v>3270</v>
      </c>
      <c r="Q291" s="10" t="s">
        <v>33</v>
      </c>
      <c r="R291" s="4" t="s">
        <v>208</v>
      </c>
      <c r="S291" s="4" t="s">
        <v>1278</v>
      </c>
      <c r="T291" s="4" t="s">
        <v>19</v>
      </c>
      <c r="U291" s="4" t="str">
        <f t="shared" si="24"/>
        <v>NOT AN ADD-ON</v>
      </c>
      <c r="V291" s="4" t="str">
        <f t="shared" si="23"/>
        <v>INTERNAL SERVICE PROVIDERSASSET MANAGEMENT (CORE)AUTHORIZEDNOT AN ADD-ON</v>
      </c>
    </row>
    <row r="292" spans="1:22" ht="15" thickBot="1">
      <c r="A292" s="10" t="s">
        <v>21</v>
      </c>
      <c r="B292" s="10" t="s">
        <v>22</v>
      </c>
      <c r="C292" s="10" t="s">
        <v>204</v>
      </c>
      <c r="D292" s="10" t="s">
        <v>141</v>
      </c>
      <c r="E292" s="10" t="s">
        <v>142</v>
      </c>
      <c r="F292" s="10" t="s">
        <v>143</v>
      </c>
      <c r="G292" s="11">
        <v>1960</v>
      </c>
      <c r="H292" s="163" t="s">
        <v>210</v>
      </c>
      <c r="I292" s="158" t="s">
        <v>211</v>
      </c>
      <c r="J292" s="163" t="s">
        <v>207</v>
      </c>
      <c r="K292" s="10" t="s">
        <v>40</v>
      </c>
      <c r="L292" s="10">
        <v>5</v>
      </c>
      <c r="M292" s="10">
        <f t="shared" si="25"/>
        <v>5</v>
      </c>
      <c r="N292" s="10">
        <v>15</v>
      </c>
      <c r="O292" s="12">
        <v>1</v>
      </c>
      <c r="P292" s="11">
        <v>3270</v>
      </c>
      <c r="Q292" s="10" t="s">
        <v>36</v>
      </c>
      <c r="R292" s="4" t="s">
        <v>208</v>
      </c>
      <c r="S292" s="4" t="s">
        <v>1278</v>
      </c>
      <c r="T292" s="4" t="s">
        <v>19</v>
      </c>
      <c r="U292" s="4" t="str">
        <f t="shared" si="24"/>
        <v>NOT AN ADD-ON</v>
      </c>
      <c r="V292" s="4" t="str">
        <f t="shared" si="23"/>
        <v>INTERNAL SERVICE PROVIDERSASSET MANAGEMENT (CORE)AUTHORIZEDNOT AN ADD-ON</v>
      </c>
    </row>
    <row r="293" spans="1:22" ht="27" thickBot="1">
      <c r="A293" s="10" t="s">
        <v>21</v>
      </c>
      <c r="B293" s="10" t="s">
        <v>22</v>
      </c>
      <c r="C293" s="10" t="s">
        <v>204</v>
      </c>
      <c r="D293" s="10" t="s">
        <v>141</v>
      </c>
      <c r="E293" s="10" t="s">
        <v>142</v>
      </c>
      <c r="F293" s="10" t="s">
        <v>143</v>
      </c>
      <c r="G293" s="11">
        <v>702</v>
      </c>
      <c r="H293" s="163" t="s">
        <v>220</v>
      </c>
      <c r="I293" s="166" t="s">
        <v>221</v>
      </c>
      <c r="J293" s="163" t="s">
        <v>207</v>
      </c>
      <c r="K293" s="10" t="s">
        <v>40</v>
      </c>
      <c r="L293" s="10">
        <v>5</v>
      </c>
      <c r="M293" s="10">
        <f t="shared" si="25"/>
        <v>5</v>
      </c>
      <c r="N293" s="10">
        <v>15</v>
      </c>
      <c r="O293" s="12">
        <v>1</v>
      </c>
      <c r="P293" s="11">
        <v>3270</v>
      </c>
      <c r="Q293" s="10" t="s">
        <v>48</v>
      </c>
      <c r="R293" s="4" t="s">
        <v>208</v>
      </c>
      <c r="S293" s="4" t="s">
        <v>1278</v>
      </c>
      <c r="T293" s="4" t="s">
        <v>19</v>
      </c>
      <c r="U293" s="4" t="str">
        <f t="shared" si="24"/>
        <v>NOT AN ADD-ON</v>
      </c>
      <c r="V293" s="4" t="str">
        <f t="shared" si="23"/>
        <v>INTERNAL SERVICE PROVIDERSASSET MANAGEMENT (CORE)AUTHORIZEDNOT AN ADD-ON</v>
      </c>
    </row>
    <row r="294" spans="1:22" ht="15" thickBot="1">
      <c r="A294" s="10" t="s">
        <v>21</v>
      </c>
      <c r="B294" s="10" t="s">
        <v>22</v>
      </c>
      <c r="C294" s="10" t="s">
        <v>204</v>
      </c>
      <c r="D294" s="10" t="s">
        <v>141</v>
      </c>
      <c r="E294" s="10" t="s">
        <v>142</v>
      </c>
      <c r="F294" s="10" t="s">
        <v>143</v>
      </c>
      <c r="G294" s="11">
        <v>3270</v>
      </c>
      <c r="H294" s="163" t="s">
        <v>214</v>
      </c>
      <c r="I294" s="166" t="s">
        <v>215</v>
      </c>
      <c r="J294" s="163" t="s">
        <v>214</v>
      </c>
      <c r="K294" s="10" t="s">
        <v>40</v>
      </c>
      <c r="L294" s="10">
        <v>5</v>
      </c>
      <c r="M294" s="10">
        <f t="shared" si="25"/>
        <v>5</v>
      </c>
      <c r="N294" s="10">
        <v>15</v>
      </c>
      <c r="O294" s="12">
        <v>1</v>
      </c>
      <c r="P294" s="11">
        <v>3270</v>
      </c>
      <c r="Q294" s="10" t="s">
        <v>33</v>
      </c>
      <c r="R294" s="4" t="s">
        <v>208</v>
      </c>
      <c r="S294" s="4" t="s">
        <v>1278</v>
      </c>
      <c r="T294" s="4" t="s">
        <v>19</v>
      </c>
      <c r="U294" s="4" t="str">
        <f t="shared" si="24"/>
        <v>NOT AN ADD-ON</v>
      </c>
      <c r="V294" s="4" t="str">
        <f t="shared" si="23"/>
        <v>INTERNAL SERVICE PROVIDERSASSET MANAGEMENT (CORE)AUTHORIZEDNOT AN ADD-ON</v>
      </c>
    </row>
    <row r="295" spans="1:22" ht="15" thickBot="1">
      <c r="A295" s="10" t="s">
        <v>21</v>
      </c>
      <c r="B295" s="10" t="s">
        <v>22</v>
      </c>
      <c r="C295" s="10" t="s">
        <v>204</v>
      </c>
      <c r="D295" s="10" t="s">
        <v>141</v>
      </c>
      <c r="E295" s="10" t="s">
        <v>142</v>
      </c>
      <c r="F295" s="10" t="s">
        <v>143</v>
      </c>
      <c r="G295" s="11">
        <v>1960</v>
      </c>
      <c r="H295" s="163" t="s">
        <v>216</v>
      </c>
      <c r="I295" s="166" t="s">
        <v>217</v>
      </c>
      <c r="J295" s="163" t="s">
        <v>214</v>
      </c>
      <c r="K295" s="10" t="s">
        <v>40</v>
      </c>
      <c r="L295" s="10">
        <v>5</v>
      </c>
      <c r="M295" s="10">
        <f t="shared" si="25"/>
        <v>5</v>
      </c>
      <c r="N295" s="10">
        <v>15</v>
      </c>
      <c r="O295" s="12">
        <v>1</v>
      </c>
      <c r="P295" s="11">
        <v>3270</v>
      </c>
      <c r="Q295" s="10" t="s">
        <v>36</v>
      </c>
      <c r="R295" s="4" t="s">
        <v>208</v>
      </c>
      <c r="S295" s="4" t="s">
        <v>1278</v>
      </c>
      <c r="T295" s="4" t="s">
        <v>19</v>
      </c>
      <c r="U295" s="4" t="str">
        <f t="shared" si="24"/>
        <v>NOT AN ADD-ON</v>
      </c>
      <c r="V295" s="4" t="str">
        <f t="shared" si="23"/>
        <v>INTERNAL SERVICE PROVIDERSASSET MANAGEMENT (CORE)AUTHORIZEDNOT AN ADD-ON</v>
      </c>
    </row>
    <row r="296" spans="1:22" ht="29.25" customHeight="1" thickBot="1">
      <c r="A296" s="10" t="s">
        <v>21</v>
      </c>
      <c r="B296" s="10" t="s">
        <v>22</v>
      </c>
      <c r="C296" s="10" t="s">
        <v>204</v>
      </c>
      <c r="D296" s="10" t="s">
        <v>141</v>
      </c>
      <c r="E296" s="10" t="s">
        <v>142</v>
      </c>
      <c r="F296" s="10" t="s">
        <v>143</v>
      </c>
      <c r="G296" s="11">
        <v>702</v>
      </c>
      <c r="H296" s="163" t="s">
        <v>218</v>
      </c>
      <c r="I296" s="166" t="s">
        <v>219</v>
      </c>
      <c r="J296" s="163" t="s">
        <v>214</v>
      </c>
      <c r="K296" s="10" t="s">
        <v>40</v>
      </c>
      <c r="L296" s="10">
        <v>5</v>
      </c>
      <c r="M296" s="10">
        <f t="shared" si="25"/>
        <v>5</v>
      </c>
      <c r="N296" s="10">
        <v>15</v>
      </c>
      <c r="O296" s="12">
        <v>1</v>
      </c>
      <c r="P296" s="11">
        <v>3270</v>
      </c>
      <c r="Q296" s="10" t="s">
        <v>48</v>
      </c>
      <c r="R296" s="4" t="s">
        <v>208</v>
      </c>
      <c r="S296" s="4" t="s">
        <v>1278</v>
      </c>
      <c r="T296" s="4" t="s">
        <v>19</v>
      </c>
      <c r="U296" s="4" t="str">
        <f t="shared" si="24"/>
        <v>NOT AN ADD-ON</v>
      </c>
      <c r="V296" s="4" t="str">
        <f t="shared" si="23"/>
        <v>INTERNAL SERVICE PROVIDERSASSET MANAGEMENT (CORE)AUTHORIZEDNOT AN ADD-ON</v>
      </c>
    </row>
    <row r="297" spans="1:22" ht="15" thickBot="1">
      <c r="A297" s="10" t="s">
        <v>21</v>
      </c>
      <c r="B297" s="10" t="s">
        <v>22</v>
      </c>
      <c r="C297" s="10" t="s">
        <v>1015</v>
      </c>
      <c r="D297" s="10" t="s">
        <v>141</v>
      </c>
      <c r="E297" s="10" t="s">
        <v>142</v>
      </c>
      <c r="F297" s="10" t="s">
        <v>143</v>
      </c>
      <c r="G297" s="11">
        <v>2170</v>
      </c>
      <c r="H297" s="163" t="s">
        <v>1024</v>
      </c>
      <c r="I297" s="158" t="s">
        <v>1025</v>
      </c>
      <c r="J297" s="163" t="s">
        <v>1024</v>
      </c>
      <c r="K297" s="10" t="s">
        <v>40</v>
      </c>
      <c r="L297" s="10">
        <v>0</v>
      </c>
      <c r="M297" s="10">
        <f t="shared" si="25"/>
        <v>0</v>
      </c>
      <c r="N297" s="10">
        <v>5</v>
      </c>
      <c r="O297" s="12">
        <v>1</v>
      </c>
      <c r="P297" s="11">
        <v>2170</v>
      </c>
      <c r="Q297" s="10" t="s">
        <v>33</v>
      </c>
      <c r="R297" s="4" t="s">
        <v>1290</v>
      </c>
      <c r="S297" s="4" t="s">
        <v>507</v>
      </c>
      <c r="T297" s="4" t="s">
        <v>19</v>
      </c>
      <c r="U297" s="4" t="str">
        <f t="shared" si="24"/>
        <v>NOT AN ADD-ON</v>
      </c>
      <c r="V297" s="4" t="str">
        <f t="shared" si="23"/>
        <v>LINEARADD-ONAUTHORIZEDNOT AN ADD-ON</v>
      </c>
    </row>
    <row r="298" spans="1:22" ht="15" thickBot="1">
      <c r="A298" s="10" t="s">
        <v>21</v>
      </c>
      <c r="B298" s="10" t="s">
        <v>22</v>
      </c>
      <c r="C298" s="10" t="s">
        <v>1015</v>
      </c>
      <c r="D298" s="10" t="s">
        <v>141</v>
      </c>
      <c r="E298" s="10" t="s">
        <v>142</v>
      </c>
      <c r="F298" s="10" t="s">
        <v>143</v>
      </c>
      <c r="G298" s="11">
        <v>1310</v>
      </c>
      <c r="H298" s="163" t="s">
        <v>1026</v>
      </c>
      <c r="I298" s="158" t="s">
        <v>1027</v>
      </c>
      <c r="J298" s="163" t="s">
        <v>1024</v>
      </c>
      <c r="K298" s="10" t="s">
        <v>40</v>
      </c>
      <c r="L298" s="10">
        <v>0</v>
      </c>
      <c r="M298" s="10">
        <f t="shared" si="25"/>
        <v>0</v>
      </c>
      <c r="N298" s="10">
        <v>5</v>
      </c>
      <c r="O298" s="12">
        <v>1</v>
      </c>
      <c r="P298" s="11">
        <v>2170</v>
      </c>
      <c r="Q298" s="10" t="s">
        <v>36</v>
      </c>
      <c r="R298" s="4" t="s">
        <v>1290</v>
      </c>
      <c r="S298" s="4" t="s">
        <v>507</v>
      </c>
      <c r="T298" s="4" t="s">
        <v>19</v>
      </c>
      <c r="U298" s="4" t="str">
        <f t="shared" si="24"/>
        <v>NOT AN ADD-ON</v>
      </c>
      <c r="V298" s="4" t="str">
        <f t="shared" si="23"/>
        <v>LINEARADD-ONAUTHORIZEDNOT AN ADD-ON</v>
      </c>
    </row>
    <row r="299" spans="1:22" ht="15" thickBot="1">
      <c r="A299" s="10" t="s">
        <v>21</v>
      </c>
      <c r="B299" s="10" t="s">
        <v>22</v>
      </c>
      <c r="C299" s="10" t="s">
        <v>1015</v>
      </c>
      <c r="D299" s="10" t="s">
        <v>141</v>
      </c>
      <c r="E299" s="10" t="s">
        <v>142</v>
      </c>
      <c r="F299" s="10" t="s">
        <v>143</v>
      </c>
      <c r="G299" s="11">
        <v>467</v>
      </c>
      <c r="H299" s="163" t="s">
        <v>1036</v>
      </c>
      <c r="I299" s="166" t="s">
        <v>1037</v>
      </c>
      <c r="J299" s="163" t="s">
        <v>1024</v>
      </c>
      <c r="K299" s="10" t="s">
        <v>40</v>
      </c>
      <c r="L299" s="10">
        <v>0</v>
      </c>
      <c r="M299" s="10">
        <f t="shared" si="25"/>
        <v>0</v>
      </c>
      <c r="N299" s="10">
        <v>5</v>
      </c>
      <c r="O299" s="12">
        <v>1</v>
      </c>
      <c r="P299" s="11">
        <v>2170</v>
      </c>
      <c r="Q299" s="10" t="s">
        <v>48</v>
      </c>
      <c r="R299" s="4" t="s">
        <v>1290</v>
      </c>
      <c r="S299" s="4" t="s">
        <v>507</v>
      </c>
      <c r="T299" s="4" t="s">
        <v>19</v>
      </c>
      <c r="U299" s="4" t="str">
        <f t="shared" si="24"/>
        <v>NOT AN ADD-ON</v>
      </c>
      <c r="V299" s="4" t="str">
        <f t="shared" si="23"/>
        <v>LINEARADD-ONAUTHORIZEDNOT AN ADD-ON</v>
      </c>
    </row>
    <row r="300" spans="1:22" ht="29.25" customHeight="1" thickBot="1">
      <c r="A300" s="10" t="s">
        <v>21</v>
      </c>
      <c r="B300" s="10" t="s">
        <v>22</v>
      </c>
      <c r="C300" s="10" t="s">
        <v>1015</v>
      </c>
      <c r="D300" s="10" t="s">
        <v>141</v>
      </c>
      <c r="E300" s="10" t="s">
        <v>142</v>
      </c>
      <c r="F300" s="10" t="s">
        <v>143</v>
      </c>
      <c r="G300" s="11">
        <v>2170</v>
      </c>
      <c r="H300" s="163" t="s">
        <v>1030</v>
      </c>
      <c r="I300" s="158" t="s">
        <v>1031</v>
      </c>
      <c r="J300" s="163" t="s">
        <v>1030</v>
      </c>
      <c r="K300" s="10" t="s">
        <v>40</v>
      </c>
      <c r="L300" s="10">
        <v>0</v>
      </c>
      <c r="M300" s="10">
        <f t="shared" si="25"/>
        <v>0</v>
      </c>
      <c r="N300" s="10">
        <v>5</v>
      </c>
      <c r="O300" s="12">
        <v>1</v>
      </c>
      <c r="P300" s="11">
        <v>2170</v>
      </c>
      <c r="Q300" s="10" t="s">
        <v>33</v>
      </c>
      <c r="R300" s="4" t="s">
        <v>1290</v>
      </c>
      <c r="S300" s="4" t="s">
        <v>507</v>
      </c>
      <c r="T300" s="4" t="s">
        <v>19</v>
      </c>
      <c r="U300" s="4" t="str">
        <f t="shared" si="24"/>
        <v>NOT AN ADD-ON</v>
      </c>
      <c r="V300" s="4" t="str">
        <f t="shared" si="23"/>
        <v>LINEARADD-ONAUTHORIZEDNOT AN ADD-ON</v>
      </c>
    </row>
    <row r="301" spans="1:22" ht="29.25" customHeight="1" thickBot="1">
      <c r="A301" s="10" t="s">
        <v>21</v>
      </c>
      <c r="B301" s="10" t="s">
        <v>22</v>
      </c>
      <c r="C301" s="10" t="s">
        <v>1015</v>
      </c>
      <c r="D301" s="10" t="s">
        <v>141</v>
      </c>
      <c r="E301" s="10" t="s">
        <v>142</v>
      </c>
      <c r="F301" s="10" t="s">
        <v>143</v>
      </c>
      <c r="G301" s="11">
        <v>1310</v>
      </c>
      <c r="H301" s="163" t="s">
        <v>1032</v>
      </c>
      <c r="I301" s="158" t="s">
        <v>1033</v>
      </c>
      <c r="J301" s="163" t="s">
        <v>1030</v>
      </c>
      <c r="K301" s="10" t="s">
        <v>40</v>
      </c>
      <c r="L301" s="10">
        <v>0</v>
      </c>
      <c r="M301" s="10">
        <f t="shared" si="25"/>
        <v>0</v>
      </c>
      <c r="N301" s="10">
        <v>5</v>
      </c>
      <c r="O301" s="12">
        <v>1</v>
      </c>
      <c r="P301" s="11">
        <v>2170</v>
      </c>
      <c r="Q301" s="10" t="s">
        <v>36</v>
      </c>
      <c r="R301" s="4" t="s">
        <v>1290</v>
      </c>
      <c r="S301" s="4" t="s">
        <v>507</v>
      </c>
      <c r="T301" s="4" t="s">
        <v>19</v>
      </c>
      <c r="U301" s="4" t="str">
        <f t="shared" si="24"/>
        <v>NOT AN ADD-ON</v>
      </c>
      <c r="V301" s="4" t="str">
        <f t="shared" si="23"/>
        <v>LINEARADD-ONAUTHORIZEDNOT AN ADD-ON</v>
      </c>
    </row>
    <row r="302" spans="1:22" ht="27" thickBot="1">
      <c r="A302" s="10" t="s">
        <v>21</v>
      </c>
      <c r="B302" s="10" t="s">
        <v>22</v>
      </c>
      <c r="C302" s="10" t="s">
        <v>1015</v>
      </c>
      <c r="D302" s="10" t="s">
        <v>141</v>
      </c>
      <c r="E302" s="10" t="s">
        <v>142</v>
      </c>
      <c r="F302" s="10" t="s">
        <v>143</v>
      </c>
      <c r="G302" s="11">
        <v>467</v>
      </c>
      <c r="H302" s="163" t="s">
        <v>1034</v>
      </c>
      <c r="I302" s="166" t="s">
        <v>1035</v>
      </c>
      <c r="J302" s="163" t="s">
        <v>1030</v>
      </c>
      <c r="K302" s="10" t="s">
        <v>40</v>
      </c>
      <c r="L302" s="10">
        <v>0</v>
      </c>
      <c r="M302" s="10">
        <f t="shared" si="25"/>
        <v>0</v>
      </c>
      <c r="N302" s="10">
        <v>5</v>
      </c>
      <c r="O302" s="12">
        <v>1</v>
      </c>
      <c r="P302" s="11">
        <v>2170</v>
      </c>
      <c r="Q302" s="10" t="s">
        <v>48</v>
      </c>
      <c r="R302" s="4" t="s">
        <v>1290</v>
      </c>
      <c r="S302" s="4" t="s">
        <v>507</v>
      </c>
      <c r="T302" s="4" t="s">
        <v>19</v>
      </c>
      <c r="U302" s="4" t="str">
        <f t="shared" si="24"/>
        <v>NOT AN ADD-ON</v>
      </c>
      <c r="V302" s="4" t="str">
        <f t="shared" si="23"/>
        <v>LINEARADD-ONAUTHORIZEDNOT AN ADD-ON</v>
      </c>
    </row>
    <row r="303" spans="1:22" ht="29.25" customHeight="1" thickBot="1">
      <c r="A303" s="10" t="s">
        <v>21</v>
      </c>
      <c r="B303" s="10" t="s">
        <v>22</v>
      </c>
      <c r="C303" s="10" t="s">
        <v>778</v>
      </c>
      <c r="D303" s="10" t="s">
        <v>779</v>
      </c>
      <c r="E303" s="10" t="s">
        <v>780</v>
      </c>
      <c r="F303" s="10" t="s">
        <v>781</v>
      </c>
      <c r="G303" s="11">
        <v>23400</v>
      </c>
      <c r="H303" s="163" t="s">
        <v>818</v>
      </c>
      <c r="I303" s="158" t="s">
        <v>819</v>
      </c>
      <c r="J303" s="163" t="s">
        <v>818</v>
      </c>
      <c r="K303" s="10" t="s">
        <v>40</v>
      </c>
      <c r="L303" s="10">
        <v>15</v>
      </c>
      <c r="M303" s="10">
        <f t="shared" si="25"/>
        <v>15</v>
      </c>
      <c r="N303" s="10">
        <v>15</v>
      </c>
      <c r="O303" s="12">
        <v>1</v>
      </c>
      <c r="P303" s="11">
        <v>23400</v>
      </c>
      <c r="Q303" s="10" t="s">
        <v>33</v>
      </c>
      <c r="R303" s="4" t="s">
        <v>1283</v>
      </c>
      <c r="S303" s="4" t="s">
        <v>1279</v>
      </c>
      <c r="T303" s="4" t="s">
        <v>19</v>
      </c>
      <c r="U303" s="4" t="str">
        <f t="shared" si="24"/>
        <v>NOT AN ADD-ON</v>
      </c>
      <c r="V303" s="4" t="str">
        <f t="shared" si="23"/>
        <v>TRANSPORATIONINDUSTRY SOLUTIONAUTHORIZEDNOT AN ADD-ON</v>
      </c>
    </row>
    <row r="304" spans="1:22" ht="29.25" customHeight="1" thickBot="1">
      <c r="A304" s="10" t="s">
        <v>21</v>
      </c>
      <c r="B304" s="10" t="s">
        <v>22</v>
      </c>
      <c r="C304" s="10" t="s">
        <v>778</v>
      </c>
      <c r="D304" s="10" t="s">
        <v>779</v>
      </c>
      <c r="E304" s="10" t="s">
        <v>780</v>
      </c>
      <c r="F304" s="10" t="s">
        <v>781</v>
      </c>
      <c r="G304" s="11">
        <v>14000</v>
      </c>
      <c r="H304" s="163" t="s">
        <v>820</v>
      </c>
      <c r="I304" s="158" t="s">
        <v>821</v>
      </c>
      <c r="J304" s="163" t="s">
        <v>818</v>
      </c>
      <c r="K304" s="10" t="s">
        <v>40</v>
      </c>
      <c r="L304" s="10">
        <v>15</v>
      </c>
      <c r="M304" s="10">
        <f t="shared" si="25"/>
        <v>15</v>
      </c>
      <c r="N304" s="10">
        <v>15</v>
      </c>
      <c r="O304" s="12">
        <v>1</v>
      </c>
      <c r="P304" s="11">
        <v>23400</v>
      </c>
      <c r="Q304" s="10" t="s">
        <v>36</v>
      </c>
      <c r="R304" s="4" t="s">
        <v>1283</v>
      </c>
      <c r="S304" s="4" t="s">
        <v>1279</v>
      </c>
      <c r="T304" s="4" t="s">
        <v>19</v>
      </c>
      <c r="U304" s="4" t="str">
        <f t="shared" si="24"/>
        <v>NOT AN ADD-ON</v>
      </c>
      <c r="V304" s="4" t="str">
        <f t="shared" si="23"/>
        <v>TRANSPORATIONINDUSTRY SOLUTIONAUTHORIZEDNOT AN ADD-ON</v>
      </c>
    </row>
    <row r="305" spans="1:22" ht="29.25" customHeight="1" thickBot="1">
      <c r="A305" s="10" t="s">
        <v>21</v>
      </c>
      <c r="B305" s="10" t="s">
        <v>22</v>
      </c>
      <c r="C305" s="10" t="s">
        <v>778</v>
      </c>
      <c r="D305" s="10" t="s">
        <v>779</v>
      </c>
      <c r="E305" s="10" t="s">
        <v>780</v>
      </c>
      <c r="F305" s="10" t="s">
        <v>781</v>
      </c>
      <c r="G305" s="11">
        <v>8260</v>
      </c>
      <c r="H305" s="163" t="s">
        <v>834</v>
      </c>
      <c r="I305" s="166" t="s">
        <v>835</v>
      </c>
      <c r="J305" s="163" t="s">
        <v>818</v>
      </c>
      <c r="K305" s="10" t="s">
        <v>40</v>
      </c>
      <c r="L305" s="10">
        <v>15</v>
      </c>
      <c r="M305" s="10">
        <f t="shared" ref="M305:M336" si="26">ROUND(IF(K305="Authorized User",L305/3,L305),2)</f>
        <v>15</v>
      </c>
      <c r="N305" s="10">
        <v>15</v>
      </c>
      <c r="O305" s="12">
        <v>1</v>
      </c>
      <c r="P305" s="11">
        <v>23400</v>
      </c>
      <c r="Q305" s="10" t="s">
        <v>48</v>
      </c>
      <c r="R305" s="4" t="s">
        <v>1283</v>
      </c>
      <c r="S305" s="4" t="s">
        <v>1279</v>
      </c>
      <c r="T305" s="4" t="s">
        <v>19</v>
      </c>
      <c r="U305" s="4" t="str">
        <f t="shared" si="24"/>
        <v>NOT AN ADD-ON</v>
      </c>
      <c r="V305" s="4" t="str">
        <f t="shared" si="23"/>
        <v>TRANSPORATIONINDUSTRY SOLUTIONAUTHORIZEDNOT AN ADD-ON</v>
      </c>
    </row>
    <row r="306" spans="1:22" ht="15" thickBot="1">
      <c r="A306" s="10" t="s">
        <v>21</v>
      </c>
      <c r="B306" s="10" t="s">
        <v>22</v>
      </c>
      <c r="C306" s="10" t="s">
        <v>778</v>
      </c>
      <c r="D306" s="10" t="s">
        <v>779</v>
      </c>
      <c r="E306" s="10" t="s">
        <v>780</v>
      </c>
      <c r="F306" s="10" t="s">
        <v>781</v>
      </c>
      <c r="G306" s="11">
        <v>5030</v>
      </c>
      <c r="H306" s="163" t="s">
        <v>832</v>
      </c>
      <c r="I306" s="166" t="s">
        <v>833</v>
      </c>
      <c r="J306" s="163" t="s">
        <v>818</v>
      </c>
      <c r="K306" s="10" t="s">
        <v>40</v>
      </c>
      <c r="L306" s="10">
        <v>15</v>
      </c>
      <c r="M306" s="10">
        <f t="shared" si="26"/>
        <v>15</v>
      </c>
      <c r="N306" s="10">
        <v>15</v>
      </c>
      <c r="O306" s="12">
        <v>1</v>
      </c>
      <c r="P306" s="11">
        <v>23400</v>
      </c>
      <c r="Q306" s="10" t="s">
        <v>48</v>
      </c>
      <c r="R306" s="4" t="s">
        <v>1283</v>
      </c>
      <c r="S306" s="4" t="s">
        <v>1279</v>
      </c>
      <c r="T306" s="4" t="s">
        <v>19</v>
      </c>
      <c r="U306" s="4" t="str">
        <f t="shared" si="24"/>
        <v>NOT AN ADD-ON</v>
      </c>
      <c r="V306" s="4" t="str">
        <f t="shared" si="23"/>
        <v>TRANSPORATIONINDUSTRY SOLUTIONAUTHORIZEDNOT AN ADD-ON</v>
      </c>
    </row>
    <row r="307" spans="1:22" ht="29.25" customHeight="1" thickBot="1">
      <c r="A307" s="10" t="s">
        <v>21</v>
      </c>
      <c r="B307" s="10" t="s">
        <v>22</v>
      </c>
      <c r="C307" s="10" t="s">
        <v>778</v>
      </c>
      <c r="D307" s="10" t="s">
        <v>779</v>
      </c>
      <c r="E307" s="10" t="s">
        <v>780</v>
      </c>
      <c r="F307" s="10" t="s">
        <v>781</v>
      </c>
      <c r="G307" s="11">
        <v>23400</v>
      </c>
      <c r="H307" s="163" t="s">
        <v>824</v>
      </c>
      <c r="I307" s="158" t="s">
        <v>825</v>
      </c>
      <c r="J307" s="163" t="s">
        <v>824</v>
      </c>
      <c r="K307" s="10" t="s">
        <v>40</v>
      </c>
      <c r="L307" s="10">
        <v>15</v>
      </c>
      <c r="M307" s="10">
        <f t="shared" si="26"/>
        <v>15</v>
      </c>
      <c r="N307" s="10">
        <v>15</v>
      </c>
      <c r="O307" s="12">
        <v>1</v>
      </c>
      <c r="P307" s="11">
        <v>23400</v>
      </c>
      <c r="Q307" s="10" t="s">
        <v>33</v>
      </c>
      <c r="R307" s="4" t="s">
        <v>1283</v>
      </c>
      <c r="S307" s="4" t="s">
        <v>1279</v>
      </c>
      <c r="T307" s="4" t="s">
        <v>19</v>
      </c>
      <c r="U307" s="4" t="str">
        <f t="shared" si="24"/>
        <v>NOT AN ADD-ON</v>
      </c>
      <c r="V307" s="4" t="str">
        <f t="shared" si="23"/>
        <v>TRANSPORATIONINDUSTRY SOLUTIONAUTHORIZEDNOT AN ADD-ON</v>
      </c>
    </row>
    <row r="308" spans="1:22" ht="29.25" customHeight="1" thickBot="1">
      <c r="A308" s="10" t="s">
        <v>21</v>
      </c>
      <c r="B308" s="10" t="s">
        <v>22</v>
      </c>
      <c r="C308" s="10" t="s">
        <v>778</v>
      </c>
      <c r="D308" s="10" t="s">
        <v>779</v>
      </c>
      <c r="E308" s="10" t="s">
        <v>780</v>
      </c>
      <c r="F308" s="10" t="s">
        <v>781</v>
      </c>
      <c r="G308" s="11">
        <v>14000</v>
      </c>
      <c r="H308" s="163" t="s">
        <v>826</v>
      </c>
      <c r="I308" s="158" t="s">
        <v>827</v>
      </c>
      <c r="J308" s="163" t="s">
        <v>824</v>
      </c>
      <c r="K308" s="10" t="s">
        <v>40</v>
      </c>
      <c r="L308" s="10">
        <v>15</v>
      </c>
      <c r="M308" s="10">
        <f t="shared" si="26"/>
        <v>15</v>
      </c>
      <c r="N308" s="10">
        <v>15</v>
      </c>
      <c r="O308" s="12">
        <v>1</v>
      </c>
      <c r="P308" s="11">
        <v>23400</v>
      </c>
      <c r="Q308" s="10" t="s">
        <v>36</v>
      </c>
      <c r="R308" s="4" t="s">
        <v>1283</v>
      </c>
      <c r="S308" s="4" t="s">
        <v>1279</v>
      </c>
      <c r="T308" s="4" t="s">
        <v>19</v>
      </c>
      <c r="U308" s="4" t="str">
        <f t="shared" si="24"/>
        <v>NOT AN ADD-ON</v>
      </c>
      <c r="V308" s="4" t="str">
        <f t="shared" si="23"/>
        <v>TRANSPORATIONINDUSTRY SOLUTIONAUTHORIZEDNOT AN ADD-ON</v>
      </c>
    </row>
    <row r="309" spans="1:22" ht="27" thickBot="1">
      <c r="A309" s="10" t="s">
        <v>21</v>
      </c>
      <c r="B309" s="10" t="s">
        <v>22</v>
      </c>
      <c r="C309" s="10" t="s">
        <v>778</v>
      </c>
      <c r="D309" s="10" t="s">
        <v>779</v>
      </c>
      <c r="E309" s="10" t="s">
        <v>780</v>
      </c>
      <c r="F309" s="10" t="s">
        <v>781</v>
      </c>
      <c r="G309" s="11">
        <v>8260</v>
      </c>
      <c r="H309" s="163" t="s">
        <v>830</v>
      </c>
      <c r="I309" s="166" t="s">
        <v>831</v>
      </c>
      <c r="J309" s="163" t="s">
        <v>824</v>
      </c>
      <c r="K309" s="10" t="s">
        <v>40</v>
      </c>
      <c r="L309" s="10">
        <v>15</v>
      </c>
      <c r="M309" s="10">
        <f t="shared" si="26"/>
        <v>15</v>
      </c>
      <c r="N309" s="10">
        <v>15</v>
      </c>
      <c r="O309" s="12">
        <v>1</v>
      </c>
      <c r="P309" s="11">
        <v>23400</v>
      </c>
      <c r="Q309" s="10" t="s">
        <v>48</v>
      </c>
      <c r="R309" s="4" t="s">
        <v>1283</v>
      </c>
      <c r="S309" s="4" t="s">
        <v>1279</v>
      </c>
      <c r="T309" s="4" t="s">
        <v>19</v>
      </c>
      <c r="U309" s="4" t="str">
        <f t="shared" si="24"/>
        <v>NOT AN ADD-ON</v>
      </c>
      <c r="V309" s="4" t="str">
        <f t="shared" si="23"/>
        <v>TRANSPORATIONINDUSTRY SOLUTIONAUTHORIZEDNOT AN ADD-ON</v>
      </c>
    </row>
    <row r="310" spans="1:22" ht="29.25" customHeight="1" thickBot="1">
      <c r="A310" s="10" t="s">
        <v>21</v>
      </c>
      <c r="B310" s="10" t="s">
        <v>22</v>
      </c>
      <c r="C310" s="10" t="s">
        <v>778</v>
      </c>
      <c r="D310" s="10" t="s">
        <v>779</v>
      </c>
      <c r="E310" s="10" t="s">
        <v>780</v>
      </c>
      <c r="F310" s="10" t="s">
        <v>781</v>
      </c>
      <c r="G310" s="11">
        <v>5030</v>
      </c>
      <c r="H310" s="163" t="s">
        <v>828</v>
      </c>
      <c r="I310" s="166" t="s">
        <v>829</v>
      </c>
      <c r="J310" s="163" t="s">
        <v>824</v>
      </c>
      <c r="K310" s="10" t="s">
        <v>40</v>
      </c>
      <c r="L310" s="10">
        <v>15</v>
      </c>
      <c r="M310" s="10">
        <f t="shared" si="26"/>
        <v>15</v>
      </c>
      <c r="N310" s="10">
        <v>15</v>
      </c>
      <c r="O310" s="12">
        <v>1</v>
      </c>
      <c r="P310" s="11">
        <v>23400</v>
      </c>
      <c r="Q310" s="10" t="s">
        <v>48</v>
      </c>
      <c r="R310" s="4" t="s">
        <v>1283</v>
      </c>
      <c r="S310" s="4" t="s">
        <v>1279</v>
      </c>
      <c r="T310" s="4" t="s">
        <v>19</v>
      </c>
      <c r="U310" s="4" t="str">
        <f t="shared" si="24"/>
        <v>NOT AN ADD-ON</v>
      </c>
      <c r="V310" s="4" t="str">
        <f t="shared" si="23"/>
        <v>TRANSPORATIONINDUSTRY SOLUTIONAUTHORIZEDNOT AN ADD-ON</v>
      </c>
    </row>
    <row r="311" spans="1:22" ht="15" thickBot="1">
      <c r="A311" s="10" t="s">
        <v>21</v>
      </c>
      <c r="B311" s="10" t="s">
        <v>22</v>
      </c>
      <c r="C311" s="10" t="s">
        <v>778</v>
      </c>
      <c r="D311" s="10" t="s">
        <v>779</v>
      </c>
      <c r="E311" s="10" t="s">
        <v>780</v>
      </c>
      <c r="F311" s="10" t="s">
        <v>781</v>
      </c>
      <c r="G311" s="11">
        <v>6570</v>
      </c>
      <c r="H311" s="163" t="s">
        <v>790</v>
      </c>
      <c r="I311" s="158" t="s">
        <v>791</v>
      </c>
      <c r="J311" s="163" t="s">
        <v>790</v>
      </c>
      <c r="K311" s="10" t="s">
        <v>40</v>
      </c>
      <c r="L311" s="10">
        <v>5</v>
      </c>
      <c r="M311" s="10">
        <f t="shared" si="26"/>
        <v>5</v>
      </c>
      <c r="N311" s="10">
        <v>15</v>
      </c>
      <c r="O311" s="12">
        <v>1</v>
      </c>
      <c r="P311" s="11">
        <v>6570</v>
      </c>
      <c r="Q311" s="10" t="s">
        <v>33</v>
      </c>
      <c r="R311" s="4" t="s">
        <v>1283</v>
      </c>
      <c r="S311" s="4" t="s">
        <v>1279</v>
      </c>
      <c r="T311" s="4" t="s">
        <v>19</v>
      </c>
      <c r="U311" s="4" t="s">
        <v>507</v>
      </c>
      <c r="V311" s="4" t="str">
        <f t="shared" si="23"/>
        <v>TRANSPORATIONINDUSTRY SOLUTIONAUTHORIZEDADD-ON</v>
      </c>
    </row>
    <row r="312" spans="1:22" ht="15" thickBot="1">
      <c r="A312" s="10" t="s">
        <v>21</v>
      </c>
      <c r="B312" s="10" t="s">
        <v>22</v>
      </c>
      <c r="C312" s="10" t="s">
        <v>778</v>
      </c>
      <c r="D312" s="10" t="s">
        <v>779</v>
      </c>
      <c r="E312" s="10" t="s">
        <v>780</v>
      </c>
      <c r="F312" s="10" t="s">
        <v>781</v>
      </c>
      <c r="G312" s="11">
        <v>3940</v>
      </c>
      <c r="H312" s="163" t="s">
        <v>792</v>
      </c>
      <c r="I312" s="158" t="s">
        <v>793</v>
      </c>
      <c r="J312" s="163" t="s">
        <v>790</v>
      </c>
      <c r="K312" s="10" t="s">
        <v>40</v>
      </c>
      <c r="L312" s="10">
        <v>5</v>
      </c>
      <c r="M312" s="10">
        <f t="shared" si="26"/>
        <v>5</v>
      </c>
      <c r="N312" s="10">
        <v>15</v>
      </c>
      <c r="O312" s="12">
        <v>1</v>
      </c>
      <c r="P312" s="11">
        <v>6570</v>
      </c>
      <c r="Q312" s="10" t="s">
        <v>36</v>
      </c>
      <c r="R312" s="4" t="s">
        <v>1283</v>
      </c>
      <c r="S312" s="4" t="s">
        <v>1279</v>
      </c>
      <c r="T312" s="4" t="s">
        <v>19</v>
      </c>
      <c r="U312" s="4" t="s">
        <v>507</v>
      </c>
      <c r="V312" s="4" t="str">
        <f t="shared" si="23"/>
        <v>TRANSPORATIONINDUSTRY SOLUTIONAUTHORIZEDADD-ON</v>
      </c>
    </row>
    <row r="313" spans="1:22" ht="15" thickBot="1">
      <c r="A313" s="10" t="s">
        <v>21</v>
      </c>
      <c r="B313" s="10" t="s">
        <v>22</v>
      </c>
      <c r="C313" s="10" t="s">
        <v>778</v>
      </c>
      <c r="D313" s="10" t="s">
        <v>779</v>
      </c>
      <c r="E313" s="10" t="s">
        <v>780</v>
      </c>
      <c r="F313" s="10" t="s">
        <v>781</v>
      </c>
      <c r="G313" s="11">
        <v>1410</v>
      </c>
      <c r="H313" s="163" t="s">
        <v>802</v>
      </c>
      <c r="I313" s="166" t="s">
        <v>803</v>
      </c>
      <c r="J313" s="163" t="s">
        <v>790</v>
      </c>
      <c r="K313" s="10" t="s">
        <v>40</v>
      </c>
      <c r="L313" s="10">
        <v>5</v>
      </c>
      <c r="M313" s="10">
        <f t="shared" si="26"/>
        <v>5</v>
      </c>
      <c r="N313" s="10">
        <v>15</v>
      </c>
      <c r="O313" s="12">
        <v>1</v>
      </c>
      <c r="P313" s="11">
        <v>6570</v>
      </c>
      <c r="Q313" s="10" t="s">
        <v>48</v>
      </c>
      <c r="R313" s="4" t="s">
        <v>1283</v>
      </c>
      <c r="S313" s="4" t="s">
        <v>1279</v>
      </c>
      <c r="T313" s="4" t="s">
        <v>19</v>
      </c>
      <c r="U313" s="4" t="s">
        <v>507</v>
      </c>
      <c r="V313" s="4" t="str">
        <f t="shared" si="23"/>
        <v>TRANSPORATIONINDUSTRY SOLUTIONAUTHORIZEDADD-ON</v>
      </c>
    </row>
    <row r="314" spans="1:22" ht="15" thickBot="1">
      <c r="A314" s="10" t="s">
        <v>21</v>
      </c>
      <c r="B314" s="10" t="s">
        <v>22</v>
      </c>
      <c r="C314" s="10" t="s">
        <v>778</v>
      </c>
      <c r="D314" s="10" t="s">
        <v>779</v>
      </c>
      <c r="E314" s="10" t="s">
        <v>780</v>
      </c>
      <c r="F314" s="10" t="s">
        <v>781</v>
      </c>
      <c r="G314" s="11">
        <v>6570</v>
      </c>
      <c r="H314" s="163" t="s">
        <v>796</v>
      </c>
      <c r="I314" s="158" t="s">
        <v>797</v>
      </c>
      <c r="J314" s="163" t="s">
        <v>796</v>
      </c>
      <c r="K314" s="10" t="s">
        <v>40</v>
      </c>
      <c r="L314" s="10">
        <v>5</v>
      </c>
      <c r="M314" s="10">
        <f t="shared" si="26"/>
        <v>5</v>
      </c>
      <c r="N314" s="10">
        <v>15</v>
      </c>
      <c r="O314" s="12">
        <v>1</v>
      </c>
      <c r="P314" s="11">
        <v>6570</v>
      </c>
      <c r="Q314" s="10" t="s">
        <v>33</v>
      </c>
      <c r="R314" s="4" t="s">
        <v>1283</v>
      </c>
      <c r="S314" s="4" t="s">
        <v>1279</v>
      </c>
      <c r="T314" s="4" t="s">
        <v>19</v>
      </c>
      <c r="U314" s="4" t="s">
        <v>507</v>
      </c>
      <c r="V314" s="4" t="str">
        <f t="shared" si="23"/>
        <v>TRANSPORATIONINDUSTRY SOLUTIONAUTHORIZEDADD-ON</v>
      </c>
    </row>
    <row r="315" spans="1:22" ht="15" thickBot="1">
      <c r="A315" s="10" t="s">
        <v>21</v>
      </c>
      <c r="B315" s="10" t="s">
        <v>22</v>
      </c>
      <c r="C315" s="10" t="s">
        <v>778</v>
      </c>
      <c r="D315" s="10" t="s">
        <v>779</v>
      </c>
      <c r="E315" s="10" t="s">
        <v>780</v>
      </c>
      <c r="F315" s="10" t="s">
        <v>781</v>
      </c>
      <c r="G315" s="11">
        <v>3940</v>
      </c>
      <c r="H315" s="163" t="s">
        <v>798</v>
      </c>
      <c r="I315" s="158" t="s">
        <v>799</v>
      </c>
      <c r="J315" s="163" t="s">
        <v>796</v>
      </c>
      <c r="K315" s="10" t="s">
        <v>40</v>
      </c>
      <c r="L315" s="10">
        <v>5</v>
      </c>
      <c r="M315" s="10">
        <f t="shared" si="26"/>
        <v>5</v>
      </c>
      <c r="N315" s="10">
        <v>15</v>
      </c>
      <c r="O315" s="12">
        <v>1</v>
      </c>
      <c r="P315" s="11">
        <v>6570</v>
      </c>
      <c r="Q315" s="10" t="s">
        <v>36</v>
      </c>
      <c r="R315" s="4" t="s">
        <v>1283</v>
      </c>
      <c r="S315" s="4" t="s">
        <v>1279</v>
      </c>
      <c r="T315" s="4" t="s">
        <v>19</v>
      </c>
      <c r="U315" s="4" t="s">
        <v>507</v>
      </c>
      <c r="V315" s="4" t="str">
        <f t="shared" si="23"/>
        <v>TRANSPORATIONINDUSTRY SOLUTIONAUTHORIZEDADD-ON</v>
      </c>
    </row>
    <row r="316" spans="1:22" ht="27" thickBot="1">
      <c r="A316" s="10" t="s">
        <v>21</v>
      </c>
      <c r="B316" s="10" t="s">
        <v>22</v>
      </c>
      <c r="C316" s="10" t="s">
        <v>778</v>
      </c>
      <c r="D316" s="10" t="s">
        <v>779</v>
      </c>
      <c r="E316" s="10" t="s">
        <v>780</v>
      </c>
      <c r="F316" s="10" t="s">
        <v>781</v>
      </c>
      <c r="G316" s="11">
        <v>1410</v>
      </c>
      <c r="H316" s="163" t="s">
        <v>800</v>
      </c>
      <c r="I316" s="166" t="s">
        <v>801</v>
      </c>
      <c r="J316" s="163" t="s">
        <v>796</v>
      </c>
      <c r="K316" s="10" t="s">
        <v>40</v>
      </c>
      <c r="L316" s="10">
        <v>5</v>
      </c>
      <c r="M316" s="10">
        <f t="shared" si="26"/>
        <v>5</v>
      </c>
      <c r="N316" s="10">
        <v>15</v>
      </c>
      <c r="O316" s="12">
        <v>1</v>
      </c>
      <c r="P316" s="11">
        <v>6570</v>
      </c>
      <c r="Q316" s="10" t="s">
        <v>48</v>
      </c>
      <c r="R316" s="4" t="s">
        <v>1283</v>
      </c>
      <c r="S316" s="4" t="s">
        <v>1279</v>
      </c>
      <c r="T316" s="4" t="s">
        <v>19</v>
      </c>
      <c r="U316" s="4" t="s">
        <v>507</v>
      </c>
      <c r="V316" s="4" t="str">
        <f t="shared" si="23"/>
        <v>TRANSPORATIONINDUSTRY SOLUTIONAUTHORIZEDADD-ON</v>
      </c>
    </row>
    <row r="317" spans="1:22" ht="15" thickBot="1">
      <c r="A317" s="10" t="s">
        <v>21</v>
      </c>
      <c r="B317" s="10" t="s">
        <v>22</v>
      </c>
      <c r="C317" s="10" t="s">
        <v>500</v>
      </c>
      <c r="D317" s="10" t="s">
        <v>501</v>
      </c>
      <c r="E317" s="10" t="s">
        <v>502</v>
      </c>
      <c r="F317" s="10" t="s">
        <v>503</v>
      </c>
      <c r="G317" s="11">
        <v>21300</v>
      </c>
      <c r="H317" s="163" t="s">
        <v>541</v>
      </c>
      <c r="I317" s="158" t="s">
        <v>542</v>
      </c>
      <c r="J317" s="163" t="s">
        <v>541</v>
      </c>
      <c r="K317" s="10" t="s">
        <v>40</v>
      </c>
      <c r="L317" s="10">
        <v>10</v>
      </c>
      <c r="M317" s="10">
        <f t="shared" si="26"/>
        <v>10</v>
      </c>
      <c r="N317" s="15">
        <v>5</v>
      </c>
      <c r="O317" s="16">
        <v>1</v>
      </c>
      <c r="P317" s="11">
        <v>21300</v>
      </c>
      <c r="Q317" s="10" t="s">
        <v>33</v>
      </c>
      <c r="R317" s="4" t="s">
        <v>1292</v>
      </c>
      <c r="S317" s="4" t="s">
        <v>1292</v>
      </c>
      <c r="T317" s="4" t="s">
        <v>19</v>
      </c>
      <c r="U317" s="4" t="str">
        <f t="shared" ref="U317:U324" si="27">IF(ISNUMBER(SEARCH("ADD-ON",$I317)),"ADD-ON","NOT AN ADD-ON")</f>
        <v>NOT AN ADD-ON</v>
      </c>
      <c r="V317" s="4" t="str">
        <f t="shared" si="23"/>
        <v>LIFE SCIENCESLIFE SCIENCESAUTHORIZEDNOT AN ADD-ON</v>
      </c>
    </row>
    <row r="318" spans="1:22" ht="15" thickBot="1">
      <c r="A318" s="10" t="s">
        <v>21</v>
      </c>
      <c r="B318" s="10" t="s">
        <v>22</v>
      </c>
      <c r="C318" s="10" t="s">
        <v>500</v>
      </c>
      <c r="D318" s="10" t="s">
        <v>501</v>
      </c>
      <c r="E318" s="10" t="s">
        <v>502</v>
      </c>
      <c r="F318" s="10" t="s">
        <v>503</v>
      </c>
      <c r="G318" s="11">
        <v>12900</v>
      </c>
      <c r="H318" s="163" t="s">
        <v>543</v>
      </c>
      <c r="I318" s="158" t="s">
        <v>544</v>
      </c>
      <c r="J318" s="163" t="s">
        <v>541</v>
      </c>
      <c r="K318" s="10" t="s">
        <v>40</v>
      </c>
      <c r="L318" s="10">
        <v>10</v>
      </c>
      <c r="M318" s="10">
        <f t="shared" si="26"/>
        <v>10</v>
      </c>
      <c r="N318" s="10">
        <v>5</v>
      </c>
      <c r="O318" s="12">
        <v>1</v>
      </c>
      <c r="P318" s="11">
        <v>21300</v>
      </c>
      <c r="Q318" s="10" t="s">
        <v>36</v>
      </c>
      <c r="R318" s="4" t="s">
        <v>1292</v>
      </c>
      <c r="S318" s="4" t="s">
        <v>1292</v>
      </c>
      <c r="T318" s="4" t="s">
        <v>19</v>
      </c>
      <c r="U318" s="4" t="str">
        <f t="shared" si="27"/>
        <v>NOT AN ADD-ON</v>
      </c>
      <c r="V318" s="4" t="str">
        <f t="shared" si="23"/>
        <v>LIFE SCIENCESLIFE SCIENCESAUTHORIZEDNOT AN ADD-ON</v>
      </c>
    </row>
    <row r="319" spans="1:22" ht="15" thickBot="1">
      <c r="A319" s="10" t="s">
        <v>21</v>
      </c>
      <c r="B319" s="10" t="s">
        <v>22</v>
      </c>
      <c r="C319" s="10" t="s">
        <v>500</v>
      </c>
      <c r="D319" s="10" t="s">
        <v>501</v>
      </c>
      <c r="E319" s="10" t="s">
        <v>502</v>
      </c>
      <c r="F319" s="10" t="s">
        <v>503</v>
      </c>
      <c r="G319" s="11">
        <v>5940</v>
      </c>
      <c r="H319" s="163" t="s">
        <v>557</v>
      </c>
      <c r="I319" s="166" t="s">
        <v>558</v>
      </c>
      <c r="J319" s="163" t="s">
        <v>541</v>
      </c>
      <c r="K319" s="10" t="s">
        <v>40</v>
      </c>
      <c r="L319" s="10">
        <v>10</v>
      </c>
      <c r="M319" s="10">
        <f t="shared" si="26"/>
        <v>10</v>
      </c>
      <c r="N319" s="10">
        <v>5</v>
      </c>
      <c r="O319" s="12">
        <v>1</v>
      </c>
      <c r="P319" s="11">
        <v>21300</v>
      </c>
      <c r="Q319" s="10" t="s">
        <v>48</v>
      </c>
      <c r="R319" s="4" t="s">
        <v>1292</v>
      </c>
      <c r="S319" s="4" t="s">
        <v>1292</v>
      </c>
      <c r="T319" s="4" t="s">
        <v>19</v>
      </c>
      <c r="U319" s="4" t="str">
        <f t="shared" si="27"/>
        <v>NOT AN ADD-ON</v>
      </c>
      <c r="V319" s="4" t="str">
        <f t="shared" si="23"/>
        <v>LIFE SCIENCESLIFE SCIENCESAUTHORIZEDNOT AN ADD-ON</v>
      </c>
    </row>
    <row r="320" spans="1:22" ht="15" thickBot="1">
      <c r="A320" s="10" t="s">
        <v>21</v>
      </c>
      <c r="B320" s="10" t="s">
        <v>22</v>
      </c>
      <c r="C320" s="10" t="s">
        <v>500</v>
      </c>
      <c r="D320" s="10" t="s">
        <v>501</v>
      </c>
      <c r="E320" s="10" t="s">
        <v>502</v>
      </c>
      <c r="F320" s="10" t="s">
        <v>503</v>
      </c>
      <c r="G320" s="11">
        <v>4580</v>
      </c>
      <c r="H320" s="163" t="s">
        <v>555</v>
      </c>
      <c r="I320" s="166" t="s">
        <v>556</v>
      </c>
      <c r="J320" s="163" t="s">
        <v>541</v>
      </c>
      <c r="K320" s="10" t="s">
        <v>40</v>
      </c>
      <c r="L320" s="10">
        <v>10</v>
      </c>
      <c r="M320" s="10">
        <f t="shared" si="26"/>
        <v>10</v>
      </c>
      <c r="N320" s="10">
        <v>5</v>
      </c>
      <c r="O320" s="12">
        <v>1</v>
      </c>
      <c r="P320" s="11">
        <v>21300</v>
      </c>
      <c r="Q320" s="10" t="s">
        <v>48</v>
      </c>
      <c r="R320" s="4" t="s">
        <v>1292</v>
      </c>
      <c r="S320" s="4" t="s">
        <v>1292</v>
      </c>
      <c r="T320" s="4" t="s">
        <v>19</v>
      </c>
      <c r="U320" s="4" t="str">
        <f t="shared" si="27"/>
        <v>NOT AN ADD-ON</v>
      </c>
      <c r="V320" s="4" t="str">
        <f t="shared" si="23"/>
        <v>LIFE SCIENCESLIFE SCIENCESAUTHORIZEDNOT AN ADD-ON</v>
      </c>
    </row>
    <row r="321" spans="1:22" ht="15" thickBot="1">
      <c r="A321" s="10" t="s">
        <v>21</v>
      </c>
      <c r="B321" s="10" t="s">
        <v>22</v>
      </c>
      <c r="C321" s="10" t="s">
        <v>500</v>
      </c>
      <c r="D321" s="10" t="s">
        <v>501</v>
      </c>
      <c r="E321" s="10" t="s">
        <v>502</v>
      </c>
      <c r="F321" s="10" t="s">
        <v>503</v>
      </c>
      <c r="G321" s="11">
        <v>21300</v>
      </c>
      <c r="H321" s="163" t="s">
        <v>547</v>
      </c>
      <c r="I321" s="158" t="s">
        <v>548</v>
      </c>
      <c r="J321" s="163" t="s">
        <v>547</v>
      </c>
      <c r="K321" s="10" t="s">
        <v>40</v>
      </c>
      <c r="L321" s="10">
        <v>10</v>
      </c>
      <c r="M321" s="10">
        <f t="shared" si="26"/>
        <v>10</v>
      </c>
      <c r="N321" s="10">
        <v>5</v>
      </c>
      <c r="O321" s="12">
        <v>1</v>
      </c>
      <c r="P321" s="11">
        <v>21300</v>
      </c>
      <c r="Q321" s="10" t="s">
        <v>33</v>
      </c>
      <c r="R321" s="4" t="s">
        <v>1292</v>
      </c>
      <c r="S321" s="4" t="s">
        <v>1292</v>
      </c>
      <c r="T321" s="4" t="s">
        <v>19</v>
      </c>
      <c r="U321" s="4" t="str">
        <f t="shared" si="27"/>
        <v>NOT AN ADD-ON</v>
      </c>
      <c r="V321" s="4" t="str">
        <f t="shared" si="23"/>
        <v>LIFE SCIENCESLIFE SCIENCESAUTHORIZEDNOT AN ADD-ON</v>
      </c>
    </row>
    <row r="322" spans="1:22" ht="15" thickBot="1">
      <c r="A322" s="10" t="s">
        <v>21</v>
      </c>
      <c r="B322" s="10" t="s">
        <v>22</v>
      </c>
      <c r="C322" s="10" t="s">
        <v>500</v>
      </c>
      <c r="D322" s="10" t="s">
        <v>501</v>
      </c>
      <c r="E322" s="10" t="s">
        <v>502</v>
      </c>
      <c r="F322" s="10" t="s">
        <v>503</v>
      </c>
      <c r="G322" s="11">
        <v>12900</v>
      </c>
      <c r="H322" s="163" t="s">
        <v>549</v>
      </c>
      <c r="I322" s="158" t="s">
        <v>550</v>
      </c>
      <c r="J322" s="163" t="s">
        <v>547</v>
      </c>
      <c r="K322" s="10" t="s">
        <v>40</v>
      </c>
      <c r="L322" s="10">
        <v>10</v>
      </c>
      <c r="M322" s="10">
        <f t="shared" si="26"/>
        <v>10</v>
      </c>
      <c r="N322" s="10">
        <v>5</v>
      </c>
      <c r="O322" s="12">
        <v>1</v>
      </c>
      <c r="P322" s="11">
        <v>21300</v>
      </c>
      <c r="Q322" s="10" t="s">
        <v>36</v>
      </c>
      <c r="R322" s="4" t="s">
        <v>1292</v>
      </c>
      <c r="S322" s="4" t="s">
        <v>1292</v>
      </c>
      <c r="T322" s="4" t="s">
        <v>19</v>
      </c>
      <c r="U322" s="4" t="str">
        <f t="shared" si="27"/>
        <v>NOT AN ADD-ON</v>
      </c>
      <c r="V322" s="4" t="str">
        <f t="shared" si="23"/>
        <v>LIFE SCIENCESLIFE SCIENCESAUTHORIZEDNOT AN ADD-ON</v>
      </c>
    </row>
    <row r="323" spans="1:22" ht="15" thickBot="1">
      <c r="A323" s="10" t="s">
        <v>21</v>
      </c>
      <c r="B323" s="10" t="s">
        <v>22</v>
      </c>
      <c r="C323" s="10" t="s">
        <v>500</v>
      </c>
      <c r="D323" s="10" t="s">
        <v>501</v>
      </c>
      <c r="E323" s="10" t="s">
        <v>502</v>
      </c>
      <c r="F323" s="10" t="s">
        <v>503</v>
      </c>
      <c r="G323" s="11">
        <v>5940</v>
      </c>
      <c r="H323" s="163" t="s">
        <v>553</v>
      </c>
      <c r="I323" s="166" t="s">
        <v>554</v>
      </c>
      <c r="J323" s="163" t="s">
        <v>547</v>
      </c>
      <c r="K323" s="10" t="s">
        <v>40</v>
      </c>
      <c r="L323" s="10">
        <v>10</v>
      </c>
      <c r="M323" s="10">
        <f t="shared" si="26"/>
        <v>10</v>
      </c>
      <c r="N323" s="10">
        <v>5</v>
      </c>
      <c r="O323" s="12">
        <v>1</v>
      </c>
      <c r="P323" s="11">
        <v>21300</v>
      </c>
      <c r="Q323" s="10" t="s">
        <v>48</v>
      </c>
      <c r="R323" s="4" t="s">
        <v>1292</v>
      </c>
      <c r="S323" s="4" t="s">
        <v>1292</v>
      </c>
      <c r="T323" s="4" t="s">
        <v>19</v>
      </c>
      <c r="U323" s="4" t="str">
        <f t="shared" si="27"/>
        <v>NOT AN ADD-ON</v>
      </c>
      <c r="V323" s="4" t="str">
        <f t="shared" ref="V323:V386" si="28">CONCATENATE(R323,S323,T323,U323)</f>
        <v>LIFE SCIENCESLIFE SCIENCESAUTHORIZEDNOT AN ADD-ON</v>
      </c>
    </row>
    <row r="324" spans="1:22" ht="15" thickBot="1">
      <c r="A324" s="10" t="s">
        <v>21</v>
      </c>
      <c r="B324" s="10" t="s">
        <v>22</v>
      </c>
      <c r="C324" s="10" t="s">
        <v>500</v>
      </c>
      <c r="D324" s="10" t="s">
        <v>501</v>
      </c>
      <c r="E324" s="10" t="s">
        <v>502</v>
      </c>
      <c r="F324" s="10" t="s">
        <v>503</v>
      </c>
      <c r="G324" s="11">
        <v>4580</v>
      </c>
      <c r="H324" s="163" t="s">
        <v>551</v>
      </c>
      <c r="I324" s="166" t="s">
        <v>552</v>
      </c>
      <c r="J324" s="163" t="s">
        <v>547</v>
      </c>
      <c r="K324" s="10" t="s">
        <v>40</v>
      </c>
      <c r="L324" s="10">
        <v>10</v>
      </c>
      <c r="M324" s="10">
        <f t="shared" si="26"/>
        <v>10</v>
      </c>
      <c r="N324" s="10">
        <v>5</v>
      </c>
      <c r="O324" s="12">
        <v>1</v>
      </c>
      <c r="P324" s="11">
        <v>21300</v>
      </c>
      <c r="Q324" s="10" t="s">
        <v>48</v>
      </c>
      <c r="R324" s="4" t="s">
        <v>1292</v>
      </c>
      <c r="S324" s="4" t="s">
        <v>1292</v>
      </c>
      <c r="T324" s="4" t="s">
        <v>19</v>
      </c>
      <c r="U324" s="4" t="str">
        <f t="shared" si="27"/>
        <v>NOT AN ADD-ON</v>
      </c>
      <c r="V324" s="4" t="str">
        <f t="shared" si="28"/>
        <v>LIFE SCIENCESLIFE SCIENCESAUTHORIZEDNOT AN ADD-ON</v>
      </c>
    </row>
    <row r="325" spans="1:22" ht="15" thickBot="1">
      <c r="A325" s="10" t="s">
        <v>21</v>
      </c>
      <c r="B325" s="10" t="s">
        <v>22</v>
      </c>
      <c r="C325" s="10" t="s">
        <v>500</v>
      </c>
      <c r="D325" s="10" t="s">
        <v>501</v>
      </c>
      <c r="E325" s="10" t="s">
        <v>502</v>
      </c>
      <c r="F325" s="10" t="s">
        <v>503</v>
      </c>
      <c r="G325" s="11">
        <v>2170</v>
      </c>
      <c r="H325" s="163" t="s">
        <v>513</v>
      </c>
      <c r="I325" s="158" t="s">
        <v>514</v>
      </c>
      <c r="J325" s="163" t="s">
        <v>513</v>
      </c>
      <c r="K325" s="10" t="s">
        <v>40</v>
      </c>
      <c r="L325" s="10">
        <v>0</v>
      </c>
      <c r="M325" s="10">
        <f t="shared" si="26"/>
        <v>0</v>
      </c>
      <c r="N325" s="10">
        <v>5</v>
      </c>
      <c r="O325" s="12">
        <v>1</v>
      </c>
      <c r="P325" s="11">
        <v>2170</v>
      </c>
      <c r="Q325" s="10" t="s">
        <v>33</v>
      </c>
      <c r="R325" s="4" t="s">
        <v>1292</v>
      </c>
      <c r="S325" s="4" t="s">
        <v>1292</v>
      </c>
      <c r="T325" s="4" t="s">
        <v>19</v>
      </c>
      <c r="U325" s="4" t="s">
        <v>507</v>
      </c>
      <c r="V325" s="4" t="str">
        <f t="shared" si="28"/>
        <v>LIFE SCIENCESLIFE SCIENCESAUTHORIZEDADD-ON</v>
      </c>
    </row>
    <row r="326" spans="1:22" ht="15" thickBot="1">
      <c r="A326" s="10" t="s">
        <v>21</v>
      </c>
      <c r="B326" s="10" t="s">
        <v>22</v>
      </c>
      <c r="C326" s="10" t="s">
        <v>500</v>
      </c>
      <c r="D326" s="10" t="s">
        <v>501</v>
      </c>
      <c r="E326" s="10" t="s">
        <v>502</v>
      </c>
      <c r="F326" s="10" t="s">
        <v>503</v>
      </c>
      <c r="G326" s="11">
        <v>1310</v>
      </c>
      <c r="H326" s="163" t="s">
        <v>515</v>
      </c>
      <c r="I326" s="158" t="s">
        <v>516</v>
      </c>
      <c r="J326" s="163" t="s">
        <v>513</v>
      </c>
      <c r="K326" s="10" t="s">
        <v>40</v>
      </c>
      <c r="L326" s="10">
        <v>0</v>
      </c>
      <c r="M326" s="10">
        <f t="shared" si="26"/>
        <v>0</v>
      </c>
      <c r="N326" s="10">
        <v>5</v>
      </c>
      <c r="O326" s="12">
        <v>1</v>
      </c>
      <c r="P326" s="11">
        <v>2170</v>
      </c>
      <c r="Q326" s="10" t="s">
        <v>36</v>
      </c>
      <c r="R326" s="4" t="s">
        <v>1292</v>
      </c>
      <c r="S326" s="4" t="s">
        <v>1292</v>
      </c>
      <c r="T326" s="4" t="s">
        <v>19</v>
      </c>
      <c r="U326" s="4" t="s">
        <v>507</v>
      </c>
      <c r="V326" s="4" t="str">
        <f t="shared" si="28"/>
        <v>LIFE SCIENCESLIFE SCIENCESAUTHORIZEDADD-ON</v>
      </c>
    </row>
    <row r="327" spans="1:22" ht="15" thickBot="1">
      <c r="A327" s="10" t="s">
        <v>21</v>
      </c>
      <c r="B327" s="10" t="s">
        <v>22</v>
      </c>
      <c r="C327" s="10" t="s">
        <v>500</v>
      </c>
      <c r="D327" s="10" t="s">
        <v>501</v>
      </c>
      <c r="E327" s="10" t="s">
        <v>502</v>
      </c>
      <c r="F327" s="10" t="s">
        <v>503</v>
      </c>
      <c r="G327" s="11">
        <v>467</v>
      </c>
      <c r="H327" s="163" t="s">
        <v>525</v>
      </c>
      <c r="I327" s="166" t="s">
        <v>526</v>
      </c>
      <c r="J327" s="163" t="s">
        <v>513</v>
      </c>
      <c r="K327" s="10" t="s">
        <v>40</v>
      </c>
      <c r="L327" s="10">
        <v>0</v>
      </c>
      <c r="M327" s="10">
        <f t="shared" si="26"/>
        <v>0</v>
      </c>
      <c r="N327" s="10">
        <v>5</v>
      </c>
      <c r="O327" s="12">
        <v>1</v>
      </c>
      <c r="P327" s="11">
        <v>2170</v>
      </c>
      <c r="Q327" s="10" t="s">
        <v>48</v>
      </c>
      <c r="R327" s="4" t="s">
        <v>1292</v>
      </c>
      <c r="S327" s="4" t="s">
        <v>1292</v>
      </c>
      <c r="T327" s="4" t="s">
        <v>19</v>
      </c>
      <c r="U327" s="4" t="s">
        <v>507</v>
      </c>
      <c r="V327" s="4" t="str">
        <f t="shared" si="28"/>
        <v>LIFE SCIENCESLIFE SCIENCESAUTHORIZEDADD-ON</v>
      </c>
    </row>
    <row r="328" spans="1:22" ht="15" thickBot="1">
      <c r="A328" s="10" t="s">
        <v>21</v>
      </c>
      <c r="B328" s="10" t="s">
        <v>22</v>
      </c>
      <c r="C328" s="10" t="s">
        <v>500</v>
      </c>
      <c r="D328" s="10" t="s">
        <v>501</v>
      </c>
      <c r="E328" s="10" t="s">
        <v>502</v>
      </c>
      <c r="F328" s="10" t="s">
        <v>503</v>
      </c>
      <c r="G328" s="11">
        <v>2170</v>
      </c>
      <c r="H328" s="163" t="s">
        <v>519</v>
      </c>
      <c r="I328" s="158" t="s">
        <v>520</v>
      </c>
      <c r="J328" s="163" t="s">
        <v>519</v>
      </c>
      <c r="K328" s="10" t="s">
        <v>40</v>
      </c>
      <c r="L328" s="10">
        <v>0</v>
      </c>
      <c r="M328" s="10">
        <f t="shared" si="26"/>
        <v>0</v>
      </c>
      <c r="N328" s="10">
        <v>5</v>
      </c>
      <c r="O328" s="12">
        <v>1</v>
      </c>
      <c r="P328" s="11">
        <v>2170</v>
      </c>
      <c r="Q328" s="10" t="s">
        <v>33</v>
      </c>
      <c r="R328" s="4" t="s">
        <v>1292</v>
      </c>
      <c r="S328" s="4" t="s">
        <v>1292</v>
      </c>
      <c r="T328" s="4" t="s">
        <v>19</v>
      </c>
      <c r="U328" s="4" t="s">
        <v>507</v>
      </c>
      <c r="V328" s="4" t="str">
        <f t="shared" si="28"/>
        <v>LIFE SCIENCESLIFE SCIENCESAUTHORIZEDADD-ON</v>
      </c>
    </row>
    <row r="329" spans="1:22" ht="15" thickBot="1">
      <c r="A329" s="10" t="s">
        <v>21</v>
      </c>
      <c r="B329" s="10" t="s">
        <v>22</v>
      </c>
      <c r="C329" s="10" t="s">
        <v>500</v>
      </c>
      <c r="D329" s="10" t="s">
        <v>501</v>
      </c>
      <c r="E329" s="10" t="s">
        <v>502</v>
      </c>
      <c r="F329" s="10" t="s">
        <v>503</v>
      </c>
      <c r="G329" s="11">
        <v>1310</v>
      </c>
      <c r="H329" s="163" t="s">
        <v>521</v>
      </c>
      <c r="I329" s="158" t="s">
        <v>522</v>
      </c>
      <c r="J329" s="163" t="s">
        <v>519</v>
      </c>
      <c r="K329" s="10" t="s">
        <v>40</v>
      </c>
      <c r="L329" s="10">
        <v>0</v>
      </c>
      <c r="M329" s="10">
        <f t="shared" si="26"/>
        <v>0</v>
      </c>
      <c r="N329" s="10">
        <v>5</v>
      </c>
      <c r="O329" s="12">
        <v>1</v>
      </c>
      <c r="P329" s="11">
        <v>2170</v>
      </c>
      <c r="Q329" s="10" t="s">
        <v>36</v>
      </c>
      <c r="R329" s="4" t="s">
        <v>1292</v>
      </c>
      <c r="S329" s="4" t="s">
        <v>1292</v>
      </c>
      <c r="T329" s="4" t="s">
        <v>19</v>
      </c>
      <c r="U329" s="4" t="s">
        <v>507</v>
      </c>
      <c r="V329" s="4" t="str">
        <f t="shared" si="28"/>
        <v>LIFE SCIENCESLIFE SCIENCESAUTHORIZEDADD-ON</v>
      </c>
    </row>
    <row r="330" spans="1:22" ht="27" thickBot="1">
      <c r="A330" s="10" t="s">
        <v>21</v>
      </c>
      <c r="B330" s="10" t="s">
        <v>22</v>
      </c>
      <c r="C330" s="10" t="s">
        <v>500</v>
      </c>
      <c r="D330" s="10" t="s">
        <v>501</v>
      </c>
      <c r="E330" s="10" t="s">
        <v>502</v>
      </c>
      <c r="F330" s="10" t="s">
        <v>503</v>
      </c>
      <c r="G330" s="11">
        <v>467</v>
      </c>
      <c r="H330" s="163" t="s">
        <v>523</v>
      </c>
      <c r="I330" s="166" t="s">
        <v>524</v>
      </c>
      <c r="J330" s="163" t="s">
        <v>519</v>
      </c>
      <c r="K330" s="10" t="s">
        <v>40</v>
      </c>
      <c r="L330" s="10">
        <v>0</v>
      </c>
      <c r="M330" s="10">
        <f t="shared" si="26"/>
        <v>0</v>
      </c>
      <c r="N330" s="10">
        <v>5</v>
      </c>
      <c r="O330" s="12">
        <v>1</v>
      </c>
      <c r="P330" s="11">
        <v>2170</v>
      </c>
      <c r="Q330" s="10" t="s">
        <v>48</v>
      </c>
      <c r="R330" s="4" t="s">
        <v>1292</v>
      </c>
      <c r="S330" s="4" t="s">
        <v>1292</v>
      </c>
      <c r="T330" s="4" t="s">
        <v>19</v>
      </c>
      <c r="U330" s="4" t="s">
        <v>507</v>
      </c>
      <c r="V330" s="4" t="str">
        <f t="shared" si="28"/>
        <v>LIFE SCIENCESLIFE SCIENCESAUTHORIZEDADD-ON</v>
      </c>
    </row>
    <row r="331" spans="1:22" ht="15" thickBot="1">
      <c r="A331" s="10" t="s">
        <v>21</v>
      </c>
      <c r="B331" s="10" t="s">
        <v>22</v>
      </c>
      <c r="C331" s="10" t="s">
        <v>385</v>
      </c>
      <c r="D331" s="10" t="s">
        <v>386</v>
      </c>
      <c r="E331" s="10" t="s">
        <v>387</v>
      </c>
      <c r="F331" s="10" t="s">
        <v>388</v>
      </c>
      <c r="G331" s="11">
        <v>1780</v>
      </c>
      <c r="H331" s="163" t="s">
        <v>397</v>
      </c>
      <c r="I331" s="158" t="s">
        <v>398</v>
      </c>
      <c r="J331" s="163" t="s">
        <v>397</v>
      </c>
      <c r="K331" s="10" t="s">
        <v>40</v>
      </c>
      <c r="L331" s="10">
        <v>0</v>
      </c>
      <c r="M331" s="10">
        <f t="shared" si="26"/>
        <v>0</v>
      </c>
      <c r="N331" s="10">
        <v>5</v>
      </c>
      <c r="O331" s="12">
        <v>1</v>
      </c>
      <c r="P331" s="11">
        <v>1780</v>
      </c>
      <c r="Q331" s="10" t="s">
        <v>33</v>
      </c>
      <c r="R331" s="4" t="s">
        <v>1288</v>
      </c>
      <c r="S331" s="4" t="s">
        <v>507</v>
      </c>
      <c r="T331" s="4" t="s">
        <v>19</v>
      </c>
      <c r="U331" s="4" t="str">
        <f t="shared" ref="U331:U350" si="29">IF(ISNUMBER(SEARCH("ADD-ON",$I331)),"ADD-ON","NOT AN ADD-ON")</f>
        <v>NOT AN ADD-ON</v>
      </c>
      <c r="V331" s="4" t="str">
        <f t="shared" si="28"/>
        <v>CALIBRATIONADD-ONAUTHORIZEDNOT AN ADD-ON</v>
      </c>
    </row>
    <row r="332" spans="1:22" ht="15" thickBot="1">
      <c r="A332" s="10" t="s">
        <v>21</v>
      </c>
      <c r="B332" s="10" t="s">
        <v>22</v>
      </c>
      <c r="C332" s="10" t="s">
        <v>385</v>
      </c>
      <c r="D332" s="10" t="s">
        <v>386</v>
      </c>
      <c r="E332" s="10" t="s">
        <v>387</v>
      </c>
      <c r="F332" s="10" t="s">
        <v>388</v>
      </c>
      <c r="G332" s="11">
        <v>1070</v>
      </c>
      <c r="H332" s="163" t="s">
        <v>399</v>
      </c>
      <c r="I332" s="158" t="s">
        <v>400</v>
      </c>
      <c r="J332" s="163" t="s">
        <v>397</v>
      </c>
      <c r="K332" s="10" t="s">
        <v>40</v>
      </c>
      <c r="L332" s="10">
        <v>0</v>
      </c>
      <c r="M332" s="10">
        <f t="shared" si="26"/>
        <v>0</v>
      </c>
      <c r="N332" s="10">
        <v>5</v>
      </c>
      <c r="O332" s="12">
        <v>1</v>
      </c>
      <c r="P332" s="11">
        <v>1780</v>
      </c>
      <c r="Q332" s="10" t="s">
        <v>36</v>
      </c>
      <c r="R332" s="4" t="s">
        <v>1288</v>
      </c>
      <c r="S332" s="4" t="s">
        <v>507</v>
      </c>
      <c r="T332" s="4" t="s">
        <v>19</v>
      </c>
      <c r="U332" s="4" t="str">
        <f t="shared" si="29"/>
        <v>NOT AN ADD-ON</v>
      </c>
      <c r="V332" s="4" t="str">
        <f t="shared" si="28"/>
        <v>CALIBRATIONADD-ONAUTHORIZEDNOT AN ADD-ON</v>
      </c>
    </row>
    <row r="333" spans="1:22" ht="15" thickBot="1">
      <c r="A333" s="10" t="s">
        <v>21</v>
      </c>
      <c r="B333" s="10" t="s">
        <v>22</v>
      </c>
      <c r="C333" s="10" t="s">
        <v>385</v>
      </c>
      <c r="D333" s="10" t="s">
        <v>386</v>
      </c>
      <c r="E333" s="10" t="s">
        <v>387</v>
      </c>
      <c r="F333" s="10" t="s">
        <v>388</v>
      </c>
      <c r="G333" s="11">
        <v>383</v>
      </c>
      <c r="H333" s="163" t="s">
        <v>409</v>
      </c>
      <c r="I333" s="158" t="s">
        <v>410</v>
      </c>
      <c r="J333" s="163" t="s">
        <v>397</v>
      </c>
      <c r="K333" s="10" t="s">
        <v>40</v>
      </c>
      <c r="L333" s="10">
        <v>0</v>
      </c>
      <c r="M333" s="10">
        <f t="shared" si="26"/>
        <v>0</v>
      </c>
      <c r="N333" s="10">
        <v>5</v>
      </c>
      <c r="O333" s="12">
        <v>1</v>
      </c>
      <c r="P333" s="11">
        <v>1780</v>
      </c>
      <c r="Q333" s="10" t="s">
        <v>48</v>
      </c>
      <c r="R333" s="4" t="s">
        <v>1288</v>
      </c>
      <c r="S333" s="4" t="s">
        <v>507</v>
      </c>
      <c r="T333" s="4" t="s">
        <v>19</v>
      </c>
      <c r="U333" s="4" t="str">
        <f t="shared" si="29"/>
        <v>NOT AN ADD-ON</v>
      </c>
      <c r="V333" s="4" t="str">
        <f t="shared" si="28"/>
        <v>CALIBRATIONADD-ONAUTHORIZEDNOT AN ADD-ON</v>
      </c>
    </row>
    <row r="334" spans="1:22" ht="15" thickBot="1">
      <c r="A334" s="10" t="s">
        <v>21</v>
      </c>
      <c r="B334" s="10" t="s">
        <v>22</v>
      </c>
      <c r="C334" s="10" t="s">
        <v>385</v>
      </c>
      <c r="D334" s="10" t="s">
        <v>386</v>
      </c>
      <c r="E334" s="10" t="s">
        <v>387</v>
      </c>
      <c r="F334" s="10" t="s">
        <v>388</v>
      </c>
      <c r="G334" s="11">
        <v>1780</v>
      </c>
      <c r="H334" s="163" t="s">
        <v>403</v>
      </c>
      <c r="I334" s="158" t="s">
        <v>404</v>
      </c>
      <c r="J334" s="163" t="s">
        <v>403</v>
      </c>
      <c r="K334" s="10" t="s">
        <v>40</v>
      </c>
      <c r="L334" s="10">
        <v>0</v>
      </c>
      <c r="M334" s="10">
        <f t="shared" si="26"/>
        <v>0</v>
      </c>
      <c r="N334" s="10">
        <v>5</v>
      </c>
      <c r="O334" s="12">
        <v>1</v>
      </c>
      <c r="P334" s="11">
        <v>1780</v>
      </c>
      <c r="Q334" s="10" t="s">
        <v>33</v>
      </c>
      <c r="R334" s="4" t="s">
        <v>1288</v>
      </c>
      <c r="S334" s="4" t="s">
        <v>507</v>
      </c>
      <c r="T334" s="4" t="s">
        <v>19</v>
      </c>
      <c r="U334" s="4" t="str">
        <f t="shared" si="29"/>
        <v>NOT AN ADD-ON</v>
      </c>
      <c r="V334" s="4" t="str">
        <f t="shared" si="28"/>
        <v>CALIBRATIONADD-ONAUTHORIZEDNOT AN ADD-ON</v>
      </c>
    </row>
    <row r="335" spans="1:22" ht="15" thickBot="1">
      <c r="A335" s="10" t="s">
        <v>21</v>
      </c>
      <c r="B335" s="10" t="s">
        <v>22</v>
      </c>
      <c r="C335" s="10" t="s">
        <v>385</v>
      </c>
      <c r="D335" s="10" t="s">
        <v>386</v>
      </c>
      <c r="E335" s="10" t="s">
        <v>387</v>
      </c>
      <c r="F335" s="10" t="s">
        <v>388</v>
      </c>
      <c r="G335" s="11">
        <v>1070</v>
      </c>
      <c r="H335" s="163" t="s">
        <v>405</v>
      </c>
      <c r="I335" s="158" t="s">
        <v>406</v>
      </c>
      <c r="J335" s="163" t="s">
        <v>403</v>
      </c>
      <c r="K335" s="10" t="s">
        <v>40</v>
      </c>
      <c r="L335" s="10">
        <v>0</v>
      </c>
      <c r="M335" s="10">
        <f t="shared" si="26"/>
        <v>0</v>
      </c>
      <c r="N335" s="10">
        <v>5</v>
      </c>
      <c r="O335" s="12">
        <v>1</v>
      </c>
      <c r="P335" s="11">
        <v>1780</v>
      </c>
      <c r="Q335" s="10" t="s">
        <v>36</v>
      </c>
      <c r="R335" s="4" t="s">
        <v>1288</v>
      </c>
      <c r="S335" s="4" t="s">
        <v>507</v>
      </c>
      <c r="T335" s="4" t="s">
        <v>19</v>
      </c>
      <c r="U335" s="4" t="str">
        <f t="shared" si="29"/>
        <v>NOT AN ADD-ON</v>
      </c>
      <c r="V335" s="4" t="str">
        <f t="shared" si="28"/>
        <v>CALIBRATIONADD-ONAUTHORIZEDNOT AN ADD-ON</v>
      </c>
    </row>
    <row r="336" spans="1:22" ht="15" thickBot="1">
      <c r="A336" s="10" t="s">
        <v>21</v>
      </c>
      <c r="B336" s="10" t="s">
        <v>22</v>
      </c>
      <c r="C336" s="10" t="s">
        <v>385</v>
      </c>
      <c r="D336" s="10" t="s">
        <v>386</v>
      </c>
      <c r="E336" s="10" t="s">
        <v>387</v>
      </c>
      <c r="F336" s="10" t="s">
        <v>388</v>
      </c>
      <c r="G336" s="11">
        <v>383</v>
      </c>
      <c r="H336" s="163" t="s">
        <v>407</v>
      </c>
      <c r="I336" s="166" t="s">
        <v>408</v>
      </c>
      <c r="J336" s="163" t="s">
        <v>403</v>
      </c>
      <c r="K336" s="10" t="s">
        <v>40</v>
      </c>
      <c r="L336" s="10">
        <v>0</v>
      </c>
      <c r="M336" s="10">
        <f t="shared" si="26"/>
        <v>0</v>
      </c>
      <c r="N336" s="10">
        <v>5</v>
      </c>
      <c r="O336" s="12">
        <v>1</v>
      </c>
      <c r="P336" s="11">
        <v>1780</v>
      </c>
      <c r="Q336" s="10" t="s">
        <v>48</v>
      </c>
      <c r="R336" s="4" t="s">
        <v>1288</v>
      </c>
      <c r="S336" s="4" t="s">
        <v>507</v>
      </c>
      <c r="T336" s="4" t="s">
        <v>19</v>
      </c>
      <c r="U336" s="4" t="str">
        <f t="shared" si="29"/>
        <v>NOT AN ADD-ON</v>
      </c>
      <c r="V336" s="4" t="str">
        <f t="shared" si="28"/>
        <v>CALIBRATIONADD-ONAUTHORIZEDNOT AN ADD-ON</v>
      </c>
    </row>
    <row r="337" spans="1:22" ht="15" thickBot="1">
      <c r="A337" s="10" t="s">
        <v>21</v>
      </c>
      <c r="B337" s="10" t="s">
        <v>22</v>
      </c>
      <c r="C337" s="10" t="s">
        <v>1044</v>
      </c>
      <c r="D337" s="10" t="s">
        <v>1045</v>
      </c>
      <c r="E337" s="10" t="s">
        <v>1046</v>
      </c>
      <c r="F337" s="10" t="s">
        <v>1047</v>
      </c>
      <c r="G337" s="11">
        <v>657</v>
      </c>
      <c r="H337" s="163" t="s">
        <v>1056</v>
      </c>
      <c r="I337" s="158" t="s">
        <v>1057</v>
      </c>
      <c r="J337" s="163" t="s">
        <v>1056</v>
      </c>
      <c r="K337" s="10" t="s">
        <v>40</v>
      </c>
      <c r="L337" s="10">
        <v>0</v>
      </c>
      <c r="M337" s="10">
        <f t="shared" ref="M337:M368" si="30">ROUND(IF(K337="Authorized User",L337/3,L337),2)</f>
        <v>0</v>
      </c>
      <c r="N337" s="10">
        <v>5</v>
      </c>
      <c r="O337" s="12">
        <v>1</v>
      </c>
      <c r="P337" s="11">
        <v>657</v>
      </c>
      <c r="Q337" s="10" t="s">
        <v>33</v>
      </c>
      <c r="R337" s="4" t="s">
        <v>1291</v>
      </c>
      <c r="S337" s="4" t="s">
        <v>507</v>
      </c>
      <c r="T337" s="4" t="s">
        <v>19</v>
      </c>
      <c r="U337" s="4" t="str">
        <f t="shared" si="29"/>
        <v>NOT AN ADD-ON</v>
      </c>
      <c r="V337" s="4" t="str">
        <f t="shared" si="28"/>
        <v>SPATIALADD-ONAUTHORIZEDNOT AN ADD-ON</v>
      </c>
    </row>
    <row r="338" spans="1:22" ht="15" thickBot="1">
      <c r="A338" s="10" t="s">
        <v>21</v>
      </c>
      <c r="B338" s="10" t="s">
        <v>22</v>
      </c>
      <c r="C338" s="10" t="s">
        <v>1044</v>
      </c>
      <c r="D338" s="10" t="s">
        <v>1045</v>
      </c>
      <c r="E338" s="10" t="s">
        <v>1046</v>
      </c>
      <c r="F338" s="10" t="s">
        <v>1047</v>
      </c>
      <c r="G338" s="11">
        <v>394</v>
      </c>
      <c r="H338" s="163" t="s">
        <v>1058</v>
      </c>
      <c r="I338" s="158" t="s">
        <v>1059</v>
      </c>
      <c r="J338" s="163" t="s">
        <v>1056</v>
      </c>
      <c r="K338" s="10" t="s">
        <v>40</v>
      </c>
      <c r="L338" s="10">
        <v>0</v>
      </c>
      <c r="M338" s="10">
        <f t="shared" si="30"/>
        <v>0</v>
      </c>
      <c r="N338" s="10">
        <v>5</v>
      </c>
      <c r="O338" s="12">
        <v>1</v>
      </c>
      <c r="P338" s="11">
        <v>657</v>
      </c>
      <c r="Q338" s="10" t="s">
        <v>36</v>
      </c>
      <c r="R338" s="4" t="s">
        <v>1291</v>
      </c>
      <c r="S338" s="4" t="s">
        <v>507</v>
      </c>
      <c r="T338" s="4" t="s">
        <v>19</v>
      </c>
      <c r="U338" s="4" t="str">
        <f t="shared" si="29"/>
        <v>NOT AN ADD-ON</v>
      </c>
      <c r="V338" s="4" t="str">
        <f t="shared" si="28"/>
        <v>SPATIALADD-ONAUTHORIZEDNOT AN ADD-ON</v>
      </c>
    </row>
    <row r="339" spans="1:22" ht="15" thickBot="1">
      <c r="A339" s="10" t="s">
        <v>21</v>
      </c>
      <c r="B339" s="10" t="s">
        <v>22</v>
      </c>
      <c r="C339" s="10" t="s">
        <v>1044</v>
      </c>
      <c r="D339" s="10" t="s">
        <v>1045</v>
      </c>
      <c r="E339" s="10" t="s">
        <v>1046</v>
      </c>
      <c r="F339" s="10" t="s">
        <v>1047</v>
      </c>
      <c r="G339" s="11">
        <v>141</v>
      </c>
      <c r="H339" s="163" t="s">
        <v>1068</v>
      </c>
      <c r="I339" s="166" t="s">
        <v>1069</v>
      </c>
      <c r="J339" s="163" t="s">
        <v>1056</v>
      </c>
      <c r="K339" s="10" t="s">
        <v>40</v>
      </c>
      <c r="L339" s="10">
        <v>0</v>
      </c>
      <c r="M339" s="10">
        <f t="shared" si="30"/>
        <v>0</v>
      </c>
      <c r="N339" s="10">
        <v>5</v>
      </c>
      <c r="O339" s="12">
        <v>1</v>
      </c>
      <c r="P339" s="11">
        <v>657</v>
      </c>
      <c r="Q339" s="10" t="s">
        <v>48</v>
      </c>
      <c r="R339" s="4" t="s">
        <v>1291</v>
      </c>
      <c r="S339" s="4" t="s">
        <v>507</v>
      </c>
      <c r="T339" s="4" t="s">
        <v>19</v>
      </c>
      <c r="U339" s="4" t="str">
        <f t="shared" si="29"/>
        <v>NOT AN ADD-ON</v>
      </c>
      <c r="V339" s="4" t="str">
        <f t="shared" si="28"/>
        <v>SPATIALADD-ONAUTHORIZEDNOT AN ADD-ON</v>
      </c>
    </row>
    <row r="340" spans="1:22" ht="15" thickBot="1">
      <c r="A340" s="10" t="s">
        <v>21</v>
      </c>
      <c r="B340" s="10" t="s">
        <v>22</v>
      </c>
      <c r="C340" s="10" t="s">
        <v>1044</v>
      </c>
      <c r="D340" s="10" t="s">
        <v>1045</v>
      </c>
      <c r="E340" s="10" t="s">
        <v>1046</v>
      </c>
      <c r="F340" s="10" t="s">
        <v>1047</v>
      </c>
      <c r="G340" s="11">
        <v>657</v>
      </c>
      <c r="H340" s="163" t="s">
        <v>1062</v>
      </c>
      <c r="I340" s="158" t="s">
        <v>1063</v>
      </c>
      <c r="J340" s="163" t="s">
        <v>1062</v>
      </c>
      <c r="K340" s="10" t="s">
        <v>40</v>
      </c>
      <c r="L340" s="10">
        <v>0</v>
      </c>
      <c r="M340" s="10">
        <f t="shared" si="30"/>
        <v>0</v>
      </c>
      <c r="N340" s="10">
        <v>5</v>
      </c>
      <c r="O340" s="12">
        <v>1</v>
      </c>
      <c r="P340" s="11">
        <v>657</v>
      </c>
      <c r="Q340" s="10" t="s">
        <v>33</v>
      </c>
      <c r="R340" s="4" t="s">
        <v>1291</v>
      </c>
      <c r="S340" s="4" t="s">
        <v>507</v>
      </c>
      <c r="T340" s="4" t="s">
        <v>19</v>
      </c>
      <c r="U340" s="4" t="str">
        <f t="shared" si="29"/>
        <v>NOT AN ADD-ON</v>
      </c>
      <c r="V340" s="4" t="str">
        <f t="shared" si="28"/>
        <v>SPATIALADD-ONAUTHORIZEDNOT AN ADD-ON</v>
      </c>
    </row>
    <row r="341" spans="1:22" ht="15" thickBot="1">
      <c r="A341" s="10" t="s">
        <v>21</v>
      </c>
      <c r="B341" s="10" t="s">
        <v>22</v>
      </c>
      <c r="C341" s="10" t="s">
        <v>1044</v>
      </c>
      <c r="D341" s="10" t="s">
        <v>1045</v>
      </c>
      <c r="E341" s="10" t="s">
        <v>1046</v>
      </c>
      <c r="F341" s="10" t="s">
        <v>1047</v>
      </c>
      <c r="G341" s="11">
        <v>394</v>
      </c>
      <c r="H341" s="163" t="s">
        <v>1064</v>
      </c>
      <c r="I341" s="158" t="s">
        <v>1065</v>
      </c>
      <c r="J341" s="163" t="s">
        <v>1062</v>
      </c>
      <c r="K341" s="10" t="s">
        <v>40</v>
      </c>
      <c r="L341" s="10">
        <v>0</v>
      </c>
      <c r="M341" s="10">
        <f t="shared" si="30"/>
        <v>0</v>
      </c>
      <c r="N341" s="10">
        <v>5</v>
      </c>
      <c r="O341" s="12">
        <v>1</v>
      </c>
      <c r="P341" s="11">
        <v>657</v>
      </c>
      <c r="Q341" s="10" t="s">
        <v>36</v>
      </c>
      <c r="R341" s="4" t="s">
        <v>1291</v>
      </c>
      <c r="S341" s="4" t="s">
        <v>507</v>
      </c>
      <c r="T341" s="4" t="s">
        <v>19</v>
      </c>
      <c r="U341" s="4" t="str">
        <f t="shared" si="29"/>
        <v>NOT AN ADD-ON</v>
      </c>
      <c r="V341" s="4" t="str">
        <f t="shared" si="28"/>
        <v>SPATIALADD-ONAUTHORIZEDNOT AN ADD-ON</v>
      </c>
    </row>
    <row r="342" spans="1:22" ht="15" thickBot="1">
      <c r="A342" s="10" t="s">
        <v>21</v>
      </c>
      <c r="B342" s="10" t="s">
        <v>22</v>
      </c>
      <c r="C342" s="10" t="s">
        <v>1044</v>
      </c>
      <c r="D342" s="10" t="s">
        <v>1045</v>
      </c>
      <c r="E342" s="10" t="s">
        <v>1046</v>
      </c>
      <c r="F342" s="10" t="s">
        <v>1047</v>
      </c>
      <c r="G342" s="11">
        <v>141</v>
      </c>
      <c r="H342" s="163" t="s">
        <v>1066</v>
      </c>
      <c r="I342" s="166" t="s">
        <v>1067</v>
      </c>
      <c r="J342" s="163" t="s">
        <v>1062</v>
      </c>
      <c r="K342" s="10" t="s">
        <v>40</v>
      </c>
      <c r="L342" s="10">
        <v>0</v>
      </c>
      <c r="M342" s="10">
        <f t="shared" si="30"/>
        <v>0</v>
      </c>
      <c r="N342" s="10">
        <v>5</v>
      </c>
      <c r="O342" s="12">
        <v>1</v>
      </c>
      <c r="P342" s="11">
        <v>657</v>
      </c>
      <c r="Q342" s="10" t="s">
        <v>48</v>
      </c>
      <c r="R342" s="4" t="s">
        <v>1291</v>
      </c>
      <c r="S342" s="4" t="s">
        <v>507</v>
      </c>
      <c r="T342" s="4" t="s">
        <v>19</v>
      </c>
      <c r="U342" s="4" t="str">
        <f t="shared" si="29"/>
        <v>NOT AN ADD-ON</v>
      </c>
      <c r="V342" s="4" t="str">
        <f t="shared" si="28"/>
        <v>SPATIALADD-ONAUTHORIZEDNOT AN ADD-ON</v>
      </c>
    </row>
    <row r="343" spans="1:22" ht="15" thickBot="1">
      <c r="A343" s="10" t="s">
        <v>21</v>
      </c>
      <c r="B343" s="10" t="s">
        <v>22</v>
      </c>
      <c r="C343" s="10" t="s">
        <v>593</v>
      </c>
      <c r="D343" s="10" t="s">
        <v>594</v>
      </c>
      <c r="E343" s="10" t="s">
        <v>595</v>
      </c>
      <c r="F343" s="10" t="s">
        <v>596</v>
      </c>
      <c r="G343" s="11">
        <v>23400</v>
      </c>
      <c r="H343" s="163" t="s">
        <v>639</v>
      </c>
      <c r="I343" s="158" t="s">
        <v>648</v>
      </c>
      <c r="J343" s="163" t="s">
        <v>639</v>
      </c>
      <c r="K343" s="10" t="s">
        <v>40</v>
      </c>
      <c r="L343" s="10">
        <v>15</v>
      </c>
      <c r="M343" s="10">
        <f t="shared" si="30"/>
        <v>15</v>
      </c>
      <c r="N343" s="10">
        <v>15</v>
      </c>
      <c r="O343" s="12">
        <v>1</v>
      </c>
      <c r="P343" s="11">
        <v>23400</v>
      </c>
      <c r="Q343" s="10" t="s">
        <v>33</v>
      </c>
      <c r="R343" s="4" t="s">
        <v>1281</v>
      </c>
      <c r="S343" s="4" t="s">
        <v>1279</v>
      </c>
      <c r="T343" s="4" t="s">
        <v>19</v>
      </c>
      <c r="U343" s="4" t="str">
        <f t="shared" si="29"/>
        <v>NOT AN ADD-ON</v>
      </c>
      <c r="V343" s="4" t="str">
        <f t="shared" si="28"/>
        <v>NUCLEAR POWERINDUSTRY SOLUTIONAUTHORIZEDNOT AN ADD-ON</v>
      </c>
    </row>
    <row r="344" spans="1:22" ht="15" thickBot="1">
      <c r="A344" s="10" t="s">
        <v>21</v>
      </c>
      <c r="B344" s="10" t="s">
        <v>22</v>
      </c>
      <c r="C344" s="10" t="s">
        <v>593</v>
      </c>
      <c r="D344" s="10" t="s">
        <v>594</v>
      </c>
      <c r="E344" s="10" t="s">
        <v>595</v>
      </c>
      <c r="F344" s="10" t="s">
        <v>596</v>
      </c>
      <c r="G344" s="11">
        <v>14000</v>
      </c>
      <c r="H344" s="163" t="s">
        <v>649</v>
      </c>
      <c r="I344" s="158" t="s">
        <v>650</v>
      </c>
      <c r="J344" s="163" t="s">
        <v>639</v>
      </c>
      <c r="K344" s="10" t="s">
        <v>40</v>
      </c>
      <c r="L344" s="10">
        <v>15</v>
      </c>
      <c r="M344" s="10">
        <f t="shared" si="30"/>
        <v>15</v>
      </c>
      <c r="N344" s="10">
        <v>15</v>
      </c>
      <c r="O344" s="12">
        <v>1</v>
      </c>
      <c r="P344" s="11">
        <v>23400</v>
      </c>
      <c r="Q344" s="10" t="s">
        <v>36</v>
      </c>
      <c r="R344" s="4" t="s">
        <v>1281</v>
      </c>
      <c r="S344" s="4" t="s">
        <v>1279</v>
      </c>
      <c r="T344" s="4" t="s">
        <v>19</v>
      </c>
      <c r="U344" s="4" t="str">
        <f t="shared" si="29"/>
        <v>NOT AN ADD-ON</v>
      </c>
      <c r="V344" s="4" t="str">
        <f t="shared" si="28"/>
        <v>NUCLEAR POWERINDUSTRY SOLUTIONAUTHORIZEDNOT AN ADD-ON</v>
      </c>
    </row>
    <row r="345" spans="1:22" ht="27" thickBot="1">
      <c r="A345" s="10" t="s">
        <v>21</v>
      </c>
      <c r="B345" s="10" t="s">
        <v>22</v>
      </c>
      <c r="C345" s="10" t="s">
        <v>593</v>
      </c>
      <c r="D345" s="10" t="s">
        <v>594</v>
      </c>
      <c r="E345" s="10" t="s">
        <v>595</v>
      </c>
      <c r="F345" s="10" t="s">
        <v>596</v>
      </c>
      <c r="G345" s="11">
        <v>8260</v>
      </c>
      <c r="H345" s="163" t="s">
        <v>640</v>
      </c>
      <c r="I345" s="166" t="s">
        <v>641</v>
      </c>
      <c r="J345" s="163" t="s">
        <v>639</v>
      </c>
      <c r="K345" s="10" t="s">
        <v>40</v>
      </c>
      <c r="L345" s="10">
        <v>15</v>
      </c>
      <c r="M345" s="10">
        <f t="shared" si="30"/>
        <v>15</v>
      </c>
      <c r="N345" s="10">
        <v>15</v>
      </c>
      <c r="O345" s="12">
        <v>1</v>
      </c>
      <c r="P345" s="11">
        <v>23400</v>
      </c>
      <c r="Q345" s="10" t="s">
        <v>48</v>
      </c>
      <c r="R345" s="4" t="s">
        <v>1281</v>
      </c>
      <c r="S345" s="4" t="s">
        <v>1279</v>
      </c>
      <c r="T345" s="4" t="s">
        <v>19</v>
      </c>
      <c r="U345" s="4" t="str">
        <f t="shared" si="29"/>
        <v>NOT AN ADD-ON</v>
      </c>
      <c r="V345" s="4" t="str">
        <f t="shared" si="28"/>
        <v>NUCLEAR POWERINDUSTRY SOLUTIONAUTHORIZEDNOT AN ADD-ON</v>
      </c>
    </row>
    <row r="346" spans="1:22" ht="27" thickBot="1">
      <c r="A346" s="10" t="s">
        <v>21</v>
      </c>
      <c r="B346" s="10" t="s">
        <v>22</v>
      </c>
      <c r="C346" s="10" t="s">
        <v>593</v>
      </c>
      <c r="D346" s="10" t="s">
        <v>594</v>
      </c>
      <c r="E346" s="10" t="s">
        <v>595</v>
      </c>
      <c r="F346" s="10" t="s">
        <v>596</v>
      </c>
      <c r="G346" s="11">
        <v>5030</v>
      </c>
      <c r="H346" s="163" t="s">
        <v>637</v>
      </c>
      <c r="I346" s="166" t="s">
        <v>638</v>
      </c>
      <c r="J346" s="163" t="s">
        <v>639</v>
      </c>
      <c r="K346" s="10" t="s">
        <v>40</v>
      </c>
      <c r="L346" s="10">
        <v>15</v>
      </c>
      <c r="M346" s="10">
        <f t="shared" si="30"/>
        <v>15</v>
      </c>
      <c r="N346" s="10">
        <v>15</v>
      </c>
      <c r="O346" s="12">
        <v>1</v>
      </c>
      <c r="P346" s="11">
        <v>23400</v>
      </c>
      <c r="Q346" s="10" t="s">
        <v>48</v>
      </c>
      <c r="R346" s="4" t="s">
        <v>1281</v>
      </c>
      <c r="S346" s="4" t="s">
        <v>1279</v>
      </c>
      <c r="T346" s="4" t="s">
        <v>19</v>
      </c>
      <c r="U346" s="4" t="str">
        <f t="shared" si="29"/>
        <v>NOT AN ADD-ON</v>
      </c>
      <c r="V346" s="4" t="str">
        <f t="shared" si="28"/>
        <v>NUCLEAR POWERINDUSTRY SOLUTIONAUTHORIZEDNOT AN ADD-ON</v>
      </c>
    </row>
    <row r="347" spans="1:22" ht="15" thickBot="1">
      <c r="A347" s="10" t="s">
        <v>21</v>
      </c>
      <c r="B347" s="10" t="s">
        <v>22</v>
      </c>
      <c r="C347" s="10" t="s">
        <v>593</v>
      </c>
      <c r="D347" s="10" t="s">
        <v>594</v>
      </c>
      <c r="E347" s="10" t="s">
        <v>595</v>
      </c>
      <c r="F347" s="10" t="s">
        <v>596</v>
      </c>
      <c r="G347" s="11">
        <v>23400</v>
      </c>
      <c r="H347" s="163" t="s">
        <v>633</v>
      </c>
      <c r="I347" s="158" t="s">
        <v>634</v>
      </c>
      <c r="J347" s="163" t="s">
        <v>633</v>
      </c>
      <c r="K347" s="10" t="s">
        <v>40</v>
      </c>
      <c r="L347" s="10">
        <v>15</v>
      </c>
      <c r="M347" s="10">
        <f t="shared" si="30"/>
        <v>15</v>
      </c>
      <c r="N347" s="10">
        <v>15</v>
      </c>
      <c r="O347" s="12">
        <v>1</v>
      </c>
      <c r="P347" s="11">
        <v>23400</v>
      </c>
      <c r="Q347" s="10" t="s">
        <v>33</v>
      </c>
      <c r="R347" s="4" t="s">
        <v>1281</v>
      </c>
      <c r="S347" s="4" t="s">
        <v>1279</v>
      </c>
      <c r="T347" s="4" t="s">
        <v>19</v>
      </c>
      <c r="U347" s="4" t="str">
        <f t="shared" si="29"/>
        <v>NOT AN ADD-ON</v>
      </c>
      <c r="V347" s="4" t="str">
        <f t="shared" si="28"/>
        <v>NUCLEAR POWERINDUSTRY SOLUTIONAUTHORIZEDNOT AN ADD-ON</v>
      </c>
    </row>
    <row r="348" spans="1:22" ht="15" thickBot="1">
      <c r="A348" s="10" t="s">
        <v>21</v>
      </c>
      <c r="B348" s="10" t="s">
        <v>22</v>
      </c>
      <c r="C348" s="10" t="s">
        <v>593</v>
      </c>
      <c r="D348" s="10" t="s">
        <v>594</v>
      </c>
      <c r="E348" s="10" t="s">
        <v>595</v>
      </c>
      <c r="F348" s="10" t="s">
        <v>596</v>
      </c>
      <c r="G348" s="11">
        <v>14000</v>
      </c>
      <c r="H348" s="163" t="s">
        <v>635</v>
      </c>
      <c r="I348" s="158" t="s">
        <v>636</v>
      </c>
      <c r="J348" s="163" t="s">
        <v>633</v>
      </c>
      <c r="K348" s="10" t="s">
        <v>40</v>
      </c>
      <c r="L348" s="10">
        <v>15</v>
      </c>
      <c r="M348" s="10">
        <f t="shared" si="30"/>
        <v>15</v>
      </c>
      <c r="N348" s="10">
        <v>15</v>
      </c>
      <c r="O348" s="12">
        <v>1</v>
      </c>
      <c r="P348" s="11">
        <v>23400</v>
      </c>
      <c r="Q348" s="10" t="s">
        <v>36</v>
      </c>
      <c r="R348" s="4" t="s">
        <v>1281</v>
      </c>
      <c r="S348" s="4" t="s">
        <v>1279</v>
      </c>
      <c r="T348" s="4" t="s">
        <v>19</v>
      </c>
      <c r="U348" s="4" t="str">
        <f t="shared" si="29"/>
        <v>NOT AN ADD-ON</v>
      </c>
      <c r="V348" s="4" t="str">
        <f t="shared" si="28"/>
        <v>NUCLEAR POWERINDUSTRY SOLUTIONAUTHORIZEDNOT AN ADD-ON</v>
      </c>
    </row>
    <row r="349" spans="1:22" ht="15" thickBot="1">
      <c r="A349" s="10" t="s">
        <v>21</v>
      </c>
      <c r="B349" s="10" t="s">
        <v>22</v>
      </c>
      <c r="C349" s="10" t="s">
        <v>593</v>
      </c>
      <c r="D349" s="10" t="s">
        <v>594</v>
      </c>
      <c r="E349" s="10" t="s">
        <v>595</v>
      </c>
      <c r="F349" s="10" t="s">
        <v>596</v>
      </c>
      <c r="G349" s="11">
        <v>8260</v>
      </c>
      <c r="H349" s="163" t="s">
        <v>644</v>
      </c>
      <c r="I349" s="166" t="s">
        <v>645</v>
      </c>
      <c r="J349" s="163" t="s">
        <v>633</v>
      </c>
      <c r="K349" s="10" t="s">
        <v>40</v>
      </c>
      <c r="L349" s="10">
        <v>15</v>
      </c>
      <c r="M349" s="10">
        <f t="shared" si="30"/>
        <v>15</v>
      </c>
      <c r="N349" s="10">
        <v>15</v>
      </c>
      <c r="O349" s="12">
        <v>1</v>
      </c>
      <c r="P349" s="11">
        <v>23400</v>
      </c>
      <c r="Q349" s="10" t="s">
        <v>48</v>
      </c>
      <c r="R349" s="4" t="s">
        <v>1281</v>
      </c>
      <c r="S349" s="4" t="s">
        <v>1279</v>
      </c>
      <c r="T349" s="4" t="s">
        <v>19</v>
      </c>
      <c r="U349" s="4" t="str">
        <f t="shared" si="29"/>
        <v>NOT AN ADD-ON</v>
      </c>
      <c r="V349" s="4" t="str">
        <f t="shared" si="28"/>
        <v>NUCLEAR POWERINDUSTRY SOLUTIONAUTHORIZEDNOT AN ADD-ON</v>
      </c>
    </row>
    <row r="350" spans="1:22" ht="15" thickBot="1">
      <c r="A350" s="10" t="s">
        <v>21</v>
      </c>
      <c r="B350" s="10" t="s">
        <v>22</v>
      </c>
      <c r="C350" s="10" t="s">
        <v>593</v>
      </c>
      <c r="D350" s="10" t="s">
        <v>594</v>
      </c>
      <c r="E350" s="10" t="s">
        <v>595</v>
      </c>
      <c r="F350" s="10" t="s">
        <v>596</v>
      </c>
      <c r="G350" s="11">
        <v>5030</v>
      </c>
      <c r="H350" s="163" t="s">
        <v>642</v>
      </c>
      <c r="I350" s="166" t="s">
        <v>643</v>
      </c>
      <c r="J350" s="163" t="s">
        <v>633</v>
      </c>
      <c r="K350" s="10" t="s">
        <v>40</v>
      </c>
      <c r="L350" s="10">
        <v>15</v>
      </c>
      <c r="M350" s="10">
        <f t="shared" si="30"/>
        <v>15</v>
      </c>
      <c r="N350" s="10">
        <v>15</v>
      </c>
      <c r="O350" s="12">
        <v>1</v>
      </c>
      <c r="P350" s="11">
        <v>23400</v>
      </c>
      <c r="Q350" s="10" t="s">
        <v>48</v>
      </c>
      <c r="R350" s="4" t="s">
        <v>1281</v>
      </c>
      <c r="S350" s="4" t="s">
        <v>1279</v>
      </c>
      <c r="T350" s="4" t="s">
        <v>19</v>
      </c>
      <c r="U350" s="4" t="str">
        <f t="shared" si="29"/>
        <v>NOT AN ADD-ON</v>
      </c>
      <c r="V350" s="4" t="str">
        <f t="shared" si="28"/>
        <v>NUCLEAR POWERINDUSTRY SOLUTIONAUTHORIZEDNOT AN ADD-ON</v>
      </c>
    </row>
    <row r="351" spans="1:22" ht="15" thickBot="1">
      <c r="A351" s="10" t="s">
        <v>21</v>
      </c>
      <c r="B351" s="10" t="s">
        <v>22</v>
      </c>
      <c r="C351" s="10" t="s">
        <v>593</v>
      </c>
      <c r="D351" s="10" t="s">
        <v>594</v>
      </c>
      <c r="E351" s="10" t="s">
        <v>595</v>
      </c>
      <c r="F351" s="10" t="s">
        <v>596</v>
      </c>
      <c r="G351" s="11">
        <v>6570</v>
      </c>
      <c r="H351" s="163" t="s">
        <v>611</v>
      </c>
      <c r="I351" s="158" t="s">
        <v>616</v>
      </c>
      <c r="J351" s="163" t="s">
        <v>611</v>
      </c>
      <c r="K351" s="10" t="s">
        <v>40</v>
      </c>
      <c r="L351" s="10">
        <v>5</v>
      </c>
      <c r="M351" s="10">
        <f t="shared" si="30"/>
        <v>5</v>
      </c>
      <c r="N351" s="10">
        <v>15</v>
      </c>
      <c r="O351" s="12">
        <v>1</v>
      </c>
      <c r="P351" s="11">
        <v>6570</v>
      </c>
      <c r="Q351" s="10" t="s">
        <v>33</v>
      </c>
      <c r="R351" s="4" t="s">
        <v>1281</v>
      </c>
      <c r="S351" s="4" t="s">
        <v>1279</v>
      </c>
      <c r="T351" s="4" t="s">
        <v>19</v>
      </c>
      <c r="U351" s="4" t="s">
        <v>507</v>
      </c>
      <c r="V351" s="4" t="str">
        <f t="shared" si="28"/>
        <v>NUCLEAR POWERINDUSTRY SOLUTIONAUTHORIZEDADD-ON</v>
      </c>
    </row>
    <row r="352" spans="1:22" ht="15" thickBot="1">
      <c r="A352" s="10" t="s">
        <v>21</v>
      </c>
      <c r="B352" s="10" t="s">
        <v>22</v>
      </c>
      <c r="C352" s="10" t="s">
        <v>593</v>
      </c>
      <c r="D352" s="10" t="s">
        <v>594</v>
      </c>
      <c r="E352" s="10" t="s">
        <v>595</v>
      </c>
      <c r="F352" s="10" t="s">
        <v>596</v>
      </c>
      <c r="G352" s="11">
        <v>3940</v>
      </c>
      <c r="H352" s="163" t="s">
        <v>617</v>
      </c>
      <c r="I352" s="158" t="s">
        <v>618</v>
      </c>
      <c r="J352" s="163" t="s">
        <v>611</v>
      </c>
      <c r="K352" s="10" t="s">
        <v>40</v>
      </c>
      <c r="L352" s="10">
        <v>5</v>
      </c>
      <c r="M352" s="10">
        <f t="shared" si="30"/>
        <v>5</v>
      </c>
      <c r="N352" s="10">
        <v>15</v>
      </c>
      <c r="O352" s="12">
        <v>1</v>
      </c>
      <c r="P352" s="11">
        <v>6570</v>
      </c>
      <c r="Q352" s="10" t="s">
        <v>36</v>
      </c>
      <c r="R352" s="4" t="s">
        <v>1281</v>
      </c>
      <c r="S352" s="4" t="s">
        <v>1279</v>
      </c>
      <c r="T352" s="4" t="s">
        <v>19</v>
      </c>
      <c r="U352" s="4" t="s">
        <v>507</v>
      </c>
      <c r="V352" s="4" t="str">
        <f t="shared" si="28"/>
        <v>NUCLEAR POWERINDUSTRY SOLUTIONAUTHORIZEDADD-ON</v>
      </c>
    </row>
    <row r="353" spans="1:22" ht="29.25" customHeight="1" thickBot="1">
      <c r="A353" s="10" t="s">
        <v>21</v>
      </c>
      <c r="B353" s="10" t="s">
        <v>22</v>
      </c>
      <c r="C353" s="10" t="s">
        <v>593</v>
      </c>
      <c r="D353" s="10" t="s">
        <v>594</v>
      </c>
      <c r="E353" s="10" t="s">
        <v>595</v>
      </c>
      <c r="F353" s="10" t="s">
        <v>596</v>
      </c>
      <c r="G353" s="11">
        <v>1410</v>
      </c>
      <c r="H353" s="163" t="s">
        <v>609</v>
      </c>
      <c r="I353" s="166" t="s">
        <v>610</v>
      </c>
      <c r="J353" s="163" t="s">
        <v>611</v>
      </c>
      <c r="K353" s="10" t="s">
        <v>40</v>
      </c>
      <c r="L353" s="10">
        <v>5</v>
      </c>
      <c r="M353" s="10">
        <f t="shared" si="30"/>
        <v>5</v>
      </c>
      <c r="N353" s="10">
        <v>15</v>
      </c>
      <c r="O353" s="12">
        <v>1</v>
      </c>
      <c r="P353" s="11">
        <v>6570</v>
      </c>
      <c r="Q353" s="10" t="s">
        <v>48</v>
      </c>
      <c r="R353" s="4" t="s">
        <v>1281</v>
      </c>
      <c r="S353" s="4" t="s">
        <v>1279</v>
      </c>
      <c r="T353" s="4" t="s">
        <v>19</v>
      </c>
      <c r="U353" s="4" t="s">
        <v>507</v>
      </c>
      <c r="V353" s="4" t="str">
        <f t="shared" si="28"/>
        <v>NUCLEAR POWERINDUSTRY SOLUTIONAUTHORIZEDADD-ON</v>
      </c>
    </row>
    <row r="354" spans="1:22" ht="15" thickBot="1">
      <c r="A354" s="10" t="s">
        <v>21</v>
      </c>
      <c r="B354" s="10" t="s">
        <v>22</v>
      </c>
      <c r="C354" s="10" t="s">
        <v>593</v>
      </c>
      <c r="D354" s="10" t="s">
        <v>594</v>
      </c>
      <c r="E354" s="10" t="s">
        <v>595</v>
      </c>
      <c r="F354" s="10" t="s">
        <v>596</v>
      </c>
      <c r="G354" s="11">
        <v>6570</v>
      </c>
      <c r="H354" s="163" t="s">
        <v>605</v>
      </c>
      <c r="I354" s="158" t="s">
        <v>606</v>
      </c>
      <c r="J354" s="163" t="s">
        <v>605</v>
      </c>
      <c r="K354" s="10" t="s">
        <v>40</v>
      </c>
      <c r="L354" s="10">
        <v>5</v>
      </c>
      <c r="M354" s="10">
        <f t="shared" si="30"/>
        <v>5</v>
      </c>
      <c r="N354" s="10">
        <v>15</v>
      </c>
      <c r="O354" s="12">
        <v>1</v>
      </c>
      <c r="P354" s="11">
        <v>6570</v>
      </c>
      <c r="Q354" s="10" t="s">
        <v>33</v>
      </c>
      <c r="R354" s="4" t="s">
        <v>1281</v>
      </c>
      <c r="S354" s="4" t="s">
        <v>1279</v>
      </c>
      <c r="T354" s="4" t="s">
        <v>19</v>
      </c>
      <c r="U354" s="4" t="s">
        <v>507</v>
      </c>
      <c r="V354" s="4" t="str">
        <f t="shared" si="28"/>
        <v>NUCLEAR POWERINDUSTRY SOLUTIONAUTHORIZEDADD-ON</v>
      </c>
    </row>
    <row r="355" spans="1:22" ht="15" thickBot="1">
      <c r="A355" s="10" t="s">
        <v>21</v>
      </c>
      <c r="B355" s="10" t="s">
        <v>22</v>
      </c>
      <c r="C355" s="10" t="s">
        <v>593</v>
      </c>
      <c r="D355" s="10" t="s">
        <v>594</v>
      </c>
      <c r="E355" s="10" t="s">
        <v>595</v>
      </c>
      <c r="F355" s="10" t="s">
        <v>596</v>
      </c>
      <c r="G355" s="11">
        <v>3940</v>
      </c>
      <c r="H355" s="163" t="s">
        <v>607</v>
      </c>
      <c r="I355" s="158" t="s">
        <v>608</v>
      </c>
      <c r="J355" s="163" t="s">
        <v>605</v>
      </c>
      <c r="K355" s="10" t="s">
        <v>40</v>
      </c>
      <c r="L355" s="10">
        <v>5</v>
      </c>
      <c r="M355" s="10">
        <f t="shared" si="30"/>
        <v>5</v>
      </c>
      <c r="N355" s="10">
        <v>15</v>
      </c>
      <c r="O355" s="12">
        <v>1</v>
      </c>
      <c r="P355" s="11">
        <v>6570</v>
      </c>
      <c r="Q355" s="10" t="s">
        <v>36</v>
      </c>
      <c r="R355" s="4" t="s">
        <v>1281</v>
      </c>
      <c r="S355" s="4" t="s">
        <v>1279</v>
      </c>
      <c r="T355" s="4" t="s">
        <v>19</v>
      </c>
      <c r="U355" s="4" t="s">
        <v>507</v>
      </c>
      <c r="V355" s="4" t="str">
        <f t="shared" si="28"/>
        <v>NUCLEAR POWERINDUSTRY SOLUTIONAUTHORIZEDADD-ON</v>
      </c>
    </row>
    <row r="356" spans="1:22" ht="27" thickBot="1">
      <c r="A356" s="10" t="s">
        <v>21</v>
      </c>
      <c r="B356" s="10" t="s">
        <v>22</v>
      </c>
      <c r="C356" s="10" t="s">
        <v>593</v>
      </c>
      <c r="D356" s="10" t="s">
        <v>594</v>
      </c>
      <c r="E356" s="10" t="s">
        <v>595</v>
      </c>
      <c r="F356" s="10" t="s">
        <v>596</v>
      </c>
      <c r="G356" s="11">
        <v>1410</v>
      </c>
      <c r="H356" s="163" t="s">
        <v>612</v>
      </c>
      <c r="I356" s="166" t="s">
        <v>613</v>
      </c>
      <c r="J356" s="163" t="s">
        <v>605</v>
      </c>
      <c r="K356" s="10" t="s">
        <v>40</v>
      </c>
      <c r="L356" s="10">
        <v>5</v>
      </c>
      <c r="M356" s="10">
        <f t="shared" si="30"/>
        <v>5</v>
      </c>
      <c r="N356" s="10">
        <v>15</v>
      </c>
      <c r="O356" s="12">
        <v>1</v>
      </c>
      <c r="P356" s="11">
        <v>6570</v>
      </c>
      <c r="Q356" s="10" t="s">
        <v>48</v>
      </c>
      <c r="R356" s="4" t="s">
        <v>1281</v>
      </c>
      <c r="S356" s="4" t="s">
        <v>1279</v>
      </c>
      <c r="T356" s="4" t="s">
        <v>19</v>
      </c>
      <c r="U356" s="4" t="s">
        <v>507</v>
      </c>
      <c r="V356" s="4" t="str">
        <f t="shared" si="28"/>
        <v>NUCLEAR POWERINDUSTRY SOLUTIONAUTHORIZEDADD-ON</v>
      </c>
    </row>
    <row r="357" spans="1:22" ht="15" thickBot="1">
      <c r="A357" s="10" t="s">
        <v>21</v>
      </c>
      <c r="B357" s="10" t="s">
        <v>22</v>
      </c>
      <c r="C357" s="10" t="s">
        <v>140</v>
      </c>
      <c r="D357" s="10" t="s">
        <v>141</v>
      </c>
      <c r="E357" s="10" t="s">
        <v>142</v>
      </c>
      <c r="F357" s="10" t="s">
        <v>143</v>
      </c>
      <c r="G357" s="11">
        <v>13000</v>
      </c>
      <c r="H357" s="163" t="s">
        <v>172</v>
      </c>
      <c r="I357" s="158" t="s">
        <v>173</v>
      </c>
      <c r="J357" s="163" t="s">
        <v>154</v>
      </c>
      <c r="K357" s="10" t="s">
        <v>40</v>
      </c>
      <c r="L357" s="10">
        <v>10</v>
      </c>
      <c r="M357" s="10">
        <f t="shared" si="30"/>
        <v>10</v>
      </c>
      <c r="N357" s="10">
        <v>10</v>
      </c>
      <c r="O357" s="12">
        <v>1</v>
      </c>
      <c r="P357" s="11">
        <v>19400</v>
      </c>
      <c r="Q357" s="10" t="s">
        <v>48</v>
      </c>
      <c r="R357" s="4" t="s">
        <v>1278</v>
      </c>
      <c r="S357" s="4" t="s">
        <v>1278</v>
      </c>
      <c r="T357" s="4" t="s">
        <v>19</v>
      </c>
      <c r="U357" s="4" t="str">
        <f t="shared" ref="U357:U388" si="31">IF(ISNUMBER(SEARCH("ADD-ON",$I357)),"ADD-ON","NOT AN ADD-ON")</f>
        <v>NOT AN ADD-ON</v>
      </c>
      <c r="V357" s="4" t="str">
        <f t="shared" si="28"/>
        <v>ASSET MANAGEMENT (CORE)ASSET MANAGEMENT (CORE)AUTHORIZEDNOT AN ADD-ON</v>
      </c>
    </row>
    <row r="358" spans="1:22" ht="15" thickBot="1">
      <c r="A358" s="10" t="s">
        <v>21</v>
      </c>
      <c r="B358" s="10" t="s">
        <v>22</v>
      </c>
      <c r="C358" s="10" t="s">
        <v>140</v>
      </c>
      <c r="D358" s="10" t="s">
        <v>141</v>
      </c>
      <c r="E358" s="10" t="s">
        <v>142</v>
      </c>
      <c r="F358" s="10" t="s">
        <v>143</v>
      </c>
      <c r="G358" s="11">
        <v>13000</v>
      </c>
      <c r="H358" s="163" t="s">
        <v>158</v>
      </c>
      <c r="I358" s="158" t="s">
        <v>159</v>
      </c>
      <c r="J358" s="163" t="s">
        <v>160</v>
      </c>
      <c r="K358" s="10" t="s">
        <v>40</v>
      </c>
      <c r="L358" s="10">
        <v>10</v>
      </c>
      <c r="M358" s="10">
        <f t="shared" si="30"/>
        <v>10</v>
      </c>
      <c r="N358" s="10">
        <v>10</v>
      </c>
      <c r="O358" s="12">
        <v>1</v>
      </c>
      <c r="P358" s="11">
        <v>19400</v>
      </c>
      <c r="Q358" s="10" t="s">
        <v>48</v>
      </c>
      <c r="R358" s="4" t="s">
        <v>1278</v>
      </c>
      <c r="S358" s="4" t="s">
        <v>1278</v>
      </c>
      <c r="T358" s="4" t="s">
        <v>19</v>
      </c>
      <c r="U358" s="4" t="str">
        <f t="shared" si="31"/>
        <v>NOT AN ADD-ON</v>
      </c>
      <c r="V358" s="4" t="str">
        <f t="shared" si="28"/>
        <v>ASSET MANAGEMENT (CORE)ASSET MANAGEMENT (CORE)AUTHORIZEDNOT AN ADD-ON</v>
      </c>
    </row>
    <row r="359" spans="1:22" ht="15" thickBot="1">
      <c r="A359" s="10" t="s">
        <v>21</v>
      </c>
      <c r="B359" s="10" t="s">
        <v>22</v>
      </c>
      <c r="C359" s="10" t="s">
        <v>338</v>
      </c>
      <c r="D359" s="10" t="s">
        <v>141</v>
      </c>
      <c r="E359" s="10" t="s">
        <v>142</v>
      </c>
      <c r="F359" s="10" t="s">
        <v>339</v>
      </c>
      <c r="G359" s="11">
        <v>4020</v>
      </c>
      <c r="H359" s="163" t="s">
        <v>342</v>
      </c>
      <c r="I359" s="158" t="s">
        <v>343</v>
      </c>
      <c r="J359" s="163" t="s">
        <v>342</v>
      </c>
      <c r="K359" s="10" t="s">
        <v>30</v>
      </c>
      <c r="L359" s="10">
        <v>0</v>
      </c>
      <c r="M359" s="10">
        <f t="shared" si="30"/>
        <v>0</v>
      </c>
      <c r="N359" s="10">
        <v>10</v>
      </c>
      <c r="O359" s="12">
        <v>3.3333333333333335</v>
      </c>
      <c r="P359" s="11">
        <v>4020</v>
      </c>
      <c r="Q359" s="10" t="s">
        <v>33</v>
      </c>
      <c r="R359" s="4" t="s">
        <v>1286</v>
      </c>
      <c r="S359" s="4" t="s">
        <v>507</v>
      </c>
      <c r="T359" s="4" t="s">
        <v>19</v>
      </c>
      <c r="U359" s="4" t="str">
        <f t="shared" si="31"/>
        <v>NOT AN ADD-ON</v>
      </c>
      <c r="V359" s="4" t="str">
        <f t="shared" si="28"/>
        <v>SCHEDULER PLUSADD-ONAUTHORIZEDNOT AN ADD-ON</v>
      </c>
    </row>
    <row r="360" spans="1:22" ht="15" thickBot="1">
      <c r="A360" s="10" t="s">
        <v>21</v>
      </c>
      <c r="B360" s="10" t="s">
        <v>22</v>
      </c>
      <c r="C360" s="10" t="s">
        <v>338</v>
      </c>
      <c r="D360" s="10" t="s">
        <v>141</v>
      </c>
      <c r="E360" s="10" t="s">
        <v>142</v>
      </c>
      <c r="F360" s="10" t="s">
        <v>339</v>
      </c>
      <c r="G360" s="11">
        <v>2420</v>
      </c>
      <c r="H360" s="163" t="s">
        <v>344</v>
      </c>
      <c r="I360" s="158" t="s">
        <v>345</v>
      </c>
      <c r="J360" s="163" t="s">
        <v>342</v>
      </c>
      <c r="K360" s="10" t="s">
        <v>30</v>
      </c>
      <c r="L360" s="10">
        <v>0</v>
      </c>
      <c r="M360" s="10">
        <f t="shared" si="30"/>
        <v>0</v>
      </c>
      <c r="N360" s="10">
        <v>10</v>
      </c>
      <c r="O360" s="12">
        <v>3.3333333333333335</v>
      </c>
      <c r="P360" s="11">
        <v>4020</v>
      </c>
      <c r="Q360" s="10" t="s">
        <v>36</v>
      </c>
      <c r="R360" s="4" t="s">
        <v>1286</v>
      </c>
      <c r="S360" s="4" t="s">
        <v>507</v>
      </c>
      <c r="T360" s="4" t="s">
        <v>19</v>
      </c>
      <c r="U360" s="4" t="str">
        <f t="shared" si="31"/>
        <v>NOT AN ADD-ON</v>
      </c>
      <c r="V360" s="4" t="str">
        <f t="shared" si="28"/>
        <v>SCHEDULER PLUSADD-ONAUTHORIZEDNOT AN ADD-ON</v>
      </c>
    </row>
    <row r="361" spans="1:22" ht="27" thickBot="1">
      <c r="A361" s="10" t="s">
        <v>21</v>
      </c>
      <c r="B361" s="10" t="s">
        <v>22</v>
      </c>
      <c r="C361" s="10" t="s">
        <v>338</v>
      </c>
      <c r="D361" s="10" t="s">
        <v>141</v>
      </c>
      <c r="E361" s="10" t="s">
        <v>142</v>
      </c>
      <c r="F361" s="10" t="s">
        <v>339</v>
      </c>
      <c r="G361" s="11">
        <v>2660</v>
      </c>
      <c r="H361" s="163" t="s">
        <v>354</v>
      </c>
      <c r="I361" s="166" t="s">
        <v>355</v>
      </c>
      <c r="J361" s="163" t="s">
        <v>342</v>
      </c>
      <c r="K361" s="10" t="s">
        <v>30</v>
      </c>
      <c r="L361" s="10">
        <v>0</v>
      </c>
      <c r="M361" s="10">
        <f t="shared" si="30"/>
        <v>0</v>
      </c>
      <c r="N361" s="10">
        <v>10</v>
      </c>
      <c r="O361" s="12">
        <v>3.3333333333333335</v>
      </c>
      <c r="P361" s="11">
        <v>4020</v>
      </c>
      <c r="Q361" s="10" t="s">
        <v>48</v>
      </c>
      <c r="R361" s="4" t="s">
        <v>1286</v>
      </c>
      <c r="S361" s="4" t="s">
        <v>507</v>
      </c>
      <c r="T361" s="4" t="s">
        <v>19</v>
      </c>
      <c r="U361" s="4" t="str">
        <f t="shared" si="31"/>
        <v>NOT AN ADD-ON</v>
      </c>
      <c r="V361" s="4" t="str">
        <f t="shared" si="28"/>
        <v>SCHEDULER PLUSADD-ONAUTHORIZEDNOT AN ADD-ON</v>
      </c>
    </row>
    <row r="362" spans="1:22" ht="15" thickBot="1">
      <c r="A362" s="10" t="s">
        <v>21</v>
      </c>
      <c r="B362" s="10" t="s">
        <v>22</v>
      </c>
      <c r="C362" s="10" t="s">
        <v>338</v>
      </c>
      <c r="D362" s="10" t="s">
        <v>141</v>
      </c>
      <c r="E362" s="10" t="s">
        <v>142</v>
      </c>
      <c r="F362" s="10" t="s">
        <v>339</v>
      </c>
      <c r="G362" s="11">
        <v>11900</v>
      </c>
      <c r="H362" s="163" t="s">
        <v>358</v>
      </c>
      <c r="I362" s="158" t="s">
        <v>359</v>
      </c>
      <c r="J362" s="163" t="s">
        <v>358</v>
      </c>
      <c r="K362" s="10" t="s">
        <v>40</v>
      </c>
      <c r="L362" s="10">
        <v>0</v>
      </c>
      <c r="M362" s="10">
        <f t="shared" si="30"/>
        <v>0</v>
      </c>
      <c r="N362" s="10">
        <v>10</v>
      </c>
      <c r="O362" s="12">
        <v>1</v>
      </c>
      <c r="P362" s="11">
        <v>11900</v>
      </c>
      <c r="Q362" s="10" t="s">
        <v>33</v>
      </c>
      <c r="R362" s="4" t="s">
        <v>1286</v>
      </c>
      <c r="S362" s="4" t="s">
        <v>507</v>
      </c>
      <c r="T362" s="4" t="s">
        <v>19</v>
      </c>
      <c r="U362" s="4" t="str">
        <f t="shared" si="31"/>
        <v>NOT AN ADD-ON</v>
      </c>
      <c r="V362" s="4" t="str">
        <f t="shared" si="28"/>
        <v>SCHEDULER PLUSADD-ONAUTHORIZEDNOT AN ADD-ON</v>
      </c>
    </row>
    <row r="363" spans="1:22" ht="15" thickBot="1">
      <c r="A363" s="10" t="s">
        <v>21</v>
      </c>
      <c r="B363" s="10" t="s">
        <v>22</v>
      </c>
      <c r="C363" s="10" t="s">
        <v>338</v>
      </c>
      <c r="D363" s="10" t="s">
        <v>141</v>
      </c>
      <c r="E363" s="10" t="s">
        <v>142</v>
      </c>
      <c r="F363" s="10" t="s">
        <v>339</v>
      </c>
      <c r="G363" s="11">
        <v>7230</v>
      </c>
      <c r="H363" s="163" t="s">
        <v>360</v>
      </c>
      <c r="I363" s="158" t="s">
        <v>361</v>
      </c>
      <c r="J363" s="163" t="s">
        <v>358</v>
      </c>
      <c r="K363" s="10" t="s">
        <v>40</v>
      </c>
      <c r="L363" s="10">
        <v>0</v>
      </c>
      <c r="M363" s="10">
        <f t="shared" si="30"/>
        <v>0</v>
      </c>
      <c r="N363" s="10">
        <v>10</v>
      </c>
      <c r="O363" s="12">
        <v>1</v>
      </c>
      <c r="P363" s="11">
        <v>11900</v>
      </c>
      <c r="Q363" s="10" t="s">
        <v>36</v>
      </c>
      <c r="R363" s="4" t="s">
        <v>1286</v>
      </c>
      <c r="S363" s="4" t="s">
        <v>507</v>
      </c>
      <c r="T363" s="4" t="s">
        <v>19</v>
      </c>
      <c r="U363" s="4" t="str">
        <f t="shared" si="31"/>
        <v>NOT AN ADD-ON</v>
      </c>
      <c r="V363" s="4" t="str">
        <f t="shared" si="28"/>
        <v>SCHEDULER PLUSADD-ONAUTHORIZEDNOT AN ADD-ON</v>
      </c>
    </row>
    <row r="364" spans="1:22" ht="27" thickBot="1">
      <c r="A364" s="10" t="s">
        <v>21</v>
      </c>
      <c r="B364" s="10" t="s">
        <v>22</v>
      </c>
      <c r="C364" s="10" t="s">
        <v>338</v>
      </c>
      <c r="D364" s="10" t="s">
        <v>141</v>
      </c>
      <c r="E364" s="10" t="s">
        <v>142</v>
      </c>
      <c r="F364" s="10" t="s">
        <v>339</v>
      </c>
      <c r="G364" s="11">
        <v>7870</v>
      </c>
      <c r="H364" s="163" t="s">
        <v>370</v>
      </c>
      <c r="I364" s="166" t="s">
        <v>371</v>
      </c>
      <c r="J364" s="163" t="s">
        <v>358</v>
      </c>
      <c r="K364" s="10" t="s">
        <v>40</v>
      </c>
      <c r="L364" s="10">
        <v>0</v>
      </c>
      <c r="M364" s="10">
        <f t="shared" si="30"/>
        <v>0</v>
      </c>
      <c r="N364" s="10">
        <v>10</v>
      </c>
      <c r="O364" s="12">
        <v>1</v>
      </c>
      <c r="P364" s="11">
        <v>11900</v>
      </c>
      <c r="Q364" s="10" t="s">
        <v>48</v>
      </c>
      <c r="R364" s="4" t="s">
        <v>1286</v>
      </c>
      <c r="S364" s="4" t="s">
        <v>507</v>
      </c>
      <c r="T364" s="4" t="s">
        <v>19</v>
      </c>
      <c r="U364" s="4" t="str">
        <f t="shared" si="31"/>
        <v>NOT AN ADD-ON</v>
      </c>
      <c r="V364" s="4" t="str">
        <f t="shared" si="28"/>
        <v>SCHEDULER PLUSADD-ONAUTHORIZEDNOT AN ADD-ON</v>
      </c>
    </row>
    <row r="365" spans="1:22" ht="15" thickBot="1">
      <c r="A365" s="10" t="s">
        <v>21</v>
      </c>
      <c r="B365" s="10" t="s">
        <v>22</v>
      </c>
      <c r="C365" s="10" t="s">
        <v>338</v>
      </c>
      <c r="D365" s="10" t="s">
        <v>141</v>
      </c>
      <c r="E365" s="10" t="s">
        <v>142</v>
      </c>
      <c r="F365" s="10" t="s">
        <v>339</v>
      </c>
      <c r="G365" s="11">
        <v>4020</v>
      </c>
      <c r="H365" s="163" t="s">
        <v>348</v>
      </c>
      <c r="I365" s="158" t="s">
        <v>349</v>
      </c>
      <c r="J365" s="163" t="s">
        <v>348</v>
      </c>
      <c r="K365" s="10" t="s">
        <v>30</v>
      </c>
      <c r="L365" s="10">
        <v>0</v>
      </c>
      <c r="M365" s="10">
        <f t="shared" si="30"/>
        <v>0</v>
      </c>
      <c r="N365" s="10">
        <v>10</v>
      </c>
      <c r="O365" s="12">
        <v>3.3333333333333335</v>
      </c>
      <c r="P365" s="11">
        <v>4020</v>
      </c>
      <c r="Q365" s="10" t="s">
        <v>33</v>
      </c>
      <c r="R365" s="4" t="s">
        <v>1286</v>
      </c>
      <c r="S365" s="4" t="s">
        <v>507</v>
      </c>
      <c r="T365" s="4" t="s">
        <v>19</v>
      </c>
      <c r="U365" s="4" t="str">
        <f t="shared" si="31"/>
        <v>NOT AN ADD-ON</v>
      </c>
      <c r="V365" s="4" t="str">
        <f t="shared" si="28"/>
        <v>SCHEDULER PLUSADD-ONAUTHORIZEDNOT AN ADD-ON</v>
      </c>
    </row>
    <row r="366" spans="1:22" ht="15" thickBot="1">
      <c r="A366" s="10" t="s">
        <v>21</v>
      </c>
      <c r="B366" s="10" t="s">
        <v>22</v>
      </c>
      <c r="C366" s="10" t="s">
        <v>338</v>
      </c>
      <c r="D366" s="10" t="s">
        <v>141</v>
      </c>
      <c r="E366" s="10" t="s">
        <v>142</v>
      </c>
      <c r="F366" s="10" t="s">
        <v>339</v>
      </c>
      <c r="G366" s="11">
        <v>2420</v>
      </c>
      <c r="H366" s="163" t="s">
        <v>350</v>
      </c>
      <c r="I366" s="158" t="s">
        <v>351</v>
      </c>
      <c r="J366" s="163" t="s">
        <v>348</v>
      </c>
      <c r="K366" s="10" t="s">
        <v>30</v>
      </c>
      <c r="L366" s="10">
        <v>0</v>
      </c>
      <c r="M366" s="10">
        <f t="shared" si="30"/>
        <v>0</v>
      </c>
      <c r="N366" s="10">
        <v>10</v>
      </c>
      <c r="O366" s="12">
        <v>3.3333333333333335</v>
      </c>
      <c r="P366" s="11">
        <v>4020</v>
      </c>
      <c r="Q366" s="10" t="s">
        <v>36</v>
      </c>
      <c r="R366" s="4" t="s">
        <v>1286</v>
      </c>
      <c r="S366" s="4" t="s">
        <v>507</v>
      </c>
      <c r="T366" s="4" t="s">
        <v>19</v>
      </c>
      <c r="U366" s="4" t="str">
        <f t="shared" si="31"/>
        <v>NOT AN ADD-ON</v>
      </c>
      <c r="V366" s="4" t="str">
        <f t="shared" si="28"/>
        <v>SCHEDULER PLUSADD-ONAUTHORIZEDNOT AN ADD-ON</v>
      </c>
    </row>
    <row r="367" spans="1:22" ht="27" thickBot="1">
      <c r="A367" s="10" t="s">
        <v>21</v>
      </c>
      <c r="B367" s="10" t="s">
        <v>22</v>
      </c>
      <c r="C367" s="10" t="s">
        <v>338</v>
      </c>
      <c r="D367" s="10" t="s">
        <v>141</v>
      </c>
      <c r="E367" s="10" t="s">
        <v>142</v>
      </c>
      <c r="F367" s="10" t="s">
        <v>339</v>
      </c>
      <c r="G367" s="11">
        <v>2660</v>
      </c>
      <c r="H367" s="163" t="s">
        <v>352</v>
      </c>
      <c r="I367" s="166" t="s">
        <v>353</v>
      </c>
      <c r="J367" s="163" t="s">
        <v>348</v>
      </c>
      <c r="K367" s="10" t="s">
        <v>30</v>
      </c>
      <c r="L367" s="10">
        <v>0</v>
      </c>
      <c r="M367" s="10">
        <f t="shared" si="30"/>
        <v>0</v>
      </c>
      <c r="N367" s="10">
        <v>10</v>
      </c>
      <c r="O367" s="12">
        <v>3.3333333333333335</v>
      </c>
      <c r="P367" s="11">
        <v>4020</v>
      </c>
      <c r="Q367" s="10" t="s">
        <v>48</v>
      </c>
      <c r="R367" s="4" t="s">
        <v>1286</v>
      </c>
      <c r="S367" s="4" t="s">
        <v>507</v>
      </c>
      <c r="T367" s="4" t="s">
        <v>19</v>
      </c>
      <c r="U367" s="4" t="str">
        <f t="shared" si="31"/>
        <v>NOT AN ADD-ON</v>
      </c>
      <c r="V367" s="4" t="str">
        <f t="shared" si="28"/>
        <v>SCHEDULER PLUSADD-ONAUTHORIZEDNOT AN ADD-ON</v>
      </c>
    </row>
    <row r="368" spans="1:22" ht="29.25" customHeight="1" thickBot="1">
      <c r="A368" s="10" t="s">
        <v>21</v>
      </c>
      <c r="B368" s="10" t="s">
        <v>22</v>
      </c>
      <c r="C368" s="10" t="s">
        <v>338</v>
      </c>
      <c r="D368" s="10" t="s">
        <v>141</v>
      </c>
      <c r="E368" s="10" t="s">
        <v>142</v>
      </c>
      <c r="F368" s="10" t="s">
        <v>339</v>
      </c>
      <c r="G368" s="11">
        <v>11900</v>
      </c>
      <c r="H368" s="163" t="s">
        <v>364</v>
      </c>
      <c r="I368" s="158" t="s">
        <v>365</v>
      </c>
      <c r="J368" s="163" t="s">
        <v>364</v>
      </c>
      <c r="K368" s="10" t="s">
        <v>40</v>
      </c>
      <c r="L368" s="10">
        <v>0</v>
      </c>
      <c r="M368" s="10">
        <f t="shared" si="30"/>
        <v>0</v>
      </c>
      <c r="N368" s="10">
        <v>10</v>
      </c>
      <c r="O368" s="12">
        <v>1</v>
      </c>
      <c r="P368" s="11">
        <v>11900</v>
      </c>
      <c r="Q368" s="10" t="s">
        <v>33</v>
      </c>
      <c r="R368" s="4" t="s">
        <v>1286</v>
      </c>
      <c r="S368" s="4" t="s">
        <v>507</v>
      </c>
      <c r="T368" s="4" t="s">
        <v>19</v>
      </c>
      <c r="U368" s="4" t="str">
        <f t="shared" si="31"/>
        <v>NOT AN ADD-ON</v>
      </c>
      <c r="V368" s="4" t="str">
        <f t="shared" si="28"/>
        <v>SCHEDULER PLUSADD-ONAUTHORIZEDNOT AN ADD-ON</v>
      </c>
    </row>
    <row r="369" spans="1:22" ht="15" thickBot="1">
      <c r="A369" s="10" t="s">
        <v>21</v>
      </c>
      <c r="B369" s="10" t="s">
        <v>22</v>
      </c>
      <c r="C369" s="10" t="s">
        <v>338</v>
      </c>
      <c r="D369" s="10" t="s">
        <v>141</v>
      </c>
      <c r="E369" s="10" t="s">
        <v>142</v>
      </c>
      <c r="F369" s="10" t="s">
        <v>339</v>
      </c>
      <c r="G369" s="11">
        <v>7230</v>
      </c>
      <c r="H369" s="163" t="s">
        <v>366</v>
      </c>
      <c r="I369" s="158" t="s">
        <v>367</v>
      </c>
      <c r="J369" s="163" t="s">
        <v>364</v>
      </c>
      <c r="K369" s="10" t="s">
        <v>40</v>
      </c>
      <c r="L369" s="10">
        <v>0</v>
      </c>
      <c r="M369" s="10">
        <f t="shared" ref="M369:M378" si="32">ROUND(IF(K369="Authorized User",L369/3,L369),2)</f>
        <v>0</v>
      </c>
      <c r="N369" s="10">
        <v>10</v>
      </c>
      <c r="O369" s="12">
        <v>1</v>
      </c>
      <c r="P369" s="11">
        <v>11900</v>
      </c>
      <c r="Q369" s="10" t="s">
        <v>36</v>
      </c>
      <c r="R369" s="4" t="s">
        <v>1286</v>
      </c>
      <c r="S369" s="4" t="s">
        <v>507</v>
      </c>
      <c r="T369" s="4" t="s">
        <v>19</v>
      </c>
      <c r="U369" s="4" t="str">
        <f t="shared" si="31"/>
        <v>NOT AN ADD-ON</v>
      </c>
      <c r="V369" s="4" t="str">
        <f t="shared" si="28"/>
        <v>SCHEDULER PLUSADD-ONAUTHORIZEDNOT AN ADD-ON</v>
      </c>
    </row>
    <row r="370" spans="1:22" ht="27" thickBot="1">
      <c r="A370" s="10" t="s">
        <v>21</v>
      </c>
      <c r="B370" s="10" t="s">
        <v>22</v>
      </c>
      <c r="C370" s="10" t="s">
        <v>338</v>
      </c>
      <c r="D370" s="10" t="s">
        <v>141</v>
      </c>
      <c r="E370" s="10" t="s">
        <v>142</v>
      </c>
      <c r="F370" s="10" t="s">
        <v>339</v>
      </c>
      <c r="G370" s="11">
        <v>7870</v>
      </c>
      <c r="H370" s="163" t="s">
        <v>368</v>
      </c>
      <c r="I370" s="166" t="s">
        <v>369</v>
      </c>
      <c r="J370" s="163" t="s">
        <v>364</v>
      </c>
      <c r="K370" s="10" t="s">
        <v>40</v>
      </c>
      <c r="L370" s="10">
        <v>0</v>
      </c>
      <c r="M370" s="10">
        <f t="shared" si="32"/>
        <v>0</v>
      </c>
      <c r="N370" s="10">
        <v>10</v>
      </c>
      <c r="O370" s="12">
        <v>1</v>
      </c>
      <c r="P370" s="11">
        <v>11900</v>
      </c>
      <c r="Q370" s="10" t="s">
        <v>48</v>
      </c>
      <c r="R370" s="4" t="s">
        <v>1286</v>
      </c>
      <c r="S370" s="4" t="s">
        <v>507</v>
      </c>
      <c r="T370" s="4" t="s">
        <v>19</v>
      </c>
      <c r="U370" s="4" t="str">
        <f t="shared" si="31"/>
        <v>NOT AN ADD-ON</v>
      </c>
      <c r="V370" s="4" t="str">
        <f t="shared" si="28"/>
        <v>SCHEDULER PLUSADD-ONAUTHORIZEDNOT AN ADD-ON</v>
      </c>
    </row>
    <row r="371" spans="1:22" ht="15" thickBot="1">
      <c r="A371" s="10" t="s">
        <v>21</v>
      </c>
      <c r="B371" s="10" t="s">
        <v>22</v>
      </c>
      <c r="C371" s="10" t="s">
        <v>338</v>
      </c>
      <c r="D371" s="10" t="s">
        <v>141</v>
      </c>
      <c r="E371" s="10" t="s">
        <v>142</v>
      </c>
      <c r="F371" s="10" t="s">
        <v>339</v>
      </c>
      <c r="G371" s="11">
        <v>820</v>
      </c>
      <c r="H371" s="163" t="s">
        <v>964</v>
      </c>
      <c r="I371" s="158" t="s">
        <v>965</v>
      </c>
      <c r="J371" s="163" t="s">
        <v>964</v>
      </c>
      <c r="K371" s="10" t="s">
        <v>30</v>
      </c>
      <c r="L371" s="10">
        <v>0</v>
      </c>
      <c r="M371" s="10">
        <f t="shared" si="32"/>
        <v>0</v>
      </c>
      <c r="N371" s="10">
        <v>10</v>
      </c>
      <c r="O371" s="12">
        <v>3.3333333333333335</v>
      </c>
      <c r="P371" s="11">
        <v>820</v>
      </c>
      <c r="Q371" s="10" t="s">
        <v>33</v>
      </c>
      <c r="R371" s="4" t="s">
        <v>1287</v>
      </c>
      <c r="S371" s="4" t="s">
        <v>507</v>
      </c>
      <c r="T371" s="4" t="s">
        <v>19</v>
      </c>
      <c r="U371" s="4" t="str">
        <f t="shared" si="31"/>
        <v>NOT AN ADD-ON</v>
      </c>
      <c r="V371" s="4" t="str">
        <f t="shared" si="28"/>
        <v>GRAPHICAL APPOINTMENT BOOKADD-ONAUTHORIZEDNOT AN ADD-ON</v>
      </c>
    </row>
    <row r="372" spans="1:22" ht="15" thickBot="1">
      <c r="A372" s="10" t="s">
        <v>21</v>
      </c>
      <c r="B372" s="10" t="s">
        <v>22</v>
      </c>
      <c r="C372" s="10" t="s">
        <v>338</v>
      </c>
      <c r="D372" s="10" t="s">
        <v>141</v>
      </c>
      <c r="E372" s="10" t="s">
        <v>142</v>
      </c>
      <c r="F372" s="10" t="s">
        <v>339</v>
      </c>
      <c r="G372" s="11">
        <v>492</v>
      </c>
      <c r="H372" s="163" t="s">
        <v>966</v>
      </c>
      <c r="I372" s="158" t="s">
        <v>967</v>
      </c>
      <c r="J372" s="163" t="s">
        <v>964</v>
      </c>
      <c r="K372" s="10" t="s">
        <v>30</v>
      </c>
      <c r="L372" s="10">
        <v>0</v>
      </c>
      <c r="M372" s="10">
        <f t="shared" si="32"/>
        <v>0</v>
      </c>
      <c r="N372" s="10">
        <v>10</v>
      </c>
      <c r="O372" s="12">
        <v>3.3333333333333335</v>
      </c>
      <c r="P372" s="11">
        <v>820</v>
      </c>
      <c r="Q372" s="10" t="s">
        <v>36</v>
      </c>
      <c r="R372" s="4" t="s">
        <v>1287</v>
      </c>
      <c r="S372" s="4" t="s">
        <v>507</v>
      </c>
      <c r="T372" s="4" t="s">
        <v>19</v>
      </c>
      <c r="U372" s="4" t="str">
        <f t="shared" si="31"/>
        <v>NOT AN ADD-ON</v>
      </c>
      <c r="V372" s="4" t="str">
        <f t="shared" si="28"/>
        <v>GRAPHICAL APPOINTMENT BOOKADD-ONAUTHORIZEDNOT AN ADD-ON</v>
      </c>
    </row>
    <row r="373" spans="1:22" ht="15" thickBot="1">
      <c r="A373" s="10" t="s">
        <v>21</v>
      </c>
      <c r="B373" s="10" t="s">
        <v>22</v>
      </c>
      <c r="C373" s="10" t="s">
        <v>338</v>
      </c>
      <c r="D373" s="10" t="s">
        <v>141</v>
      </c>
      <c r="E373" s="10" t="s">
        <v>142</v>
      </c>
      <c r="F373" s="10" t="s">
        <v>339</v>
      </c>
      <c r="G373" s="11">
        <v>2460</v>
      </c>
      <c r="H373" s="163" t="s">
        <v>976</v>
      </c>
      <c r="I373" s="158" t="s">
        <v>977</v>
      </c>
      <c r="J373" s="163" t="s">
        <v>976</v>
      </c>
      <c r="K373" s="10" t="s">
        <v>40</v>
      </c>
      <c r="L373" s="10">
        <v>0</v>
      </c>
      <c r="M373" s="10">
        <f t="shared" si="32"/>
        <v>0</v>
      </c>
      <c r="N373" s="15">
        <v>10</v>
      </c>
      <c r="O373" s="16">
        <v>1</v>
      </c>
      <c r="P373" s="11">
        <v>2460</v>
      </c>
      <c r="Q373" s="10" t="s">
        <v>33</v>
      </c>
      <c r="R373" s="4" t="s">
        <v>1287</v>
      </c>
      <c r="S373" s="4" t="s">
        <v>507</v>
      </c>
      <c r="T373" s="4" t="s">
        <v>19</v>
      </c>
      <c r="U373" s="4" t="str">
        <f t="shared" si="31"/>
        <v>NOT AN ADD-ON</v>
      </c>
      <c r="V373" s="4" t="str">
        <f t="shared" si="28"/>
        <v>GRAPHICAL APPOINTMENT BOOKADD-ONAUTHORIZEDNOT AN ADD-ON</v>
      </c>
    </row>
    <row r="374" spans="1:22" ht="15" thickBot="1">
      <c r="A374" s="10" t="s">
        <v>21</v>
      </c>
      <c r="B374" s="10" t="s">
        <v>22</v>
      </c>
      <c r="C374" s="10" t="s">
        <v>338</v>
      </c>
      <c r="D374" s="10" t="s">
        <v>141</v>
      </c>
      <c r="E374" s="10" t="s">
        <v>142</v>
      </c>
      <c r="F374" s="10" t="s">
        <v>339</v>
      </c>
      <c r="G374" s="11">
        <v>1470</v>
      </c>
      <c r="H374" s="163" t="s">
        <v>978</v>
      </c>
      <c r="I374" s="158" t="s">
        <v>979</v>
      </c>
      <c r="J374" s="163" t="s">
        <v>976</v>
      </c>
      <c r="K374" s="10" t="s">
        <v>40</v>
      </c>
      <c r="L374" s="10">
        <v>0</v>
      </c>
      <c r="M374" s="10">
        <f t="shared" si="32"/>
        <v>0</v>
      </c>
      <c r="N374" s="15">
        <v>10</v>
      </c>
      <c r="O374" s="16">
        <v>1</v>
      </c>
      <c r="P374" s="11">
        <v>2460</v>
      </c>
      <c r="Q374" s="10" t="s">
        <v>36</v>
      </c>
      <c r="R374" s="4" t="s">
        <v>1287</v>
      </c>
      <c r="S374" s="4" t="s">
        <v>507</v>
      </c>
      <c r="T374" s="4" t="s">
        <v>19</v>
      </c>
      <c r="U374" s="4" t="str">
        <f t="shared" si="31"/>
        <v>NOT AN ADD-ON</v>
      </c>
      <c r="V374" s="4" t="str">
        <f t="shared" si="28"/>
        <v>GRAPHICAL APPOINTMENT BOOKADD-ONAUTHORIZEDNOT AN ADD-ON</v>
      </c>
    </row>
    <row r="375" spans="1:22" ht="15" thickBot="1">
      <c r="A375" s="10" t="s">
        <v>21</v>
      </c>
      <c r="B375" s="10" t="s">
        <v>22</v>
      </c>
      <c r="C375" s="10" t="s">
        <v>338</v>
      </c>
      <c r="D375" s="10" t="s">
        <v>141</v>
      </c>
      <c r="E375" s="10" t="s">
        <v>142</v>
      </c>
      <c r="F375" s="10" t="s">
        <v>339</v>
      </c>
      <c r="G375" s="11">
        <v>820</v>
      </c>
      <c r="H375" s="163" t="s">
        <v>970</v>
      </c>
      <c r="I375" s="166" t="s">
        <v>971</v>
      </c>
      <c r="J375" s="163" t="s">
        <v>970</v>
      </c>
      <c r="K375" s="10" t="s">
        <v>30</v>
      </c>
      <c r="L375" s="10">
        <v>0</v>
      </c>
      <c r="M375" s="10">
        <f t="shared" si="32"/>
        <v>0</v>
      </c>
      <c r="N375" s="10">
        <v>10</v>
      </c>
      <c r="O375" s="12">
        <v>3.3333333333333335</v>
      </c>
      <c r="P375" s="11">
        <v>820</v>
      </c>
      <c r="Q375" s="10" t="s">
        <v>33</v>
      </c>
      <c r="R375" s="4" t="s">
        <v>1287</v>
      </c>
      <c r="S375" s="4" t="s">
        <v>507</v>
      </c>
      <c r="T375" s="4" t="s">
        <v>19</v>
      </c>
      <c r="U375" s="4" t="str">
        <f t="shared" si="31"/>
        <v>NOT AN ADD-ON</v>
      </c>
      <c r="V375" s="4" t="str">
        <f t="shared" si="28"/>
        <v>GRAPHICAL APPOINTMENT BOOKADD-ONAUTHORIZEDNOT AN ADD-ON</v>
      </c>
    </row>
    <row r="376" spans="1:22" ht="15" thickBot="1">
      <c r="A376" s="10" t="s">
        <v>21</v>
      </c>
      <c r="B376" s="10" t="s">
        <v>22</v>
      </c>
      <c r="C376" s="10" t="s">
        <v>338</v>
      </c>
      <c r="D376" s="10" t="s">
        <v>141</v>
      </c>
      <c r="E376" s="10" t="s">
        <v>142</v>
      </c>
      <c r="F376" s="10" t="s">
        <v>339</v>
      </c>
      <c r="G376" s="11">
        <v>492</v>
      </c>
      <c r="H376" s="163" t="s">
        <v>972</v>
      </c>
      <c r="I376" s="166" t="s">
        <v>973</v>
      </c>
      <c r="J376" s="163" t="s">
        <v>970</v>
      </c>
      <c r="K376" s="10" t="s">
        <v>30</v>
      </c>
      <c r="L376" s="10">
        <v>0</v>
      </c>
      <c r="M376" s="10">
        <f t="shared" si="32"/>
        <v>0</v>
      </c>
      <c r="N376" s="10">
        <v>10</v>
      </c>
      <c r="O376" s="12">
        <v>3.3333333333333335</v>
      </c>
      <c r="P376" s="11">
        <v>820</v>
      </c>
      <c r="Q376" s="10" t="s">
        <v>36</v>
      </c>
      <c r="R376" s="4" t="s">
        <v>1287</v>
      </c>
      <c r="S376" s="4" t="s">
        <v>507</v>
      </c>
      <c r="T376" s="4" t="s">
        <v>19</v>
      </c>
      <c r="U376" s="4" t="str">
        <f t="shared" si="31"/>
        <v>NOT AN ADD-ON</v>
      </c>
      <c r="V376" s="4" t="str">
        <f t="shared" si="28"/>
        <v>GRAPHICAL APPOINTMENT BOOKADD-ONAUTHORIZEDNOT AN ADD-ON</v>
      </c>
    </row>
    <row r="377" spans="1:22" ht="15" thickBot="1">
      <c r="A377" s="10" t="s">
        <v>21</v>
      </c>
      <c r="B377" s="10" t="s">
        <v>22</v>
      </c>
      <c r="C377" s="10" t="s">
        <v>338</v>
      </c>
      <c r="D377" s="10" t="s">
        <v>141</v>
      </c>
      <c r="E377" s="10" t="s">
        <v>142</v>
      </c>
      <c r="F377" s="10" t="s">
        <v>339</v>
      </c>
      <c r="G377" s="11">
        <v>2460</v>
      </c>
      <c r="H377" s="163" t="s">
        <v>982</v>
      </c>
      <c r="I377" s="166" t="s">
        <v>983</v>
      </c>
      <c r="J377" s="163" t="s">
        <v>982</v>
      </c>
      <c r="K377" s="10" t="s">
        <v>40</v>
      </c>
      <c r="L377" s="10">
        <v>0</v>
      </c>
      <c r="M377" s="10">
        <f t="shared" si="32"/>
        <v>0</v>
      </c>
      <c r="N377" s="15">
        <v>10</v>
      </c>
      <c r="O377" s="16">
        <v>1</v>
      </c>
      <c r="P377" s="11">
        <v>2460</v>
      </c>
      <c r="Q377" s="10" t="s">
        <v>33</v>
      </c>
      <c r="R377" s="4" t="s">
        <v>1287</v>
      </c>
      <c r="S377" s="4" t="s">
        <v>507</v>
      </c>
      <c r="T377" s="4" t="s">
        <v>19</v>
      </c>
      <c r="U377" s="4" t="str">
        <f t="shared" si="31"/>
        <v>NOT AN ADD-ON</v>
      </c>
      <c r="V377" s="4" t="str">
        <f t="shared" si="28"/>
        <v>GRAPHICAL APPOINTMENT BOOKADD-ONAUTHORIZEDNOT AN ADD-ON</v>
      </c>
    </row>
    <row r="378" spans="1:22" ht="15" thickBot="1">
      <c r="A378" s="10" t="s">
        <v>21</v>
      </c>
      <c r="B378" s="10" t="s">
        <v>22</v>
      </c>
      <c r="C378" s="10" t="s">
        <v>338</v>
      </c>
      <c r="D378" s="10" t="s">
        <v>141</v>
      </c>
      <c r="E378" s="10" t="s">
        <v>142</v>
      </c>
      <c r="F378" s="10" t="s">
        <v>339</v>
      </c>
      <c r="G378" s="11">
        <v>1470</v>
      </c>
      <c r="H378" s="163" t="s">
        <v>984</v>
      </c>
      <c r="I378" s="166" t="s">
        <v>985</v>
      </c>
      <c r="J378" s="163" t="s">
        <v>982</v>
      </c>
      <c r="K378" s="10" t="s">
        <v>40</v>
      </c>
      <c r="L378" s="10">
        <v>0</v>
      </c>
      <c r="M378" s="10">
        <f t="shared" si="32"/>
        <v>0</v>
      </c>
      <c r="N378" s="15">
        <v>10</v>
      </c>
      <c r="O378" s="16">
        <v>1</v>
      </c>
      <c r="P378" s="11">
        <v>2460</v>
      </c>
      <c r="Q378" s="10" t="s">
        <v>36</v>
      </c>
      <c r="R378" s="4" t="s">
        <v>1287</v>
      </c>
      <c r="S378" s="4" t="s">
        <v>507</v>
      </c>
      <c r="T378" s="4" t="s">
        <v>19</v>
      </c>
      <c r="U378" s="4" t="str">
        <f t="shared" si="31"/>
        <v>NOT AN ADD-ON</v>
      </c>
      <c r="V378" s="4" t="str">
        <f t="shared" si="28"/>
        <v>GRAPHICAL APPOINTMENT BOOKADD-ONAUTHORIZEDNOT AN ADD-ON</v>
      </c>
    </row>
    <row r="379" spans="1:22" ht="15" thickBot="1">
      <c r="A379" s="10" t="s">
        <v>1089</v>
      </c>
      <c r="B379" s="10" t="s">
        <v>1090</v>
      </c>
      <c r="C379" s="10" t="s">
        <v>1091</v>
      </c>
      <c r="D379" s="10" t="s">
        <v>1092</v>
      </c>
      <c r="E379" s="10" t="s">
        <v>1093</v>
      </c>
      <c r="F379" s="10" t="s">
        <v>1094</v>
      </c>
      <c r="G379" s="116">
        <v>36100</v>
      </c>
      <c r="H379" s="163" t="s">
        <v>1116</v>
      </c>
      <c r="I379" s="158" t="s">
        <v>1117</v>
      </c>
      <c r="J379" s="163" t="s">
        <v>1116</v>
      </c>
      <c r="K379" s="10" t="s">
        <v>40</v>
      </c>
      <c r="L379" s="207">
        <v>15</v>
      </c>
      <c r="M379" s="10">
        <v>15</v>
      </c>
      <c r="N379" s="207">
        <v>15</v>
      </c>
      <c r="O379" s="12">
        <v>1</v>
      </c>
      <c r="P379" s="116">
        <v>36100</v>
      </c>
      <c r="Q379" s="10" t="s">
        <v>33</v>
      </c>
      <c r="R379" s="4" t="s">
        <v>1385</v>
      </c>
      <c r="S379" s="4" t="s">
        <v>1385</v>
      </c>
      <c r="T379" s="4" t="s">
        <v>19</v>
      </c>
      <c r="U379" s="4" t="str">
        <f t="shared" si="31"/>
        <v>NOT AN ADD-ON</v>
      </c>
      <c r="V379" s="4" t="str">
        <f t="shared" si="28"/>
        <v>APM FOR E&amp;UAPM FOR E&amp;UAUTHORIZEDNOT AN ADD-ON</v>
      </c>
    </row>
    <row r="380" spans="1:22" ht="29.25" customHeight="1" thickBot="1">
      <c r="A380" s="10" t="s">
        <v>1089</v>
      </c>
      <c r="B380" s="10" t="s">
        <v>1090</v>
      </c>
      <c r="C380" s="10" t="s">
        <v>1091</v>
      </c>
      <c r="D380" s="10" t="s">
        <v>1092</v>
      </c>
      <c r="E380" s="10" t="s">
        <v>1093</v>
      </c>
      <c r="F380" s="10" t="s">
        <v>1094</v>
      </c>
      <c r="G380" s="116">
        <v>21600</v>
      </c>
      <c r="H380" s="163" t="s">
        <v>1118</v>
      </c>
      <c r="I380" s="158" t="s">
        <v>1119</v>
      </c>
      <c r="J380" s="163" t="s">
        <v>1116</v>
      </c>
      <c r="K380" s="10" t="s">
        <v>40</v>
      </c>
      <c r="L380" s="207">
        <v>15</v>
      </c>
      <c r="M380" s="10">
        <v>15</v>
      </c>
      <c r="N380" s="207">
        <v>15</v>
      </c>
      <c r="O380" s="12">
        <v>1</v>
      </c>
      <c r="P380" s="116">
        <v>36100</v>
      </c>
      <c r="Q380" s="10" t="s">
        <v>36</v>
      </c>
      <c r="R380" s="4" t="s">
        <v>1385</v>
      </c>
      <c r="S380" s="4" t="s">
        <v>1385</v>
      </c>
      <c r="T380" s="4" t="s">
        <v>19</v>
      </c>
      <c r="U380" s="4" t="str">
        <f t="shared" si="31"/>
        <v>NOT AN ADD-ON</v>
      </c>
      <c r="V380" s="4" t="str">
        <f t="shared" si="28"/>
        <v>APM FOR E&amp;UAPM FOR E&amp;UAUTHORIZEDNOT AN ADD-ON</v>
      </c>
    </row>
    <row r="381" spans="1:22" ht="15" thickBot="1">
      <c r="A381" s="10" t="s">
        <v>1448</v>
      </c>
      <c r="B381" s="10" t="s">
        <v>1448</v>
      </c>
      <c r="C381" s="10" t="s">
        <v>1449</v>
      </c>
      <c r="D381" s="10"/>
      <c r="E381" s="10" t="s">
        <v>1445</v>
      </c>
      <c r="F381" s="10" t="s">
        <v>1443</v>
      </c>
      <c r="G381" s="155">
        <v>500000</v>
      </c>
      <c r="H381" s="163" t="s">
        <v>1444</v>
      </c>
      <c r="I381" s="158" t="s">
        <v>1464</v>
      </c>
      <c r="J381" s="163" t="s">
        <v>1444</v>
      </c>
      <c r="K381" s="10" t="s">
        <v>1446</v>
      </c>
      <c r="L381" s="10">
        <v>175</v>
      </c>
      <c r="M381" s="10">
        <v>1</v>
      </c>
      <c r="N381" s="10">
        <v>175</v>
      </c>
      <c r="O381" s="12">
        <v>1</v>
      </c>
      <c r="P381" s="155">
        <v>500000</v>
      </c>
      <c r="Q381" s="10" t="s">
        <v>33</v>
      </c>
      <c r="R381" s="4" t="s">
        <v>1447</v>
      </c>
      <c r="S381" s="4" t="s">
        <v>1447</v>
      </c>
      <c r="T381" s="4" t="s">
        <v>1446</v>
      </c>
      <c r="U381" s="4" t="str">
        <f t="shared" si="31"/>
        <v>NOT AN ADD-ON</v>
      </c>
      <c r="V381" s="4" t="str">
        <f t="shared" si="28"/>
        <v>Visual InspectionsVisual Inspectionsper vServerNOT AN ADD-ON</v>
      </c>
    </row>
    <row r="382" spans="1:22" ht="27" customHeight="1" thickBot="1">
      <c r="A382" s="10" t="s">
        <v>1488</v>
      </c>
      <c r="B382" s="10" t="s">
        <v>1488</v>
      </c>
      <c r="C382" s="10" t="s">
        <v>1489</v>
      </c>
      <c r="D382" s="10"/>
      <c r="E382" s="10" t="s">
        <v>1487</v>
      </c>
      <c r="F382" s="10" t="s">
        <v>1486</v>
      </c>
      <c r="G382" s="11"/>
      <c r="H382" s="203" t="s">
        <v>1195</v>
      </c>
      <c r="I382" s="205" t="s">
        <v>1196</v>
      </c>
      <c r="J382" s="203" t="s">
        <v>1195</v>
      </c>
      <c r="K382" s="10" t="s">
        <v>1437</v>
      </c>
      <c r="L382" s="207">
        <v>5</v>
      </c>
      <c r="M382" s="10">
        <v>5</v>
      </c>
      <c r="N382" s="208">
        <v>5</v>
      </c>
      <c r="O382" s="12">
        <v>1</v>
      </c>
      <c r="P382" s="11"/>
      <c r="Q382" s="209" t="s">
        <v>33</v>
      </c>
      <c r="R382" s="4" t="s">
        <v>1489</v>
      </c>
      <c r="S382" s="4" t="s">
        <v>1489</v>
      </c>
      <c r="T382" s="4" t="s">
        <v>1437</v>
      </c>
      <c r="U382" s="4" t="str">
        <f t="shared" si="31"/>
        <v>NOT AN ADD-ON</v>
      </c>
      <c r="V382" s="4" t="str">
        <f t="shared" si="28"/>
        <v>EMAEMAVPCNOT AN ADD-ON</v>
      </c>
    </row>
    <row r="383" spans="1:22" ht="27" customHeight="1" thickBot="1">
      <c r="A383" s="10" t="s">
        <v>1488</v>
      </c>
      <c r="B383" s="10" t="s">
        <v>1488</v>
      </c>
      <c r="C383" s="10" t="s">
        <v>1489</v>
      </c>
      <c r="D383" s="10"/>
      <c r="E383" s="10" t="s">
        <v>1487</v>
      </c>
      <c r="F383" s="10" t="s">
        <v>1486</v>
      </c>
      <c r="G383" s="11"/>
      <c r="H383" s="203" t="s">
        <v>1214</v>
      </c>
      <c r="I383" s="205" t="s">
        <v>1215</v>
      </c>
      <c r="J383" s="203" t="s">
        <v>1214</v>
      </c>
      <c r="K383" s="10" t="s">
        <v>1490</v>
      </c>
      <c r="L383" s="207">
        <v>150</v>
      </c>
      <c r="M383" s="10">
        <v>1</v>
      </c>
      <c r="N383" s="208">
        <v>150</v>
      </c>
      <c r="O383" s="12">
        <v>1</v>
      </c>
      <c r="P383" s="11"/>
      <c r="Q383" s="209" t="s">
        <v>33</v>
      </c>
      <c r="R383" s="4" t="s">
        <v>1489</v>
      </c>
      <c r="S383" s="4" t="s">
        <v>1489</v>
      </c>
      <c r="T383" s="4" t="s">
        <v>1490</v>
      </c>
      <c r="U383" s="4" t="str">
        <f t="shared" si="31"/>
        <v>NOT AN ADD-ON</v>
      </c>
      <c r="V383" s="4" t="str">
        <f t="shared" si="28"/>
        <v>EMAEMARVUNOT AN ADD-ON</v>
      </c>
    </row>
    <row r="384" spans="1:22" ht="15" thickBot="1">
      <c r="A384" s="10" t="s">
        <v>21</v>
      </c>
      <c r="B384" s="10" t="s">
        <v>22</v>
      </c>
      <c r="C384" s="10" t="s">
        <v>428</v>
      </c>
      <c r="D384" s="10" t="s">
        <v>418</v>
      </c>
      <c r="E384" s="10" t="s">
        <v>419</v>
      </c>
      <c r="F384" s="10" t="s">
        <v>420</v>
      </c>
      <c r="G384" s="11">
        <v>161000</v>
      </c>
      <c r="H384" s="163" t="s">
        <v>431</v>
      </c>
      <c r="I384" s="158" t="s">
        <v>432</v>
      </c>
      <c r="J384" s="163" t="s">
        <v>431</v>
      </c>
      <c r="K384" s="10" t="s">
        <v>424</v>
      </c>
      <c r="L384" s="10">
        <v>80</v>
      </c>
      <c r="M384" s="10">
        <f t="shared" ref="M384:M415" si="33">ROUND(IF(K384="Authorized User",L384/3,L384),2)</f>
        <v>80</v>
      </c>
      <c r="N384" s="10">
        <v>80</v>
      </c>
      <c r="O384" s="12">
        <v>1</v>
      </c>
      <c r="P384" s="11">
        <v>161000</v>
      </c>
      <c r="Q384" s="10" t="s">
        <v>33</v>
      </c>
      <c r="R384" s="4" t="s">
        <v>1296</v>
      </c>
      <c r="S384" s="4" t="s">
        <v>1295</v>
      </c>
      <c r="T384" s="4" t="s">
        <v>1295</v>
      </c>
      <c r="U384" s="4" t="str">
        <f t="shared" si="31"/>
        <v>NOT AN ADD-ON</v>
      </c>
      <c r="V384" s="4" t="str">
        <f t="shared" si="28"/>
        <v>ADAPTER FOR ORACLEADAPTERADAPTERNOT AN ADD-ON</v>
      </c>
    </row>
    <row r="385" spans="1:22" ht="15" thickBot="1">
      <c r="A385" s="10" t="s">
        <v>21</v>
      </c>
      <c r="B385" s="10" t="s">
        <v>22</v>
      </c>
      <c r="C385" s="10" t="s">
        <v>428</v>
      </c>
      <c r="D385" s="10" t="s">
        <v>418</v>
      </c>
      <c r="E385" s="10" t="s">
        <v>419</v>
      </c>
      <c r="F385" s="10" t="s">
        <v>420</v>
      </c>
      <c r="G385" s="11">
        <v>96300</v>
      </c>
      <c r="H385" s="163" t="s">
        <v>433</v>
      </c>
      <c r="I385" s="158" t="s">
        <v>434</v>
      </c>
      <c r="J385" s="163" t="s">
        <v>431</v>
      </c>
      <c r="K385" s="10" t="s">
        <v>424</v>
      </c>
      <c r="L385" s="10">
        <v>80</v>
      </c>
      <c r="M385" s="10">
        <f t="shared" si="33"/>
        <v>80</v>
      </c>
      <c r="N385" s="10">
        <v>80</v>
      </c>
      <c r="O385" s="12">
        <v>1</v>
      </c>
      <c r="P385" s="11">
        <v>161000</v>
      </c>
      <c r="Q385" s="10" t="s">
        <v>36</v>
      </c>
      <c r="R385" s="4" t="s">
        <v>1296</v>
      </c>
      <c r="S385" s="4" t="s">
        <v>1295</v>
      </c>
      <c r="T385" s="4" t="s">
        <v>1295</v>
      </c>
      <c r="U385" s="4" t="str">
        <f t="shared" si="31"/>
        <v>NOT AN ADD-ON</v>
      </c>
      <c r="V385" s="4" t="str">
        <f t="shared" si="28"/>
        <v>ADAPTER FOR ORACLEADAPTERADAPTERNOT AN ADD-ON</v>
      </c>
    </row>
    <row r="386" spans="1:22" ht="15" thickBot="1">
      <c r="A386" s="10" t="s">
        <v>21</v>
      </c>
      <c r="B386" s="10" t="s">
        <v>22</v>
      </c>
      <c r="C386" s="10" t="s">
        <v>428</v>
      </c>
      <c r="D386" s="10" t="s">
        <v>418</v>
      </c>
      <c r="E386" s="10" t="s">
        <v>419</v>
      </c>
      <c r="F386" s="10" t="s">
        <v>420</v>
      </c>
      <c r="G386" s="11">
        <v>32100</v>
      </c>
      <c r="H386" s="163" t="s">
        <v>429</v>
      </c>
      <c r="I386" s="158" t="s">
        <v>430</v>
      </c>
      <c r="J386" s="163" t="s">
        <v>431</v>
      </c>
      <c r="K386" s="10" t="s">
        <v>424</v>
      </c>
      <c r="L386" s="10">
        <v>80</v>
      </c>
      <c r="M386" s="10">
        <f t="shared" si="33"/>
        <v>80</v>
      </c>
      <c r="N386" s="10">
        <v>80</v>
      </c>
      <c r="O386" s="12">
        <v>1</v>
      </c>
      <c r="P386" s="11">
        <v>161000</v>
      </c>
      <c r="Q386" s="10" t="s">
        <v>31</v>
      </c>
      <c r="R386" s="4" t="s">
        <v>1296</v>
      </c>
      <c r="S386" s="4" t="s">
        <v>1295</v>
      </c>
      <c r="T386" s="4" t="s">
        <v>1295</v>
      </c>
      <c r="U386" s="4" t="str">
        <f t="shared" si="31"/>
        <v>NOT AN ADD-ON</v>
      </c>
      <c r="V386" s="4" t="str">
        <f t="shared" si="28"/>
        <v>ADAPTER FOR ORACLEADAPTERADAPTERNOT AN ADD-ON</v>
      </c>
    </row>
    <row r="387" spans="1:22" ht="15" thickBot="1">
      <c r="A387" s="10" t="s">
        <v>21</v>
      </c>
      <c r="B387" s="10" t="s">
        <v>22</v>
      </c>
      <c r="C387" s="10" t="s">
        <v>94</v>
      </c>
      <c r="D387" s="10" t="s">
        <v>95</v>
      </c>
      <c r="E387" s="10" t="s">
        <v>96</v>
      </c>
      <c r="F387" s="10" t="s">
        <v>97</v>
      </c>
      <c r="G387" s="11">
        <v>1790</v>
      </c>
      <c r="H387" s="163" t="s">
        <v>98</v>
      </c>
      <c r="I387" s="158" t="s">
        <v>99</v>
      </c>
      <c r="J387" s="163" t="s">
        <v>100</v>
      </c>
      <c r="K387" s="10" t="s">
        <v>101</v>
      </c>
      <c r="L387" s="10" t="s">
        <v>102</v>
      </c>
      <c r="M387" s="10" t="e">
        <f t="shared" si="33"/>
        <v>#VALUE!</v>
      </c>
      <c r="N387" s="10">
        <v>15</v>
      </c>
      <c r="O387" s="12">
        <v>5</v>
      </c>
      <c r="P387" s="11">
        <v>8980</v>
      </c>
      <c r="Q387" s="10" t="s">
        <v>31</v>
      </c>
      <c r="R387" s="4" t="s">
        <v>1294</v>
      </c>
      <c r="S387" s="4" t="s">
        <v>1379</v>
      </c>
      <c r="T387" s="4" t="s">
        <v>1380</v>
      </c>
      <c r="U387" s="4" t="str">
        <f t="shared" si="31"/>
        <v>NOT AN ADD-ON</v>
      </c>
      <c r="V387" s="4" t="str">
        <f t="shared" ref="V387:V450" si="34">CONCATENATE(R387,S387,T387,U387)</f>
        <v>ASSET CONFIGURATION MANAGERACMASSETNOT AN ADD-ON</v>
      </c>
    </row>
    <row r="388" spans="1:22" ht="15" thickBot="1">
      <c r="A388" s="10" t="s">
        <v>21</v>
      </c>
      <c r="B388" s="10" t="s">
        <v>22</v>
      </c>
      <c r="C388" s="10" t="s">
        <v>94</v>
      </c>
      <c r="D388" s="10" t="s">
        <v>95</v>
      </c>
      <c r="E388" s="10" t="s">
        <v>96</v>
      </c>
      <c r="F388" s="10" t="s">
        <v>97</v>
      </c>
      <c r="G388" s="11">
        <v>1140</v>
      </c>
      <c r="H388" s="163" t="s">
        <v>106</v>
      </c>
      <c r="I388" s="158" t="s">
        <v>107</v>
      </c>
      <c r="J388" s="163" t="s">
        <v>108</v>
      </c>
      <c r="K388" s="10" t="s">
        <v>30</v>
      </c>
      <c r="L388" s="10">
        <v>15</v>
      </c>
      <c r="M388" s="10">
        <f t="shared" si="33"/>
        <v>5</v>
      </c>
      <c r="N388" s="10">
        <v>15</v>
      </c>
      <c r="O388" s="12">
        <v>5</v>
      </c>
      <c r="P388" s="11">
        <v>5740</v>
      </c>
      <c r="Q388" s="10" t="s">
        <v>31</v>
      </c>
      <c r="R388" s="4" t="s">
        <v>1294</v>
      </c>
      <c r="S388" s="4" t="s">
        <v>1379</v>
      </c>
      <c r="T388" s="4" t="s">
        <v>19</v>
      </c>
      <c r="U388" s="4" t="str">
        <f t="shared" si="31"/>
        <v>NOT AN ADD-ON</v>
      </c>
      <c r="V388" s="4" t="str">
        <f t="shared" si="34"/>
        <v>ASSET CONFIGURATION MANAGERACMAUTHORIZEDNOT AN ADD-ON</v>
      </c>
    </row>
    <row r="389" spans="1:22" ht="15" thickBot="1">
      <c r="A389" s="10" t="s">
        <v>21</v>
      </c>
      <c r="B389" s="10" t="s">
        <v>22</v>
      </c>
      <c r="C389" s="10" t="s">
        <v>385</v>
      </c>
      <c r="D389" s="10" t="s">
        <v>386</v>
      </c>
      <c r="E389" s="10" t="s">
        <v>387</v>
      </c>
      <c r="F389" s="10" t="s">
        <v>388</v>
      </c>
      <c r="G389" s="11">
        <v>116</v>
      </c>
      <c r="H389" s="163" t="s">
        <v>389</v>
      </c>
      <c r="I389" s="158" t="s">
        <v>390</v>
      </c>
      <c r="J389" s="163" t="s">
        <v>391</v>
      </c>
      <c r="K389" s="10" t="s">
        <v>30</v>
      </c>
      <c r="L389" s="10">
        <v>0</v>
      </c>
      <c r="M389" s="10">
        <f t="shared" si="33"/>
        <v>0</v>
      </c>
      <c r="N389" s="10">
        <v>5</v>
      </c>
      <c r="O389" s="12">
        <v>1.6666666666666667</v>
      </c>
      <c r="P389" s="11">
        <v>584</v>
      </c>
      <c r="Q389" s="10" t="s">
        <v>31</v>
      </c>
      <c r="R389" s="4" t="s">
        <v>1288</v>
      </c>
      <c r="S389" s="4" t="s">
        <v>507</v>
      </c>
      <c r="T389" s="4" t="s">
        <v>19</v>
      </c>
      <c r="U389" s="4" t="str">
        <f t="shared" ref="U389:U410" si="35">IF(ISNUMBER(SEARCH("ADD-ON",$I389)),"ADD-ON","NOT AN ADD-ON")</f>
        <v>NOT AN ADD-ON</v>
      </c>
      <c r="V389" s="4" t="str">
        <f t="shared" si="34"/>
        <v>CALIBRATIONADD-ONAUTHORIZEDNOT AN ADD-ON</v>
      </c>
    </row>
    <row r="390" spans="1:22" ht="15" thickBot="1">
      <c r="A390" s="10" t="s">
        <v>21</v>
      </c>
      <c r="B390" s="10" t="s">
        <v>22</v>
      </c>
      <c r="C390" s="10" t="s">
        <v>1015</v>
      </c>
      <c r="D390" s="10" t="s">
        <v>141</v>
      </c>
      <c r="E390" s="10" t="s">
        <v>142</v>
      </c>
      <c r="F390" s="10" t="s">
        <v>143</v>
      </c>
      <c r="G390" s="11">
        <v>142</v>
      </c>
      <c r="H390" s="163" t="s">
        <v>1016</v>
      </c>
      <c r="I390" s="158" t="s">
        <v>1017</v>
      </c>
      <c r="J390" s="163" t="s">
        <v>1018</v>
      </c>
      <c r="K390" s="10" t="s">
        <v>30</v>
      </c>
      <c r="L390" s="10">
        <v>0</v>
      </c>
      <c r="M390" s="10">
        <f t="shared" si="33"/>
        <v>0</v>
      </c>
      <c r="N390" s="10">
        <v>5</v>
      </c>
      <c r="O390" s="12">
        <v>1.6666666666666667</v>
      </c>
      <c r="P390" s="11">
        <v>712</v>
      </c>
      <c r="Q390" s="10" t="s">
        <v>31</v>
      </c>
      <c r="R390" s="4" t="s">
        <v>1290</v>
      </c>
      <c r="S390" s="4" t="s">
        <v>507</v>
      </c>
      <c r="T390" s="4" t="s">
        <v>19</v>
      </c>
      <c r="U390" s="4" t="str">
        <f t="shared" si="35"/>
        <v>NOT AN ADD-ON</v>
      </c>
      <c r="V390" s="4" t="str">
        <f t="shared" si="34"/>
        <v>LINEARADD-ONAUTHORIZEDNOT AN ADD-ON</v>
      </c>
    </row>
    <row r="391" spans="1:22" ht="29.25" customHeight="1" thickBot="1">
      <c r="A391" s="10" t="s">
        <v>21</v>
      </c>
      <c r="B391" s="10" t="s">
        <v>22</v>
      </c>
      <c r="C391" s="10" t="s">
        <v>435</v>
      </c>
      <c r="D391" s="10" t="s">
        <v>418</v>
      </c>
      <c r="E391" s="10" t="s">
        <v>419</v>
      </c>
      <c r="F391" s="10" t="s">
        <v>420</v>
      </c>
      <c r="G391" s="11">
        <v>32100</v>
      </c>
      <c r="H391" s="163" t="s">
        <v>442</v>
      </c>
      <c r="I391" s="158" t="s">
        <v>443</v>
      </c>
      <c r="J391" s="163" t="s">
        <v>444</v>
      </c>
      <c r="K391" s="10" t="s">
        <v>424</v>
      </c>
      <c r="L391" s="10">
        <v>80</v>
      </c>
      <c r="M391" s="10">
        <f t="shared" si="33"/>
        <v>80</v>
      </c>
      <c r="N391" s="10">
        <v>80</v>
      </c>
      <c r="O391" s="12">
        <v>1</v>
      </c>
      <c r="P391" s="11">
        <v>161000</v>
      </c>
      <c r="Q391" s="10" t="s">
        <v>31</v>
      </c>
      <c r="R391" s="4" t="s">
        <v>1297</v>
      </c>
      <c r="S391" s="4" t="s">
        <v>1295</v>
      </c>
      <c r="T391" s="4" t="s">
        <v>1295</v>
      </c>
      <c r="U391" s="4" t="str">
        <f t="shared" si="35"/>
        <v>NOT AN ADD-ON</v>
      </c>
      <c r="V391" s="4" t="str">
        <f t="shared" si="34"/>
        <v>ADAPTER FOR SAPADAPTERADAPTERNOT AN ADD-ON</v>
      </c>
    </row>
    <row r="392" spans="1:22" ht="15" thickBot="1">
      <c r="A392" s="10" t="s">
        <v>21</v>
      </c>
      <c r="B392" s="10" t="s">
        <v>22</v>
      </c>
      <c r="C392" s="10" t="s">
        <v>230</v>
      </c>
      <c r="D392" s="10" t="s">
        <v>141</v>
      </c>
      <c r="E392" s="10" t="s">
        <v>142</v>
      </c>
      <c r="F392" s="10" t="s">
        <v>143</v>
      </c>
      <c r="G392" s="11">
        <v>356</v>
      </c>
      <c r="H392" s="163" t="s">
        <v>289</v>
      </c>
      <c r="I392" s="158" t="s">
        <v>290</v>
      </c>
      <c r="J392" s="163" t="s">
        <v>291</v>
      </c>
      <c r="K392" s="10" t="s">
        <v>30</v>
      </c>
      <c r="L392" s="10">
        <v>0</v>
      </c>
      <c r="M392" s="10">
        <f t="shared" si="33"/>
        <v>0</v>
      </c>
      <c r="N392" s="10">
        <v>5</v>
      </c>
      <c r="O392" s="12">
        <v>1.6666666666666667</v>
      </c>
      <c r="P392" s="11">
        <v>1780</v>
      </c>
      <c r="Q392" s="10" t="s">
        <v>31</v>
      </c>
      <c r="R392" s="4" t="s">
        <v>234</v>
      </c>
      <c r="S392" s="4" t="s">
        <v>235</v>
      </c>
      <c r="T392" s="4" t="s">
        <v>672</v>
      </c>
      <c r="U392" s="4" t="str">
        <f t="shared" si="35"/>
        <v>NOT AN ADD-ON</v>
      </c>
      <c r="V392" s="4" t="str">
        <f t="shared" si="34"/>
        <v>MANAGED SERVICE PROVIDERSMSPLIMITEDNOT AN ADD-ON</v>
      </c>
    </row>
    <row r="393" spans="1:22" ht="15" thickBot="1">
      <c r="A393" s="10" t="s">
        <v>21</v>
      </c>
      <c r="B393" s="10" t="s">
        <v>22</v>
      </c>
      <c r="C393" s="10" t="s">
        <v>230</v>
      </c>
      <c r="D393" s="10" t="s">
        <v>141</v>
      </c>
      <c r="E393" s="10" t="s">
        <v>142</v>
      </c>
      <c r="F393" s="10" t="s">
        <v>143</v>
      </c>
      <c r="G393" s="11">
        <v>715</v>
      </c>
      <c r="H393" s="163" t="s">
        <v>277</v>
      </c>
      <c r="I393" s="158" t="s">
        <v>278</v>
      </c>
      <c r="J393" s="163" t="s">
        <v>279</v>
      </c>
      <c r="K393" s="10" t="s">
        <v>30</v>
      </c>
      <c r="L393" s="10">
        <v>5</v>
      </c>
      <c r="M393" s="10">
        <f t="shared" si="33"/>
        <v>1.67</v>
      </c>
      <c r="N393" s="10">
        <v>15</v>
      </c>
      <c r="O393" s="12">
        <v>5</v>
      </c>
      <c r="P393" s="11">
        <v>3570</v>
      </c>
      <c r="Q393" s="10" t="s">
        <v>31</v>
      </c>
      <c r="R393" s="4" t="s">
        <v>234</v>
      </c>
      <c r="S393" s="4" t="s">
        <v>235</v>
      </c>
      <c r="T393" s="4" t="s">
        <v>19</v>
      </c>
      <c r="U393" s="4" t="str">
        <f t="shared" si="35"/>
        <v>NOT AN ADD-ON</v>
      </c>
      <c r="V393" s="4" t="str">
        <f t="shared" si="34"/>
        <v>MANAGED SERVICE PROVIDERSMSPAUTHORIZEDNOT AN ADD-ON</v>
      </c>
    </row>
    <row r="394" spans="1:22" ht="15" thickBot="1">
      <c r="A394" s="10" t="s">
        <v>21</v>
      </c>
      <c r="B394" s="10" t="s">
        <v>22</v>
      </c>
      <c r="C394" s="10" t="s">
        <v>204</v>
      </c>
      <c r="D394" s="10" t="s">
        <v>141</v>
      </c>
      <c r="E394" s="10" t="s">
        <v>142</v>
      </c>
      <c r="F394" s="10" t="s">
        <v>143</v>
      </c>
      <c r="G394" s="11">
        <v>214</v>
      </c>
      <c r="H394" s="163" t="s">
        <v>249</v>
      </c>
      <c r="I394" s="158" t="s">
        <v>250</v>
      </c>
      <c r="J394" s="163" t="s">
        <v>251</v>
      </c>
      <c r="K394" s="10" t="s">
        <v>30</v>
      </c>
      <c r="L394" s="10">
        <v>5</v>
      </c>
      <c r="M394" s="10">
        <f t="shared" si="33"/>
        <v>1.67</v>
      </c>
      <c r="N394" s="10">
        <v>15</v>
      </c>
      <c r="O394" s="12">
        <v>5</v>
      </c>
      <c r="P394" s="11">
        <v>1070</v>
      </c>
      <c r="Q394" s="10" t="s">
        <v>31</v>
      </c>
      <c r="R394" s="4" t="s">
        <v>208</v>
      </c>
      <c r="S394" s="4" t="s">
        <v>507</v>
      </c>
      <c r="T394" s="4" t="s">
        <v>19</v>
      </c>
      <c r="U394" s="4" t="str">
        <f t="shared" si="35"/>
        <v>NOT AN ADD-ON</v>
      </c>
      <c r="V394" s="4" t="str">
        <f t="shared" si="34"/>
        <v>INTERNAL SERVICE PROVIDERSADD-ONAUTHORIZEDNOT AN ADD-ON</v>
      </c>
    </row>
    <row r="395" spans="1:22" ht="15" thickBot="1">
      <c r="A395" s="10" t="s">
        <v>21</v>
      </c>
      <c r="B395" s="10" t="s">
        <v>22</v>
      </c>
      <c r="C395" s="10" t="s">
        <v>230</v>
      </c>
      <c r="D395" s="10" t="s">
        <v>141</v>
      </c>
      <c r="E395" s="10" t="s">
        <v>142</v>
      </c>
      <c r="F395" s="10" t="s">
        <v>143</v>
      </c>
      <c r="G395" s="11">
        <v>715</v>
      </c>
      <c r="H395" s="163" t="s">
        <v>283</v>
      </c>
      <c r="I395" s="158" t="s">
        <v>284</v>
      </c>
      <c r="J395" s="163" t="s">
        <v>285</v>
      </c>
      <c r="K395" s="10" t="s">
        <v>30</v>
      </c>
      <c r="L395" s="10">
        <v>5</v>
      </c>
      <c r="M395" s="10">
        <f t="shared" si="33"/>
        <v>1.67</v>
      </c>
      <c r="N395" s="10">
        <v>15</v>
      </c>
      <c r="O395" s="12">
        <v>5</v>
      </c>
      <c r="P395" s="11">
        <v>3570</v>
      </c>
      <c r="Q395" s="10" t="s">
        <v>31</v>
      </c>
      <c r="R395" s="4" t="s">
        <v>234</v>
      </c>
      <c r="S395" s="4" t="s">
        <v>235</v>
      </c>
      <c r="T395" s="4" t="s">
        <v>19</v>
      </c>
      <c r="U395" s="4" t="str">
        <f t="shared" si="35"/>
        <v>NOT AN ADD-ON</v>
      </c>
      <c r="V395" s="4" t="str">
        <f t="shared" si="34"/>
        <v>MANAGED SERVICE PROVIDERSMSPAUTHORIZEDNOT AN ADD-ON</v>
      </c>
    </row>
    <row r="396" spans="1:22" ht="15" thickBot="1">
      <c r="A396" s="10" t="s">
        <v>21</v>
      </c>
      <c r="B396" s="10" t="s">
        <v>22</v>
      </c>
      <c r="C396" s="10" t="s">
        <v>1015</v>
      </c>
      <c r="D396" s="10" t="s">
        <v>141</v>
      </c>
      <c r="E396" s="10" t="s">
        <v>142</v>
      </c>
      <c r="F396" s="10" t="s">
        <v>143</v>
      </c>
      <c r="G396" s="11">
        <v>142</v>
      </c>
      <c r="H396" s="163" t="s">
        <v>1038</v>
      </c>
      <c r="I396" s="158" t="s">
        <v>1039</v>
      </c>
      <c r="J396" s="163" t="s">
        <v>1040</v>
      </c>
      <c r="K396" s="10" t="s">
        <v>30</v>
      </c>
      <c r="L396" s="10">
        <v>0</v>
      </c>
      <c r="M396" s="10">
        <f t="shared" si="33"/>
        <v>0</v>
      </c>
      <c r="N396" s="10">
        <v>5</v>
      </c>
      <c r="O396" s="12">
        <v>1.6666666666666667</v>
      </c>
      <c r="P396" s="11">
        <v>712</v>
      </c>
      <c r="Q396" s="10" t="s">
        <v>31</v>
      </c>
      <c r="R396" s="4" t="s">
        <v>1290</v>
      </c>
      <c r="S396" s="4" t="s">
        <v>507</v>
      </c>
      <c r="T396" s="4" t="s">
        <v>19</v>
      </c>
      <c r="U396" s="4" t="str">
        <f t="shared" si="35"/>
        <v>NOT AN ADD-ON</v>
      </c>
      <c r="V396" s="4" t="str">
        <f t="shared" si="34"/>
        <v>LINEARADD-ONAUTHORIZEDNOT AN ADD-ON</v>
      </c>
    </row>
    <row r="397" spans="1:22" ht="15" thickBot="1">
      <c r="A397" s="10" t="s">
        <v>21</v>
      </c>
      <c r="B397" s="10" t="s">
        <v>22</v>
      </c>
      <c r="C397" s="10" t="s">
        <v>204</v>
      </c>
      <c r="D397" s="10" t="s">
        <v>141</v>
      </c>
      <c r="E397" s="10" t="s">
        <v>142</v>
      </c>
      <c r="F397" s="10" t="s">
        <v>143</v>
      </c>
      <c r="G397" s="11">
        <v>214</v>
      </c>
      <c r="H397" s="163" t="s">
        <v>255</v>
      </c>
      <c r="I397" s="158" t="s">
        <v>256</v>
      </c>
      <c r="J397" s="163" t="s">
        <v>257</v>
      </c>
      <c r="K397" s="10" t="s">
        <v>30</v>
      </c>
      <c r="L397" s="10">
        <v>5</v>
      </c>
      <c r="M397" s="10">
        <f t="shared" si="33"/>
        <v>1.67</v>
      </c>
      <c r="N397" s="10">
        <v>15</v>
      </c>
      <c r="O397" s="12">
        <v>5</v>
      </c>
      <c r="P397" s="11">
        <v>1070</v>
      </c>
      <c r="Q397" s="10" t="s">
        <v>31</v>
      </c>
      <c r="R397" s="4" t="s">
        <v>208</v>
      </c>
      <c r="S397" s="4" t="s">
        <v>507</v>
      </c>
      <c r="T397" s="4" t="s">
        <v>19</v>
      </c>
      <c r="U397" s="4" t="str">
        <f t="shared" si="35"/>
        <v>NOT AN ADD-ON</v>
      </c>
      <c r="V397" s="4" t="str">
        <f t="shared" si="34"/>
        <v>INTERNAL SERVICE PROVIDERSADD-ONAUTHORIZEDNOT AN ADD-ON</v>
      </c>
    </row>
    <row r="398" spans="1:22" ht="15" thickBot="1">
      <c r="A398" s="10" t="s">
        <v>21</v>
      </c>
      <c r="B398" s="10" t="s">
        <v>22</v>
      </c>
      <c r="C398" s="10" t="s">
        <v>230</v>
      </c>
      <c r="D398" s="10" t="s">
        <v>141</v>
      </c>
      <c r="E398" s="10" t="s">
        <v>142</v>
      </c>
      <c r="F398" s="10" t="s">
        <v>143</v>
      </c>
      <c r="G398" s="11">
        <v>356</v>
      </c>
      <c r="H398" s="163" t="s">
        <v>295</v>
      </c>
      <c r="I398" s="166" t="s">
        <v>296</v>
      </c>
      <c r="J398" s="163" t="s">
        <v>297</v>
      </c>
      <c r="K398" s="10" t="s">
        <v>30</v>
      </c>
      <c r="L398" s="10">
        <v>0</v>
      </c>
      <c r="M398" s="10">
        <f t="shared" si="33"/>
        <v>0</v>
      </c>
      <c r="N398" s="10">
        <v>5</v>
      </c>
      <c r="O398" s="12">
        <v>1.6666666666666667</v>
      </c>
      <c r="P398" s="11">
        <v>1780</v>
      </c>
      <c r="Q398" s="10" t="s">
        <v>31</v>
      </c>
      <c r="R398" s="4" t="s">
        <v>234</v>
      </c>
      <c r="S398" s="4" t="s">
        <v>235</v>
      </c>
      <c r="T398" s="4" t="s">
        <v>672</v>
      </c>
      <c r="U398" s="4" t="str">
        <f t="shared" si="35"/>
        <v>NOT AN ADD-ON</v>
      </c>
      <c r="V398" s="4" t="str">
        <f t="shared" si="34"/>
        <v>MANAGED SERVICE PROVIDERSMSPLIMITEDNOT AN ADD-ON</v>
      </c>
    </row>
    <row r="399" spans="1:22" ht="15" thickBot="1">
      <c r="A399" s="10" t="s">
        <v>21</v>
      </c>
      <c r="B399" s="10" t="s">
        <v>22</v>
      </c>
      <c r="C399" s="10" t="s">
        <v>94</v>
      </c>
      <c r="D399" s="10" t="s">
        <v>95</v>
      </c>
      <c r="E399" s="10" t="s">
        <v>96</v>
      </c>
      <c r="F399" s="10" t="s">
        <v>97</v>
      </c>
      <c r="G399" s="11">
        <v>1790</v>
      </c>
      <c r="H399" s="163" t="s">
        <v>128</v>
      </c>
      <c r="I399" s="158" t="s">
        <v>129</v>
      </c>
      <c r="J399" s="163" t="s">
        <v>130</v>
      </c>
      <c r="K399" s="10" t="s">
        <v>101</v>
      </c>
      <c r="L399" s="10" t="s">
        <v>102</v>
      </c>
      <c r="M399" s="10" t="e">
        <f t="shared" si="33"/>
        <v>#VALUE!</v>
      </c>
      <c r="N399" s="10">
        <v>15</v>
      </c>
      <c r="O399" s="12">
        <v>5</v>
      </c>
      <c r="P399" s="11">
        <v>8980</v>
      </c>
      <c r="Q399" s="10" t="s">
        <v>31</v>
      </c>
      <c r="R399" s="4" t="s">
        <v>1294</v>
      </c>
      <c r="S399" s="4" t="s">
        <v>1379</v>
      </c>
      <c r="T399" s="4" t="s">
        <v>1380</v>
      </c>
      <c r="U399" s="4" t="str">
        <f t="shared" si="35"/>
        <v>NOT AN ADD-ON</v>
      </c>
      <c r="V399" s="4" t="str">
        <f t="shared" si="34"/>
        <v>ASSET CONFIGURATION MANAGERACMASSETNOT AN ADD-ON</v>
      </c>
    </row>
    <row r="400" spans="1:22" ht="15" thickBot="1">
      <c r="A400" s="10" t="s">
        <v>21</v>
      </c>
      <c r="B400" s="10" t="s">
        <v>22</v>
      </c>
      <c r="C400" s="10" t="s">
        <v>94</v>
      </c>
      <c r="D400" s="10" t="s">
        <v>95</v>
      </c>
      <c r="E400" s="10" t="s">
        <v>96</v>
      </c>
      <c r="F400" s="10" t="s">
        <v>97</v>
      </c>
      <c r="G400" s="11">
        <v>1140</v>
      </c>
      <c r="H400" s="163" t="s">
        <v>134</v>
      </c>
      <c r="I400" s="158" t="s">
        <v>135</v>
      </c>
      <c r="J400" s="163" t="s">
        <v>136</v>
      </c>
      <c r="K400" s="10" t="s">
        <v>30</v>
      </c>
      <c r="L400" s="10">
        <v>15</v>
      </c>
      <c r="M400" s="10">
        <f t="shared" si="33"/>
        <v>5</v>
      </c>
      <c r="N400" s="10">
        <v>15</v>
      </c>
      <c r="O400" s="12">
        <v>5</v>
      </c>
      <c r="P400" s="11">
        <v>5740</v>
      </c>
      <c r="Q400" s="10" t="s">
        <v>31</v>
      </c>
      <c r="R400" s="4" t="s">
        <v>1294</v>
      </c>
      <c r="S400" s="4" t="s">
        <v>1379</v>
      </c>
      <c r="T400" s="4" t="s">
        <v>19</v>
      </c>
      <c r="U400" s="4" t="str">
        <f t="shared" si="35"/>
        <v>NOT AN ADD-ON</v>
      </c>
      <c r="V400" s="4" t="str">
        <f t="shared" si="34"/>
        <v>ASSET CONFIGURATION MANAGERACMAUTHORIZEDNOT AN ADD-ON</v>
      </c>
    </row>
    <row r="401" spans="1:22" ht="15" thickBot="1">
      <c r="A401" s="10" t="s">
        <v>21</v>
      </c>
      <c r="B401" s="10" t="s">
        <v>22</v>
      </c>
      <c r="C401" s="10" t="s">
        <v>417</v>
      </c>
      <c r="D401" s="10" t="s">
        <v>418</v>
      </c>
      <c r="E401" s="10" t="s">
        <v>419</v>
      </c>
      <c r="F401" s="10" t="s">
        <v>420</v>
      </c>
      <c r="G401" s="11">
        <v>32100</v>
      </c>
      <c r="H401" s="163" t="s">
        <v>421</v>
      </c>
      <c r="I401" s="158" t="s">
        <v>422</v>
      </c>
      <c r="J401" s="163" t="s">
        <v>423</v>
      </c>
      <c r="K401" s="10" t="s">
        <v>424</v>
      </c>
      <c r="L401" s="10">
        <v>80</v>
      </c>
      <c r="M401" s="10">
        <f t="shared" si="33"/>
        <v>80</v>
      </c>
      <c r="N401" s="10">
        <v>80</v>
      </c>
      <c r="O401" s="12">
        <v>1</v>
      </c>
      <c r="P401" s="11">
        <v>161000</v>
      </c>
      <c r="Q401" s="10" t="s">
        <v>31</v>
      </c>
      <c r="R401" s="4" t="s">
        <v>1296</v>
      </c>
      <c r="S401" s="4" t="s">
        <v>1295</v>
      </c>
      <c r="T401" s="4" t="s">
        <v>1295</v>
      </c>
      <c r="U401" s="4" t="str">
        <f t="shared" si="35"/>
        <v>NOT AN ADD-ON</v>
      </c>
      <c r="V401" s="4" t="str">
        <f t="shared" si="34"/>
        <v>ADAPTER FOR ORACLEADAPTERADAPTERNOT AN ADD-ON</v>
      </c>
    </row>
    <row r="402" spans="1:22" ht="15" thickBot="1">
      <c r="A402" s="10" t="s">
        <v>21</v>
      </c>
      <c r="B402" s="10" t="s">
        <v>22</v>
      </c>
      <c r="C402" s="10" t="s">
        <v>435</v>
      </c>
      <c r="D402" s="10" t="s">
        <v>418</v>
      </c>
      <c r="E402" s="10" t="s">
        <v>419</v>
      </c>
      <c r="F402" s="10" t="s">
        <v>420</v>
      </c>
      <c r="G402" s="11">
        <v>32100</v>
      </c>
      <c r="H402" s="163" t="s">
        <v>436</v>
      </c>
      <c r="I402" s="158" t="s">
        <v>437</v>
      </c>
      <c r="J402" s="163" t="s">
        <v>438</v>
      </c>
      <c r="K402" s="10" t="s">
        <v>424</v>
      </c>
      <c r="L402" s="10">
        <v>80</v>
      </c>
      <c r="M402" s="10">
        <f t="shared" si="33"/>
        <v>80</v>
      </c>
      <c r="N402" s="10">
        <v>80</v>
      </c>
      <c r="O402" s="12">
        <v>1</v>
      </c>
      <c r="P402" s="11">
        <v>161000</v>
      </c>
      <c r="Q402" s="10" t="s">
        <v>31</v>
      </c>
      <c r="R402" s="4" t="s">
        <v>1297</v>
      </c>
      <c r="S402" s="4" t="s">
        <v>1295</v>
      </c>
      <c r="T402" s="4" t="s">
        <v>1295</v>
      </c>
      <c r="U402" s="4" t="str">
        <f t="shared" si="35"/>
        <v>NOT AN ADD-ON</v>
      </c>
      <c r="V402" s="4" t="str">
        <f t="shared" si="34"/>
        <v>ADAPTER FOR SAPADAPTERADAPTERNOT AN ADD-ON</v>
      </c>
    </row>
    <row r="403" spans="1:22" ht="15" thickBot="1">
      <c r="A403" s="10" t="s">
        <v>21</v>
      </c>
      <c r="B403" s="10" t="s">
        <v>22</v>
      </c>
      <c r="C403" s="10" t="s">
        <v>385</v>
      </c>
      <c r="D403" s="10" t="s">
        <v>386</v>
      </c>
      <c r="E403" s="10" t="s">
        <v>387</v>
      </c>
      <c r="F403" s="10" t="s">
        <v>388</v>
      </c>
      <c r="G403" s="11">
        <v>116</v>
      </c>
      <c r="H403" s="163" t="s">
        <v>411</v>
      </c>
      <c r="I403" s="158" t="s">
        <v>412</v>
      </c>
      <c r="J403" s="163" t="s">
        <v>413</v>
      </c>
      <c r="K403" s="10" t="s">
        <v>30</v>
      </c>
      <c r="L403" s="10">
        <v>0</v>
      </c>
      <c r="M403" s="10">
        <f t="shared" si="33"/>
        <v>0</v>
      </c>
      <c r="N403" s="15">
        <v>5</v>
      </c>
      <c r="O403" s="16">
        <v>1.67</v>
      </c>
      <c r="P403" s="11">
        <v>584</v>
      </c>
      <c r="Q403" s="10" t="s">
        <v>31</v>
      </c>
      <c r="R403" s="4" t="s">
        <v>1288</v>
      </c>
      <c r="S403" s="4" t="s">
        <v>507</v>
      </c>
      <c r="T403" s="4" t="s">
        <v>19</v>
      </c>
      <c r="U403" s="4" t="str">
        <f t="shared" si="35"/>
        <v>NOT AN ADD-ON</v>
      </c>
      <c r="V403" s="4" t="str">
        <f t="shared" si="34"/>
        <v>CALIBRATIONADD-ONAUTHORIZEDNOT AN ADD-ON</v>
      </c>
    </row>
    <row r="404" spans="1:22" ht="15" thickBot="1">
      <c r="A404" s="10" t="s">
        <v>21</v>
      </c>
      <c r="B404" s="10" t="s">
        <v>22</v>
      </c>
      <c r="C404" s="10" t="s">
        <v>301</v>
      </c>
      <c r="D404" s="10" t="s">
        <v>141</v>
      </c>
      <c r="E404" s="10" t="s">
        <v>142</v>
      </c>
      <c r="F404" s="10" t="s">
        <v>143</v>
      </c>
      <c r="G404" s="11">
        <v>402</v>
      </c>
      <c r="H404" s="163" t="s">
        <v>307</v>
      </c>
      <c r="I404" s="158" t="s">
        <v>308</v>
      </c>
      <c r="J404" s="163" t="s">
        <v>304</v>
      </c>
      <c r="K404" s="10" t="s">
        <v>30</v>
      </c>
      <c r="L404" s="10">
        <v>0</v>
      </c>
      <c r="M404" s="10">
        <f t="shared" si="33"/>
        <v>0</v>
      </c>
      <c r="N404" s="10">
        <v>10</v>
      </c>
      <c r="O404" s="12">
        <v>3.3333333333333335</v>
      </c>
      <c r="P404" s="11">
        <v>2020</v>
      </c>
      <c r="Q404" s="10" t="s">
        <v>31</v>
      </c>
      <c r="R404" s="4" t="s">
        <v>1285</v>
      </c>
      <c r="S404" s="4" t="s">
        <v>507</v>
      </c>
      <c r="T404" s="4" t="s">
        <v>19</v>
      </c>
      <c r="U404" s="4" t="str">
        <f t="shared" si="35"/>
        <v>NOT AN ADD-ON</v>
      </c>
      <c r="V404" s="4" t="str">
        <f t="shared" si="34"/>
        <v>SCHEDULERADD-ONAUTHORIZEDNOT AN ADD-ON</v>
      </c>
    </row>
    <row r="405" spans="1:22" ht="15" thickBot="1">
      <c r="A405" s="10" t="s">
        <v>21</v>
      </c>
      <c r="B405" s="10" t="s">
        <v>22</v>
      </c>
      <c r="C405" s="10" t="s">
        <v>301</v>
      </c>
      <c r="D405" s="10" t="s">
        <v>141</v>
      </c>
      <c r="E405" s="10" t="s">
        <v>142</v>
      </c>
      <c r="F405" s="10" t="s">
        <v>143</v>
      </c>
      <c r="G405" s="11">
        <v>402</v>
      </c>
      <c r="H405" s="163" t="s">
        <v>333</v>
      </c>
      <c r="I405" s="158" t="s">
        <v>334</v>
      </c>
      <c r="J405" s="163" t="s">
        <v>330</v>
      </c>
      <c r="K405" s="10" t="s">
        <v>30</v>
      </c>
      <c r="L405" s="10">
        <v>0</v>
      </c>
      <c r="M405" s="10">
        <f t="shared" si="33"/>
        <v>0</v>
      </c>
      <c r="N405" s="10">
        <v>10</v>
      </c>
      <c r="O405" s="12">
        <v>3.3333333333333335</v>
      </c>
      <c r="P405" s="11">
        <v>2020</v>
      </c>
      <c r="Q405" s="10" t="s">
        <v>31</v>
      </c>
      <c r="R405" s="4" t="s">
        <v>1285</v>
      </c>
      <c r="S405" s="4" t="s">
        <v>507</v>
      </c>
      <c r="T405" s="4" t="s">
        <v>19</v>
      </c>
      <c r="U405" s="4" t="str">
        <f t="shared" si="35"/>
        <v>NOT AN ADD-ON</v>
      </c>
      <c r="V405" s="4" t="str">
        <f t="shared" si="34"/>
        <v>SCHEDULERADD-ONAUTHORIZEDNOT AN ADD-ON</v>
      </c>
    </row>
    <row r="406" spans="1:22" ht="15" thickBot="1">
      <c r="A406" s="10" t="s">
        <v>21</v>
      </c>
      <c r="B406" s="10" t="s">
        <v>22</v>
      </c>
      <c r="C406" s="10" t="s">
        <v>140</v>
      </c>
      <c r="D406" s="10" t="s">
        <v>141</v>
      </c>
      <c r="E406" s="10" t="s">
        <v>142</v>
      </c>
      <c r="F406" s="10" t="s">
        <v>143</v>
      </c>
      <c r="G406" s="11">
        <v>641</v>
      </c>
      <c r="H406" s="163" t="s">
        <v>264</v>
      </c>
      <c r="I406" s="158" t="s">
        <v>265</v>
      </c>
      <c r="J406" s="163" t="s">
        <v>263</v>
      </c>
      <c r="K406" s="10" t="s">
        <v>30</v>
      </c>
      <c r="L406" s="10">
        <v>5</v>
      </c>
      <c r="M406" s="10">
        <f t="shared" si="33"/>
        <v>1.67</v>
      </c>
      <c r="N406" s="10">
        <v>5</v>
      </c>
      <c r="O406" s="12">
        <v>1.6666666666666667</v>
      </c>
      <c r="P406" s="11">
        <v>3200</v>
      </c>
      <c r="Q406" s="10" t="s">
        <v>31</v>
      </c>
      <c r="R406" s="4" t="s">
        <v>1278</v>
      </c>
      <c r="S406" s="4" t="s">
        <v>1278</v>
      </c>
      <c r="T406" s="4" t="s">
        <v>672</v>
      </c>
      <c r="U406" s="4" t="str">
        <f t="shared" si="35"/>
        <v>NOT AN ADD-ON</v>
      </c>
      <c r="V406" s="4" t="str">
        <f t="shared" si="34"/>
        <v>ASSET MANAGEMENT (CORE)ASSET MANAGEMENT (CORE)LIMITEDNOT AN ADD-ON</v>
      </c>
    </row>
    <row r="407" spans="1:22" ht="15" thickBot="1">
      <c r="A407" s="10" t="s">
        <v>21</v>
      </c>
      <c r="B407" s="10" t="s">
        <v>22</v>
      </c>
      <c r="C407" s="10" t="s">
        <v>140</v>
      </c>
      <c r="D407" s="10" t="s">
        <v>141</v>
      </c>
      <c r="E407" s="10" t="s">
        <v>142</v>
      </c>
      <c r="F407" s="10" t="s">
        <v>143</v>
      </c>
      <c r="G407" s="11">
        <v>1290</v>
      </c>
      <c r="H407" s="163" t="s">
        <v>147</v>
      </c>
      <c r="I407" s="158" t="s">
        <v>148</v>
      </c>
      <c r="J407" s="163" t="s">
        <v>146</v>
      </c>
      <c r="K407" s="10" t="s">
        <v>30</v>
      </c>
      <c r="L407" s="10">
        <v>10</v>
      </c>
      <c r="M407" s="10">
        <f t="shared" si="33"/>
        <v>3.33</v>
      </c>
      <c r="N407" s="10">
        <v>10</v>
      </c>
      <c r="O407" s="12">
        <v>3.3333333333333335</v>
      </c>
      <c r="P407" s="11">
        <v>6390</v>
      </c>
      <c r="Q407" s="10" t="s">
        <v>31</v>
      </c>
      <c r="R407" s="4" t="s">
        <v>1278</v>
      </c>
      <c r="S407" s="4" t="s">
        <v>1278</v>
      </c>
      <c r="T407" s="4" t="s">
        <v>19</v>
      </c>
      <c r="U407" s="4" t="str">
        <f t="shared" si="35"/>
        <v>NOT AN ADD-ON</v>
      </c>
      <c r="V407" s="4" t="str">
        <f t="shared" si="34"/>
        <v>ASSET MANAGEMENT (CORE)ASSET MANAGEMENT (CORE)AUTHORIZEDNOT AN ADD-ON</v>
      </c>
    </row>
    <row r="408" spans="1:22" ht="15" thickBot="1">
      <c r="A408" s="10" t="s">
        <v>21</v>
      </c>
      <c r="B408" s="10" t="s">
        <v>22</v>
      </c>
      <c r="C408" s="10" t="s">
        <v>140</v>
      </c>
      <c r="D408" s="10" t="s">
        <v>141</v>
      </c>
      <c r="E408" s="10" t="s">
        <v>142</v>
      </c>
      <c r="F408" s="10" t="s">
        <v>143</v>
      </c>
      <c r="G408" s="11">
        <v>1290</v>
      </c>
      <c r="H408" s="163" t="s">
        <v>225</v>
      </c>
      <c r="I408" s="158" t="s">
        <v>226</v>
      </c>
      <c r="J408" s="163" t="s">
        <v>224</v>
      </c>
      <c r="K408" s="10" t="s">
        <v>30</v>
      </c>
      <c r="L408" s="10">
        <v>10</v>
      </c>
      <c r="M408" s="10">
        <f t="shared" si="33"/>
        <v>3.33</v>
      </c>
      <c r="N408" s="10">
        <v>10</v>
      </c>
      <c r="O408" s="12">
        <v>3.3333333333333335</v>
      </c>
      <c r="P408" s="11">
        <v>6390</v>
      </c>
      <c r="Q408" s="10" t="s">
        <v>31</v>
      </c>
      <c r="R408" s="4" t="s">
        <v>1278</v>
      </c>
      <c r="S408" s="4" t="s">
        <v>1278</v>
      </c>
      <c r="T408" s="4" t="s">
        <v>19</v>
      </c>
      <c r="U408" s="4" t="str">
        <f t="shared" si="35"/>
        <v>NOT AN ADD-ON</v>
      </c>
      <c r="V408" s="4" t="str">
        <f t="shared" si="34"/>
        <v>ASSET MANAGEMENT (CORE)ASSET MANAGEMENT (CORE)AUTHORIZEDNOT AN ADD-ON</v>
      </c>
    </row>
    <row r="409" spans="1:22" ht="15" thickBot="1">
      <c r="A409" s="10" t="s">
        <v>21</v>
      </c>
      <c r="B409" s="10" t="s">
        <v>22</v>
      </c>
      <c r="C409" s="10" t="s">
        <v>140</v>
      </c>
      <c r="D409" s="10" t="s">
        <v>141</v>
      </c>
      <c r="E409" s="10" t="s">
        <v>142</v>
      </c>
      <c r="F409" s="10" t="s">
        <v>143</v>
      </c>
      <c r="G409" s="11">
        <v>641</v>
      </c>
      <c r="H409" s="163" t="s">
        <v>272</v>
      </c>
      <c r="I409" s="158" t="s">
        <v>273</v>
      </c>
      <c r="J409" s="163" t="s">
        <v>271</v>
      </c>
      <c r="K409" s="10" t="s">
        <v>30</v>
      </c>
      <c r="L409" s="10">
        <v>5</v>
      </c>
      <c r="M409" s="10">
        <f t="shared" si="33"/>
        <v>1.67</v>
      </c>
      <c r="N409" s="10">
        <v>5</v>
      </c>
      <c r="O409" s="12">
        <v>1.6666666666666667</v>
      </c>
      <c r="P409" s="11">
        <v>3200</v>
      </c>
      <c r="Q409" s="10" t="s">
        <v>31</v>
      </c>
      <c r="R409" s="4" t="s">
        <v>1278</v>
      </c>
      <c r="S409" s="4" t="s">
        <v>1278</v>
      </c>
      <c r="T409" s="4" t="s">
        <v>672</v>
      </c>
      <c r="U409" s="4" t="str">
        <f t="shared" si="35"/>
        <v>NOT AN ADD-ON</v>
      </c>
      <c r="V409" s="4" t="str">
        <f t="shared" si="34"/>
        <v>ASSET MANAGEMENT (CORE)ASSET MANAGEMENT (CORE)LIMITEDNOT AN ADD-ON</v>
      </c>
    </row>
    <row r="410" spans="1:22" ht="15" thickBot="1">
      <c r="A410" s="10" t="s">
        <v>21</v>
      </c>
      <c r="B410" s="10" t="s">
        <v>22</v>
      </c>
      <c r="C410" s="10" t="s">
        <v>593</v>
      </c>
      <c r="D410" s="10" t="s">
        <v>594</v>
      </c>
      <c r="E410" s="10" t="s">
        <v>595</v>
      </c>
      <c r="F410" s="10" t="s">
        <v>596</v>
      </c>
      <c r="G410" s="11">
        <v>1520</v>
      </c>
      <c r="H410" s="163" t="s">
        <v>626</v>
      </c>
      <c r="I410" s="158" t="s">
        <v>627</v>
      </c>
      <c r="J410" s="163" t="s">
        <v>621</v>
      </c>
      <c r="K410" s="10" t="s">
        <v>30</v>
      </c>
      <c r="L410" s="10">
        <v>15</v>
      </c>
      <c r="M410" s="10">
        <f t="shared" si="33"/>
        <v>5</v>
      </c>
      <c r="N410" s="10">
        <v>15</v>
      </c>
      <c r="O410" s="12">
        <v>5</v>
      </c>
      <c r="P410" s="11">
        <v>7660</v>
      </c>
      <c r="Q410" s="10" t="s">
        <v>31</v>
      </c>
      <c r="R410" s="4" t="s">
        <v>1281</v>
      </c>
      <c r="S410" s="4" t="s">
        <v>1279</v>
      </c>
      <c r="T410" s="4" t="s">
        <v>19</v>
      </c>
      <c r="U410" s="4" t="str">
        <f t="shared" si="35"/>
        <v>NOT AN ADD-ON</v>
      </c>
      <c r="V410" s="4" t="str">
        <f t="shared" si="34"/>
        <v>NUCLEAR POWERINDUSTRY SOLUTIONAUTHORIZEDNOT AN ADD-ON</v>
      </c>
    </row>
    <row r="411" spans="1:22" ht="15" thickBot="1">
      <c r="A411" s="10" t="s">
        <v>21</v>
      </c>
      <c r="B411" s="10" t="s">
        <v>22</v>
      </c>
      <c r="C411" s="10" t="s">
        <v>593</v>
      </c>
      <c r="D411" s="10" t="s">
        <v>594</v>
      </c>
      <c r="E411" s="10" t="s">
        <v>595</v>
      </c>
      <c r="F411" s="10" t="s">
        <v>596</v>
      </c>
      <c r="G411" s="11">
        <v>431</v>
      </c>
      <c r="H411" s="163" t="s">
        <v>597</v>
      </c>
      <c r="I411" s="158" t="s">
        <v>598</v>
      </c>
      <c r="J411" s="163" t="s">
        <v>599</v>
      </c>
      <c r="K411" s="10" t="s">
        <v>30</v>
      </c>
      <c r="L411" s="10">
        <v>5</v>
      </c>
      <c r="M411" s="10">
        <f t="shared" si="33"/>
        <v>1.67</v>
      </c>
      <c r="N411" s="10">
        <v>15</v>
      </c>
      <c r="O411" s="12">
        <v>5</v>
      </c>
      <c r="P411" s="11">
        <v>2150</v>
      </c>
      <c r="Q411" s="10" t="s">
        <v>31</v>
      </c>
      <c r="R411" s="4" t="s">
        <v>1281</v>
      </c>
      <c r="S411" s="4" t="s">
        <v>1279</v>
      </c>
      <c r="T411" s="4" t="s">
        <v>19</v>
      </c>
      <c r="U411" s="4" t="s">
        <v>507</v>
      </c>
      <c r="V411" s="4" t="str">
        <f t="shared" si="34"/>
        <v>NUCLEAR POWERINDUSTRY SOLUTIONAUTHORIZEDADD-ON</v>
      </c>
    </row>
    <row r="412" spans="1:22" ht="15" thickBot="1">
      <c r="A412" s="10" t="s">
        <v>21</v>
      </c>
      <c r="B412" s="10" t="s">
        <v>22</v>
      </c>
      <c r="C412" s="10" t="s">
        <v>593</v>
      </c>
      <c r="D412" s="10" t="s">
        <v>594</v>
      </c>
      <c r="E412" s="10" t="s">
        <v>595</v>
      </c>
      <c r="F412" s="10" t="s">
        <v>596</v>
      </c>
      <c r="G412" s="11">
        <v>1520</v>
      </c>
      <c r="H412" s="163" t="s">
        <v>664</v>
      </c>
      <c r="I412" s="158" t="s">
        <v>665</v>
      </c>
      <c r="J412" s="163" t="s">
        <v>659</v>
      </c>
      <c r="K412" s="10" t="s">
        <v>30</v>
      </c>
      <c r="L412" s="10">
        <v>15</v>
      </c>
      <c r="M412" s="10">
        <f t="shared" si="33"/>
        <v>5</v>
      </c>
      <c r="N412" s="10">
        <v>15</v>
      </c>
      <c r="O412" s="12">
        <v>5</v>
      </c>
      <c r="P412" s="11">
        <v>7660</v>
      </c>
      <c r="Q412" s="10" t="s">
        <v>31</v>
      </c>
      <c r="R412" s="4" t="s">
        <v>1281</v>
      </c>
      <c r="S412" s="4" t="s">
        <v>1279</v>
      </c>
      <c r="T412" s="4" t="s">
        <v>19</v>
      </c>
      <c r="U412" s="4" t="str">
        <f>IF(ISNUMBER(SEARCH("ADD-ON",$I412)),"ADD-ON","NOT AN ADD-ON")</f>
        <v>NOT AN ADD-ON</v>
      </c>
      <c r="V412" s="4" t="str">
        <f t="shared" si="34"/>
        <v>NUCLEAR POWERINDUSTRY SOLUTIONAUTHORIZEDNOT AN ADD-ON</v>
      </c>
    </row>
    <row r="413" spans="1:22" ht="15" thickBot="1">
      <c r="A413" s="10" t="s">
        <v>21</v>
      </c>
      <c r="B413" s="10" t="s">
        <v>22</v>
      </c>
      <c r="C413" s="10" t="s">
        <v>593</v>
      </c>
      <c r="D413" s="10" t="s">
        <v>594</v>
      </c>
      <c r="E413" s="10" t="s">
        <v>595</v>
      </c>
      <c r="F413" s="10" t="s">
        <v>596</v>
      </c>
      <c r="G413" s="11">
        <v>431</v>
      </c>
      <c r="H413" s="163" t="s">
        <v>651</v>
      </c>
      <c r="I413" s="158" t="s">
        <v>652</v>
      </c>
      <c r="J413" s="163" t="s">
        <v>653</v>
      </c>
      <c r="K413" s="10" t="s">
        <v>30</v>
      </c>
      <c r="L413" s="10">
        <v>5</v>
      </c>
      <c r="M413" s="10">
        <f t="shared" si="33"/>
        <v>1.67</v>
      </c>
      <c r="N413" s="10">
        <v>15</v>
      </c>
      <c r="O413" s="12">
        <v>5</v>
      </c>
      <c r="P413" s="11">
        <v>2150</v>
      </c>
      <c r="Q413" s="10" t="s">
        <v>31</v>
      </c>
      <c r="R413" s="4" t="s">
        <v>1281</v>
      </c>
      <c r="S413" s="4" t="s">
        <v>1279</v>
      </c>
      <c r="T413" s="4" t="s">
        <v>19</v>
      </c>
      <c r="U413" s="4" t="s">
        <v>507</v>
      </c>
      <c r="V413" s="4" t="str">
        <f t="shared" si="34"/>
        <v>NUCLEAR POWERINDUSTRY SOLUTIONAUTHORIZEDADD-ON</v>
      </c>
    </row>
    <row r="414" spans="1:22" ht="15" thickBot="1">
      <c r="A414" s="10" t="s">
        <v>21</v>
      </c>
      <c r="B414" s="10" t="s">
        <v>22</v>
      </c>
      <c r="C414" s="10" t="s">
        <v>686</v>
      </c>
      <c r="D414" s="10" t="s">
        <v>687</v>
      </c>
      <c r="E414" s="10" t="s">
        <v>688</v>
      </c>
      <c r="F414" s="10" t="s">
        <v>689</v>
      </c>
      <c r="G414" s="11">
        <v>1520</v>
      </c>
      <c r="H414" s="163" t="s">
        <v>719</v>
      </c>
      <c r="I414" s="158" t="s">
        <v>720</v>
      </c>
      <c r="J414" s="163" t="s">
        <v>714</v>
      </c>
      <c r="K414" s="10" t="s">
        <v>30</v>
      </c>
      <c r="L414" s="10">
        <v>15</v>
      </c>
      <c r="M414" s="10">
        <f t="shared" si="33"/>
        <v>5</v>
      </c>
      <c r="N414" s="10">
        <v>15</v>
      </c>
      <c r="O414" s="12">
        <v>5</v>
      </c>
      <c r="P414" s="11">
        <v>7660</v>
      </c>
      <c r="Q414" s="10" t="s">
        <v>31</v>
      </c>
      <c r="R414" s="4" t="s">
        <v>1282</v>
      </c>
      <c r="S414" s="4" t="s">
        <v>1279</v>
      </c>
      <c r="T414" s="4" t="s">
        <v>19</v>
      </c>
      <c r="U414" s="4" t="str">
        <f>IF(ISNUMBER(SEARCH("ADD-ON",$I414)),"ADD-ON","NOT AN ADD-ON")</f>
        <v>NOT AN ADD-ON</v>
      </c>
      <c r="V414" s="4" t="str">
        <f t="shared" si="34"/>
        <v>OIL AND GASINDUSTRY SOLUTIONAUTHORIZEDNOT AN ADD-ON</v>
      </c>
    </row>
    <row r="415" spans="1:22" ht="15" thickBot="1">
      <c r="A415" s="10" t="s">
        <v>21</v>
      </c>
      <c r="B415" s="10" t="s">
        <v>22</v>
      </c>
      <c r="C415" s="10" t="s">
        <v>686</v>
      </c>
      <c r="D415" s="10" t="s">
        <v>687</v>
      </c>
      <c r="E415" s="10" t="s">
        <v>688</v>
      </c>
      <c r="F415" s="10" t="s">
        <v>689</v>
      </c>
      <c r="G415" s="11">
        <v>431</v>
      </c>
      <c r="H415" s="163" t="s">
        <v>690</v>
      </c>
      <c r="I415" s="158" t="s">
        <v>691</v>
      </c>
      <c r="J415" s="163" t="s">
        <v>692</v>
      </c>
      <c r="K415" s="10" t="s">
        <v>30</v>
      </c>
      <c r="L415" s="10">
        <v>5</v>
      </c>
      <c r="M415" s="10">
        <f t="shared" si="33"/>
        <v>1.67</v>
      </c>
      <c r="N415" s="10">
        <v>15</v>
      </c>
      <c r="O415" s="12">
        <v>5</v>
      </c>
      <c r="P415" s="11">
        <v>2150</v>
      </c>
      <c r="Q415" s="10" t="s">
        <v>31</v>
      </c>
      <c r="R415" s="4" t="s">
        <v>1282</v>
      </c>
      <c r="S415" s="4" t="s">
        <v>1279</v>
      </c>
      <c r="T415" s="4" t="s">
        <v>19</v>
      </c>
      <c r="U415" s="4" t="s">
        <v>507</v>
      </c>
      <c r="V415" s="4" t="str">
        <f t="shared" si="34"/>
        <v>OIL AND GASINDUSTRY SOLUTIONAUTHORIZEDADD-ON</v>
      </c>
    </row>
    <row r="416" spans="1:22" ht="15" thickBot="1">
      <c r="A416" s="10" t="s">
        <v>21</v>
      </c>
      <c r="B416" s="10" t="s">
        <v>22</v>
      </c>
      <c r="C416" s="10" t="s">
        <v>686</v>
      </c>
      <c r="D416" s="10" t="s">
        <v>687</v>
      </c>
      <c r="E416" s="10" t="s">
        <v>688</v>
      </c>
      <c r="F416" s="10" t="s">
        <v>689</v>
      </c>
      <c r="G416" s="11">
        <v>1520</v>
      </c>
      <c r="H416" s="163" t="s">
        <v>756</v>
      </c>
      <c r="I416" s="158" t="s">
        <v>757</v>
      </c>
      <c r="J416" s="163" t="s">
        <v>758</v>
      </c>
      <c r="K416" s="10" t="s">
        <v>30</v>
      </c>
      <c r="L416" s="10">
        <v>15</v>
      </c>
      <c r="M416" s="10">
        <f t="shared" ref="M416:M447" si="36">ROUND(IF(K416="Authorized User",L416/3,L416),2)</f>
        <v>5</v>
      </c>
      <c r="N416" s="10">
        <v>15</v>
      </c>
      <c r="O416" s="12">
        <v>5</v>
      </c>
      <c r="P416" s="11">
        <v>7660</v>
      </c>
      <c r="Q416" s="10" t="s">
        <v>31</v>
      </c>
      <c r="R416" s="4" t="s">
        <v>1282</v>
      </c>
      <c r="S416" s="4" t="s">
        <v>1279</v>
      </c>
      <c r="T416" s="4" t="s">
        <v>19</v>
      </c>
      <c r="U416" s="4" t="str">
        <f>IF(ISNUMBER(SEARCH("ADD-ON",$I416)),"ADD-ON","NOT AN ADD-ON")</f>
        <v>NOT AN ADD-ON</v>
      </c>
      <c r="V416" s="4" t="str">
        <f t="shared" si="34"/>
        <v>OIL AND GASINDUSTRY SOLUTIONAUTHORIZEDNOT AN ADD-ON</v>
      </c>
    </row>
    <row r="417" spans="1:22" ht="15" thickBot="1">
      <c r="A417" s="10" t="s">
        <v>21</v>
      </c>
      <c r="B417" s="10" t="s">
        <v>22</v>
      </c>
      <c r="C417" s="10" t="s">
        <v>686</v>
      </c>
      <c r="D417" s="10" t="s">
        <v>687</v>
      </c>
      <c r="E417" s="10" t="s">
        <v>688</v>
      </c>
      <c r="F417" s="10" t="s">
        <v>689</v>
      </c>
      <c r="G417" s="11">
        <v>431</v>
      </c>
      <c r="H417" s="163" t="s">
        <v>744</v>
      </c>
      <c r="I417" s="158" t="s">
        <v>745</v>
      </c>
      <c r="J417" s="163" t="s">
        <v>746</v>
      </c>
      <c r="K417" s="10" t="s">
        <v>30</v>
      </c>
      <c r="L417" s="10">
        <v>5</v>
      </c>
      <c r="M417" s="10">
        <f t="shared" si="36"/>
        <v>1.67</v>
      </c>
      <c r="N417" s="10">
        <v>15</v>
      </c>
      <c r="O417" s="12">
        <v>5</v>
      </c>
      <c r="P417" s="11">
        <v>2150</v>
      </c>
      <c r="Q417" s="10" t="s">
        <v>31</v>
      </c>
      <c r="R417" s="4" t="s">
        <v>1282</v>
      </c>
      <c r="S417" s="4" t="s">
        <v>1279</v>
      </c>
      <c r="T417" s="4" t="s">
        <v>19</v>
      </c>
      <c r="U417" s="4" t="s">
        <v>507</v>
      </c>
      <c r="V417" s="4" t="str">
        <f t="shared" si="34"/>
        <v>OIL AND GASINDUSTRY SOLUTIONAUTHORIZEDADD-ON</v>
      </c>
    </row>
    <row r="418" spans="1:22" ht="15" thickBot="1">
      <c r="A418" s="10" t="s">
        <v>21</v>
      </c>
      <c r="B418" s="10" t="s">
        <v>22</v>
      </c>
      <c r="C418" s="10" t="s">
        <v>778</v>
      </c>
      <c r="D418" s="10" t="s">
        <v>779</v>
      </c>
      <c r="E418" s="10" t="s">
        <v>780</v>
      </c>
      <c r="F418" s="10" t="s">
        <v>781</v>
      </c>
      <c r="G418" s="11">
        <v>1520</v>
      </c>
      <c r="H418" s="163" t="s">
        <v>811</v>
      </c>
      <c r="I418" s="158" t="s">
        <v>812</v>
      </c>
      <c r="J418" s="163" t="s">
        <v>806</v>
      </c>
      <c r="K418" s="10" t="s">
        <v>30</v>
      </c>
      <c r="L418" s="10">
        <v>15</v>
      </c>
      <c r="M418" s="10">
        <f t="shared" si="36"/>
        <v>5</v>
      </c>
      <c r="N418" s="10">
        <v>15</v>
      </c>
      <c r="O418" s="12">
        <v>5</v>
      </c>
      <c r="P418" s="11">
        <v>7660</v>
      </c>
      <c r="Q418" s="10" t="s">
        <v>31</v>
      </c>
      <c r="R418" s="4" t="s">
        <v>1283</v>
      </c>
      <c r="S418" s="4" t="s">
        <v>1279</v>
      </c>
      <c r="T418" s="4" t="s">
        <v>19</v>
      </c>
      <c r="U418" s="4" t="str">
        <f>IF(ISNUMBER(SEARCH("ADD-ON",$I418)),"ADD-ON","NOT AN ADD-ON")</f>
        <v>NOT AN ADD-ON</v>
      </c>
      <c r="V418" s="4" t="str">
        <f t="shared" si="34"/>
        <v>TRANSPORATIONINDUSTRY SOLUTIONAUTHORIZEDNOT AN ADD-ON</v>
      </c>
    </row>
    <row r="419" spans="1:22" ht="15" thickBot="1">
      <c r="A419" s="10" t="s">
        <v>21</v>
      </c>
      <c r="B419" s="10" t="s">
        <v>22</v>
      </c>
      <c r="C419" s="10" t="s">
        <v>778</v>
      </c>
      <c r="D419" s="10" t="s">
        <v>779</v>
      </c>
      <c r="E419" s="10" t="s">
        <v>780</v>
      </c>
      <c r="F419" s="10" t="s">
        <v>781</v>
      </c>
      <c r="G419" s="11">
        <v>431</v>
      </c>
      <c r="H419" s="163" t="s">
        <v>782</v>
      </c>
      <c r="I419" s="158" t="s">
        <v>783</v>
      </c>
      <c r="J419" s="163" t="s">
        <v>784</v>
      </c>
      <c r="K419" s="10" t="s">
        <v>30</v>
      </c>
      <c r="L419" s="10">
        <v>5</v>
      </c>
      <c r="M419" s="10">
        <f t="shared" si="36"/>
        <v>1.67</v>
      </c>
      <c r="N419" s="10">
        <v>15</v>
      </c>
      <c r="O419" s="12">
        <v>5</v>
      </c>
      <c r="P419" s="11">
        <v>2150</v>
      </c>
      <c r="Q419" s="10" t="s">
        <v>31</v>
      </c>
      <c r="R419" s="4" t="s">
        <v>1283</v>
      </c>
      <c r="S419" s="4" t="s">
        <v>1279</v>
      </c>
      <c r="T419" s="4" t="s">
        <v>19</v>
      </c>
      <c r="U419" s="4" t="s">
        <v>507</v>
      </c>
      <c r="V419" s="4" t="str">
        <f t="shared" si="34"/>
        <v>TRANSPORATIONINDUSTRY SOLUTIONAUTHORIZEDADD-ON</v>
      </c>
    </row>
    <row r="420" spans="1:22" ht="15" thickBot="1">
      <c r="A420" s="10" t="s">
        <v>21</v>
      </c>
      <c r="B420" s="10" t="s">
        <v>22</v>
      </c>
      <c r="C420" s="10" t="s">
        <v>778</v>
      </c>
      <c r="D420" s="10" t="s">
        <v>779</v>
      </c>
      <c r="E420" s="10" t="s">
        <v>780</v>
      </c>
      <c r="F420" s="10" t="s">
        <v>781</v>
      </c>
      <c r="G420" s="11">
        <v>1520</v>
      </c>
      <c r="H420" s="163" t="s">
        <v>849</v>
      </c>
      <c r="I420" s="158" t="s">
        <v>850</v>
      </c>
      <c r="J420" s="163" t="s">
        <v>844</v>
      </c>
      <c r="K420" s="10" t="s">
        <v>30</v>
      </c>
      <c r="L420" s="10">
        <v>15</v>
      </c>
      <c r="M420" s="10">
        <f t="shared" si="36"/>
        <v>5</v>
      </c>
      <c r="N420" s="10">
        <v>15</v>
      </c>
      <c r="O420" s="12">
        <v>5</v>
      </c>
      <c r="P420" s="11">
        <v>7660</v>
      </c>
      <c r="Q420" s="10" t="s">
        <v>31</v>
      </c>
      <c r="R420" s="4" t="s">
        <v>1283</v>
      </c>
      <c r="S420" s="4" t="s">
        <v>1279</v>
      </c>
      <c r="T420" s="4" t="s">
        <v>19</v>
      </c>
      <c r="U420" s="4" t="str">
        <f>IF(ISNUMBER(SEARCH("ADD-ON",$I420)),"ADD-ON","NOT AN ADD-ON")</f>
        <v>NOT AN ADD-ON</v>
      </c>
      <c r="V420" s="4" t="str">
        <f t="shared" si="34"/>
        <v>TRANSPORATIONINDUSTRY SOLUTIONAUTHORIZEDNOT AN ADD-ON</v>
      </c>
    </row>
    <row r="421" spans="1:22" ht="15" thickBot="1">
      <c r="A421" s="10" t="s">
        <v>21</v>
      </c>
      <c r="B421" s="10" t="s">
        <v>22</v>
      </c>
      <c r="C421" s="10" t="s">
        <v>778</v>
      </c>
      <c r="D421" s="10" t="s">
        <v>779</v>
      </c>
      <c r="E421" s="10" t="s">
        <v>780</v>
      </c>
      <c r="F421" s="10" t="s">
        <v>781</v>
      </c>
      <c r="G421" s="11">
        <v>431</v>
      </c>
      <c r="H421" s="163" t="s">
        <v>836</v>
      </c>
      <c r="I421" s="158" t="s">
        <v>837</v>
      </c>
      <c r="J421" s="163" t="s">
        <v>838</v>
      </c>
      <c r="K421" s="10" t="s">
        <v>30</v>
      </c>
      <c r="L421" s="10">
        <v>5</v>
      </c>
      <c r="M421" s="10">
        <f t="shared" si="36"/>
        <v>1.67</v>
      </c>
      <c r="N421" s="10">
        <v>15</v>
      </c>
      <c r="O421" s="12">
        <v>5</v>
      </c>
      <c r="P421" s="11">
        <v>2150</v>
      </c>
      <c r="Q421" s="10" t="s">
        <v>31</v>
      </c>
      <c r="R421" s="4" t="s">
        <v>1283</v>
      </c>
      <c r="S421" s="4" t="s">
        <v>1279</v>
      </c>
      <c r="T421" s="4" t="s">
        <v>19</v>
      </c>
      <c r="U421" s="4" t="s">
        <v>507</v>
      </c>
      <c r="V421" s="4" t="str">
        <f t="shared" si="34"/>
        <v>TRANSPORATIONINDUSTRY SOLUTIONAUTHORIZEDADD-ON</v>
      </c>
    </row>
    <row r="422" spans="1:22" ht="15" thickBot="1">
      <c r="A422" s="10" t="s">
        <v>21</v>
      </c>
      <c r="B422" s="10" t="s">
        <v>22</v>
      </c>
      <c r="C422" s="10" t="s">
        <v>870</v>
      </c>
      <c r="D422" s="10" t="s">
        <v>871</v>
      </c>
      <c r="E422" s="10" t="s">
        <v>872</v>
      </c>
      <c r="F422" s="10" t="s">
        <v>873</v>
      </c>
      <c r="G422" s="11">
        <v>1520</v>
      </c>
      <c r="H422" s="163" t="s">
        <v>903</v>
      </c>
      <c r="I422" s="158" t="s">
        <v>904</v>
      </c>
      <c r="J422" s="163" t="s">
        <v>898</v>
      </c>
      <c r="K422" s="10" t="s">
        <v>30</v>
      </c>
      <c r="L422" s="10">
        <v>15</v>
      </c>
      <c r="M422" s="10">
        <f t="shared" si="36"/>
        <v>5</v>
      </c>
      <c r="N422" s="10">
        <v>15</v>
      </c>
      <c r="O422" s="12">
        <v>5</v>
      </c>
      <c r="P422" s="11">
        <v>7660</v>
      </c>
      <c r="Q422" s="10" t="s">
        <v>31</v>
      </c>
      <c r="R422" s="4" t="s">
        <v>1284</v>
      </c>
      <c r="S422" s="4" t="s">
        <v>1279</v>
      </c>
      <c r="T422" s="4" t="s">
        <v>19</v>
      </c>
      <c r="U422" s="4" t="str">
        <f>IF(ISNUMBER(SEARCH("ADD-ON",$I422)),"ADD-ON","NOT AN ADD-ON")</f>
        <v>NOT AN ADD-ON</v>
      </c>
      <c r="V422" s="4" t="str">
        <f t="shared" si="34"/>
        <v>UTILITIESINDUSTRY SOLUTIONAUTHORIZEDNOT AN ADD-ON</v>
      </c>
    </row>
    <row r="423" spans="1:22" ht="15" thickBot="1">
      <c r="A423" s="10" t="s">
        <v>21</v>
      </c>
      <c r="B423" s="10" t="s">
        <v>22</v>
      </c>
      <c r="C423" s="10" t="s">
        <v>870</v>
      </c>
      <c r="D423" s="10" t="s">
        <v>871</v>
      </c>
      <c r="E423" s="10" t="s">
        <v>872</v>
      </c>
      <c r="F423" s="10" t="s">
        <v>873</v>
      </c>
      <c r="G423" s="11">
        <v>431</v>
      </c>
      <c r="H423" s="163" t="s">
        <v>874</v>
      </c>
      <c r="I423" s="158" t="s">
        <v>875</v>
      </c>
      <c r="J423" s="163" t="s">
        <v>876</v>
      </c>
      <c r="K423" s="10" t="s">
        <v>30</v>
      </c>
      <c r="L423" s="10">
        <v>5</v>
      </c>
      <c r="M423" s="10">
        <f t="shared" si="36"/>
        <v>1.67</v>
      </c>
      <c r="N423" s="10">
        <v>15</v>
      </c>
      <c r="O423" s="12">
        <v>5</v>
      </c>
      <c r="P423" s="11">
        <v>2150</v>
      </c>
      <c r="Q423" s="10" t="s">
        <v>31</v>
      </c>
      <c r="R423" s="4" t="s">
        <v>1284</v>
      </c>
      <c r="S423" s="4" t="s">
        <v>1279</v>
      </c>
      <c r="T423" s="4" t="s">
        <v>19</v>
      </c>
      <c r="U423" s="4" t="s">
        <v>507</v>
      </c>
      <c r="V423" s="4" t="str">
        <f t="shared" si="34"/>
        <v>UTILITIESINDUSTRY SOLUTIONAUTHORIZEDADD-ON</v>
      </c>
    </row>
    <row r="424" spans="1:22" ht="15" thickBot="1">
      <c r="A424" s="10" t="s">
        <v>21</v>
      </c>
      <c r="B424" s="10" t="s">
        <v>22</v>
      </c>
      <c r="C424" s="10" t="s">
        <v>870</v>
      </c>
      <c r="D424" s="10" t="s">
        <v>871</v>
      </c>
      <c r="E424" s="10" t="s">
        <v>872</v>
      </c>
      <c r="F424" s="10" t="s">
        <v>873</v>
      </c>
      <c r="G424" s="11">
        <v>1520</v>
      </c>
      <c r="H424" s="163" t="s">
        <v>937</v>
      </c>
      <c r="I424" s="158" t="s">
        <v>938</v>
      </c>
      <c r="J424" s="163" t="s">
        <v>932</v>
      </c>
      <c r="K424" s="10" t="s">
        <v>30</v>
      </c>
      <c r="L424" s="10">
        <v>15</v>
      </c>
      <c r="M424" s="10">
        <f t="shared" si="36"/>
        <v>5</v>
      </c>
      <c r="N424" s="10">
        <v>15</v>
      </c>
      <c r="O424" s="12">
        <v>5</v>
      </c>
      <c r="P424" s="11">
        <v>7660</v>
      </c>
      <c r="Q424" s="10" t="s">
        <v>31</v>
      </c>
      <c r="R424" s="4" t="s">
        <v>1284</v>
      </c>
      <c r="S424" s="4" t="s">
        <v>1279</v>
      </c>
      <c r="T424" s="4" t="s">
        <v>19</v>
      </c>
      <c r="U424" s="4" t="str">
        <f>IF(ISNUMBER(SEARCH("ADD-ON",$I424)),"ADD-ON","NOT AN ADD-ON")</f>
        <v>NOT AN ADD-ON</v>
      </c>
      <c r="V424" s="4" t="str">
        <f t="shared" si="34"/>
        <v>UTILITIESINDUSTRY SOLUTIONAUTHORIZEDNOT AN ADD-ON</v>
      </c>
    </row>
    <row r="425" spans="1:22" ht="15" thickBot="1">
      <c r="A425" s="10" t="s">
        <v>21</v>
      </c>
      <c r="B425" s="10" t="s">
        <v>22</v>
      </c>
      <c r="C425" s="10" t="s">
        <v>870</v>
      </c>
      <c r="D425" s="10" t="s">
        <v>871</v>
      </c>
      <c r="E425" s="10" t="s">
        <v>872</v>
      </c>
      <c r="F425" s="10" t="s">
        <v>873</v>
      </c>
      <c r="G425" s="11">
        <v>431</v>
      </c>
      <c r="H425" s="163" t="s">
        <v>924</v>
      </c>
      <c r="I425" s="158" t="s">
        <v>925</v>
      </c>
      <c r="J425" s="163" t="s">
        <v>926</v>
      </c>
      <c r="K425" s="10" t="s">
        <v>30</v>
      </c>
      <c r="L425" s="10">
        <v>15</v>
      </c>
      <c r="M425" s="10">
        <f t="shared" si="36"/>
        <v>5</v>
      </c>
      <c r="N425" s="10">
        <v>15</v>
      </c>
      <c r="O425" s="12">
        <v>5</v>
      </c>
      <c r="P425" s="11">
        <v>2150</v>
      </c>
      <c r="Q425" s="10" t="s">
        <v>31</v>
      </c>
      <c r="R425" s="4" t="s">
        <v>1284</v>
      </c>
      <c r="S425" s="4" t="s">
        <v>1279</v>
      </c>
      <c r="T425" s="4" t="s">
        <v>19</v>
      </c>
      <c r="U425" s="4" t="str">
        <f>IF(ISNUMBER(SEARCH("ADD-ON",$I425)),"ADD-ON","NOT AN ADD-ON")</f>
        <v>NOT AN ADD-ON</v>
      </c>
      <c r="V425" s="4" t="str">
        <f t="shared" si="34"/>
        <v>UTILITIESINDUSTRY SOLUTIONAUTHORIZEDNOT AN ADD-ON</v>
      </c>
    </row>
    <row r="426" spans="1:22" ht="15" thickBot="1">
      <c r="A426" s="10" t="s">
        <v>21</v>
      </c>
      <c r="B426" s="10" t="s">
        <v>22</v>
      </c>
      <c r="C426" s="10" t="s">
        <v>500</v>
      </c>
      <c r="D426" s="10" t="s">
        <v>501</v>
      </c>
      <c r="E426" s="10" t="s">
        <v>502</v>
      </c>
      <c r="F426" s="10" t="s">
        <v>503</v>
      </c>
      <c r="G426" s="11">
        <v>1400</v>
      </c>
      <c r="H426" s="163" t="s">
        <v>534</v>
      </c>
      <c r="I426" s="158" t="s">
        <v>535</v>
      </c>
      <c r="J426" s="163" t="s">
        <v>529</v>
      </c>
      <c r="K426" s="10" t="s">
        <v>30</v>
      </c>
      <c r="L426" s="10">
        <v>10</v>
      </c>
      <c r="M426" s="10">
        <f t="shared" si="36"/>
        <v>3.33</v>
      </c>
      <c r="N426" s="15">
        <v>5</v>
      </c>
      <c r="O426" s="16">
        <v>1.67</v>
      </c>
      <c r="P426" s="11">
        <v>6980</v>
      </c>
      <c r="Q426" s="10" t="s">
        <v>31</v>
      </c>
      <c r="R426" s="4" t="s">
        <v>1292</v>
      </c>
      <c r="S426" s="4" t="s">
        <v>1292</v>
      </c>
      <c r="T426" s="4" t="s">
        <v>19</v>
      </c>
      <c r="U426" s="4" t="str">
        <f>IF(ISNUMBER(SEARCH("ADD-ON",$I426)),"ADD-ON","NOT AN ADD-ON")</f>
        <v>NOT AN ADD-ON</v>
      </c>
      <c r="V426" s="4" t="str">
        <f t="shared" si="34"/>
        <v>LIFE SCIENCESLIFE SCIENCESAUTHORIZEDNOT AN ADD-ON</v>
      </c>
    </row>
    <row r="427" spans="1:22" ht="29.25" customHeight="1" thickBot="1">
      <c r="A427" s="10" t="s">
        <v>21</v>
      </c>
      <c r="B427" s="10" t="s">
        <v>22</v>
      </c>
      <c r="C427" s="10" t="s">
        <v>500</v>
      </c>
      <c r="D427" s="10" t="s">
        <v>501</v>
      </c>
      <c r="E427" s="10" t="s">
        <v>502</v>
      </c>
      <c r="F427" s="10" t="s">
        <v>503</v>
      </c>
      <c r="G427" s="11">
        <v>142</v>
      </c>
      <c r="H427" s="163" t="s">
        <v>504</v>
      </c>
      <c r="I427" s="158" t="s">
        <v>505</v>
      </c>
      <c r="J427" s="163" t="s">
        <v>506</v>
      </c>
      <c r="K427" s="10" t="s">
        <v>30</v>
      </c>
      <c r="L427" s="10">
        <v>0</v>
      </c>
      <c r="M427" s="10">
        <f t="shared" si="36"/>
        <v>0</v>
      </c>
      <c r="N427" s="15">
        <v>5</v>
      </c>
      <c r="O427" s="16">
        <v>1.67</v>
      </c>
      <c r="P427" s="11">
        <v>712</v>
      </c>
      <c r="Q427" s="10" t="s">
        <v>31</v>
      </c>
      <c r="R427" s="4" t="s">
        <v>1292</v>
      </c>
      <c r="S427" s="4" t="s">
        <v>1292</v>
      </c>
      <c r="T427" s="4" t="s">
        <v>19</v>
      </c>
      <c r="U427" s="4" t="s">
        <v>507</v>
      </c>
      <c r="V427" s="4" t="str">
        <f t="shared" si="34"/>
        <v>LIFE SCIENCESLIFE SCIENCESAUTHORIZEDADD-ON</v>
      </c>
    </row>
    <row r="428" spans="1:22" ht="15" thickBot="1">
      <c r="A428" s="10" t="s">
        <v>21</v>
      </c>
      <c r="B428" s="10" t="s">
        <v>22</v>
      </c>
      <c r="C428" s="10" t="s">
        <v>500</v>
      </c>
      <c r="D428" s="10" t="s">
        <v>501</v>
      </c>
      <c r="E428" s="10" t="s">
        <v>502</v>
      </c>
      <c r="F428" s="10" t="s">
        <v>503</v>
      </c>
      <c r="G428" s="11">
        <v>1400</v>
      </c>
      <c r="H428" s="163" t="s">
        <v>571</v>
      </c>
      <c r="I428" s="158" t="s">
        <v>572</v>
      </c>
      <c r="J428" s="163" t="s">
        <v>573</v>
      </c>
      <c r="K428" s="10" t="s">
        <v>30</v>
      </c>
      <c r="L428" s="10">
        <v>10</v>
      </c>
      <c r="M428" s="10">
        <f t="shared" si="36"/>
        <v>3.33</v>
      </c>
      <c r="N428" s="10">
        <v>5</v>
      </c>
      <c r="O428" s="12">
        <v>1.6666666666666667</v>
      </c>
      <c r="P428" s="11">
        <v>6980</v>
      </c>
      <c r="Q428" s="10" t="s">
        <v>31</v>
      </c>
      <c r="R428" s="4" t="s">
        <v>1292</v>
      </c>
      <c r="S428" s="4" t="s">
        <v>1292</v>
      </c>
      <c r="T428" s="4" t="s">
        <v>19</v>
      </c>
      <c r="U428" s="4" t="str">
        <f>IF(ISNUMBER(SEARCH("ADD-ON",$I428)),"ADD-ON","NOT AN ADD-ON")</f>
        <v>NOT AN ADD-ON</v>
      </c>
      <c r="V428" s="4" t="str">
        <f t="shared" si="34"/>
        <v>LIFE SCIENCESLIFE SCIENCESAUTHORIZEDNOT AN ADD-ON</v>
      </c>
    </row>
    <row r="429" spans="1:22" ht="15" thickBot="1">
      <c r="A429" s="10" t="s">
        <v>21</v>
      </c>
      <c r="B429" s="10" t="s">
        <v>22</v>
      </c>
      <c r="C429" s="10" t="s">
        <v>500</v>
      </c>
      <c r="D429" s="10" t="s">
        <v>501</v>
      </c>
      <c r="E429" s="10" t="s">
        <v>502</v>
      </c>
      <c r="F429" s="10" t="s">
        <v>503</v>
      </c>
      <c r="G429" s="11">
        <v>142</v>
      </c>
      <c r="H429" s="163" t="s">
        <v>559</v>
      </c>
      <c r="I429" s="158" t="s">
        <v>560</v>
      </c>
      <c r="J429" s="163" t="s">
        <v>561</v>
      </c>
      <c r="K429" s="10" t="s">
        <v>30</v>
      </c>
      <c r="L429" s="10">
        <v>0</v>
      </c>
      <c r="M429" s="10">
        <f t="shared" si="36"/>
        <v>0</v>
      </c>
      <c r="N429" s="10">
        <v>5</v>
      </c>
      <c r="O429" s="12">
        <v>1.6666666666666667</v>
      </c>
      <c r="P429" s="11">
        <v>712</v>
      </c>
      <c r="Q429" s="10" t="s">
        <v>31</v>
      </c>
      <c r="R429" s="4" t="s">
        <v>1292</v>
      </c>
      <c r="S429" s="4" t="s">
        <v>1292</v>
      </c>
      <c r="T429" s="4" t="s">
        <v>19</v>
      </c>
      <c r="U429" s="4" t="s">
        <v>507</v>
      </c>
      <c r="V429" s="4" t="str">
        <f t="shared" si="34"/>
        <v>LIFE SCIENCESLIFE SCIENCESAUTHORIZEDADD-ON</v>
      </c>
    </row>
    <row r="430" spans="1:22" ht="15" thickBot="1">
      <c r="A430" s="10" t="s">
        <v>21</v>
      </c>
      <c r="B430" s="10" t="s">
        <v>22</v>
      </c>
      <c r="C430" s="10" t="s">
        <v>1044</v>
      </c>
      <c r="D430" s="10" t="s">
        <v>1045</v>
      </c>
      <c r="E430" s="10" t="s">
        <v>1046</v>
      </c>
      <c r="F430" s="10" t="s">
        <v>1047</v>
      </c>
      <c r="G430" s="11">
        <v>7150</v>
      </c>
      <c r="H430" s="163" t="s">
        <v>1083</v>
      </c>
      <c r="I430" s="158" t="s">
        <v>1084</v>
      </c>
      <c r="J430" s="163" t="s">
        <v>1085</v>
      </c>
      <c r="K430" s="10" t="s">
        <v>1079</v>
      </c>
      <c r="L430" s="10">
        <v>20</v>
      </c>
      <c r="M430" s="10">
        <f t="shared" si="36"/>
        <v>20</v>
      </c>
      <c r="N430" s="10">
        <v>20</v>
      </c>
      <c r="O430" s="12">
        <v>1</v>
      </c>
      <c r="P430" s="11">
        <v>35700</v>
      </c>
      <c r="Q430" s="10" t="s">
        <v>31</v>
      </c>
      <c r="R430" s="4" t="s">
        <v>1291</v>
      </c>
      <c r="S430" s="4" t="s">
        <v>507</v>
      </c>
      <c r="T430" s="4" t="s">
        <v>1384</v>
      </c>
      <c r="U430" s="4" t="str">
        <f t="shared" ref="U430:U476" si="37">IF(ISNUMBER(SEARCH("ADD-ON",$I430)),"ADD-ON","NOT AN ADD-ON")</f>
        <v>NOT AN ADD-ON</v>
      </c>
      <c r="V430" s="4" t="str">
        <f t="shared" si="34"/>
        <v>SPATIALADD-ONINSTALLNOT AN ADD-ON</v>
      </c>
    </row>
    <row r="431" spans="1:22" ht="15" thickBot="1">
      <c r="A431" s="10" t="s">
        <v>21</v>
      </c>
      <c r="B431" s="10" t="s">
        <v>22</v>
      </c>
      <c r="C431" s="10" t="s">
        <v>1044</v>
      </c>
      <c r="D431" s="10" t="s">
        <v>1045</v>
      </c>
      <c r="E431" s="10" t="s">
        <v>1046</v>
      </c>
      <c r="F431" s="10" t="s">
        <v>1047</v>
      </c>
      <c r="G431" s="11">
        <v>43.1</v>
      </c>
      <c r="H431" s="163" t="s">
        <v>1048</v>
      </c>
      <c r="I431" s="158" t="s">
        <v>1049</v>
      </c>
      <c r="J431" s="163" t="s">
        <v>1050</v>
      </c>
      <c r="K431" s="10" t="s">
        <v>30</v>
      </c>
      <c r="L431" s="10">
        <v>0</v>
      </c>
      <c r="M431" s="10">
        <f t="shared" si="36"/>
        <v>0</v>
      </c>
      <c r="N431" s="10">
        <v>5</v>
      </c>
      <c r="O431" s="12">
        <v>1.6666666666666667</v>
      </c>
      <c r="P431" s="11">
        <v>215</v>
      </c>
      <c r="Q431" s="10" t="s">
        <v>31</v>
      </c>
      <c r="R431" s="4" t="s">
        <v>1291</v>
      </c>
      <c r="S431" s="4" t="s">
        <v>507</v>
      </c>
      <c r="T431" s="4" t="s">
        <v>19</v>
      </c>
      <c r="U431" s="4" t="str">
        <f t="shared" si="37"/>
        <v>NOT AN ADD-ON</v>
      </c>
      <c r="V431" s="4" t="str">
        <f t="shared" si="34"/>
        <v>SPATIALADD-ONAUTHORIZEDNOT AN ADD-ON</v>
      </c>
    </row>
    <row r="432" spans="1:22" ht="15" thickBot="1">
      <c r="A432" s="10" t="s">
        <v>21</v>
      </c>
      <c r="B432" s="10" t="s">
        <v>22</v>
      </c>
      <c r="C432" s="10" t="s">
        <v>1044</v>
      </c>
      <c r="D432" s="10" t="s">
        <v>1045</v>
      </c>
      <c r="E432" s="10" t="s">
        <v>1046</v>
      </c>
      <c r="F432" s="10" t="s">
        <v>1047</v>
      </c>
      <c r="G432" s="11">
        <v>43.1</v>
      </c>
      <c r="H432" s="163" t="s">
        <v>1070</v>
      </c>
      <c r="I432" s="158" t="s">
        <v>1071</v>
      </c>
      <c r="J432" s="163" t="s">
        <v>1072</v>
      </c>
      <c r="K432" s="10" t="s">
        <v>30</v>
      </c>
      <c r="L432" s="10">
        <v>0</v>
      </c>
      <c r="M432" s="10">
        <f t="shared" si="36"/>
        <v>0</v>
      </c>
      <c r="N432" s="10">
        <v>5</v>
      </c>
      <c r="O432" s="12">
        <v>1.6666666666666667</v>
      </c>
      <c r="P432" s="11">
        <v>215</v>
      </c>
      <c r="Q432" s="10" t="s">
        <v>31</v>
      </c>
      <c r="R432" s="4" t="s">
        <v>1291</v>
      </c>
      <c r="S432" s="4" t="s">
        <v>507</v>
      </c>
      <c r="T432" s="4" t="s">
        <v>19</v>
      </c>
      <c r="U432" s="4" t="str">
        <f t="shared" si="37"/>
        <v>NOT AN ADD-ON</v>
      </c>
      <c r="V432" s="4" t="str">
        <f t="shared" si="34"/>
        <v>SPATIALADD-ONAUTHORIZEDNOT AN ADD-ON</v>
      </c>
    </row>
    <row r="433" spans="1:22" ht="15" thickBot="1">
      <c r="A433" s="10" t="s">
        <v>21</v>
      </c>
      <c r="B433" s="10" t="s">
        <v>22</v>
      </c>
      <c r="C433" s="10" t="s">
        <v>1044</v>
      </c>
      <c r="D433" s="10" t="s">
        <v>1045</v>
      </c>
      <c r="E433" s="10" t="s">
        <v>1046</v>
      </c>
      <c r="F433" s="10" t="s">
        <v>1047</v>
      </c>
      <c r="G433" s="11">
        <v>7150</v>
      </c>
      <c r="H433" s="163" t="s">
        <v>1076</v>
      </c>
      <c r="I433" s="158" t="s">
        <v>1077</v>
      </c>
      <c r="J433" s="163" t="s">
        <v>1078</v>
      </c>
      <c r="K433" s="10" t="s">
        <v>1079</v>
      </c>
      <c r="L433" s="10">
        <v>20</v>
      </c>
      <c r="M433" s="10">
        <f t="shared" si="36"/>
        <v>20</v>
      </c>
      <c r="N433" s="10">
        <v>20</v>
      </c>
      <c r="O433" s="12">
        <v>1</v>
      </c>
      <c r="P433" s="11">
        <v>35700</v>
      </c>
      <c r="Q433" s="10" t="s">
        <v>31</v>
      </c>
      <c r="R433" s="4" t="s">
        <v>1291</v>
      </c>
      <c r="S433" s="4" t="s">
        <v>507</v>
      </c>
      <c r="T433" s="4" t="s">
        <v>1384</v>
      </c>
      <c r="U433" s="4" t="str">
        <f t="shared" si="37"/>
        <v>NOT AN ADD-ON</v>
      </c>
      <c r="V433" s="4" t="str">
        <f t="shared" si="34"/>
        <v>SPATIALADD-ONINSTALLNOT AN ADD-ON</v>
      </c>
    </row>
    <row r="434" spans="1:22" ht="15" thickBot="1">
      <c r="A434" s="10" t="s">
        <v>21</v>
      </c>
      <c r="B434" s="10" t="s">
        <v>22</v>
      </c>
      <c r="C434" s="10" t="s">
        <v>986</v>
      </c>
      <c r="D434" s="10" t="s">
        <v>141</v>
      </c>
      <c r="E434" s="10" t="s">
        <v>142</v>
      </c>
      <c r="F434" s="10" t="s">
        <v>143</v>
      </c>
      <c r="G434" s="11">
        <v>536</v>
      </c>
      <c r="H434" s="163" t="s">
        <v>993</v>
      </c>
      <c r="I434" s="166" t="s">
        <v>994</v>
      </c>
      <c r="J434" s="163" t="s">
        <v>995</v>
      </c>
      <c r="K434" s="10" t="s">
        <v>30</v>
      </c>
      <c r="L434" s="10">
        <v>15</v>
      </c>
      <c r="M434" s="10">
        <f t="shared" si="36"/>
        <v>5</v>
      </c>
      <c r="N434" s="10">
        <v>15</v>
      </c>
      <c r="O434" s="12">
        <v>5</v>
      </c>
      <c r="P434" s="11">
        <v>2680</v>
      </c>
      <c r="Q434" s="10" t="s">
        <v>31</v>
      </c>
      <c r="R434" s="4" t="s">
        <v>1293</v>
      </c>
      <c r="S434" s="4" t="s">
        <v>1383</v>
      </c>
      <c r="T434" s="4" t="s">
        <v>19</v>
      </c>
      <c r="U434" s="4" t="str">
        <f t="shared" si="37"/>
        <v>NOT AN ADD-ON</v>
      </c>
      <c r="V434" s="4" t="str">
        <f t="shared" si="34"/>
        <v>HEALTH SAFETY AND ENVIRONMENT MANAGERHSEAUTHORIZEDNOT AN ADD-ON</v>
      </c>
    </row>
    <row r="435" spans="1:22" ht="15" thickBot="1">
      <c r="A435" s="10" t="s">
        <v>21</v>
      </c>
      <c r="B435" s="10" t="s">
        <v>22</v>
      </c>
      <c r="C435" s="10" t="s">
        <v>986</v>
      </c>
      <c r="D435" s="10" t="s">
        <v>141</v>
      </c>
      <c r="E435" s="10" t="s">
        <v>142</v>
      </c>
      <c r="F435" s="10" t="s">
        <v>143</v>
      </c>
      <c r="G435" s="11">
        <v>536</v>
      </c>
      <c r="H435" s="163" t="s">
        <v>999</v>
      </c>
      <c r="I435" s="158" t="s">
        <v>1000</v>
      </c>
      <c r="J435" s="163" t="s">
        <v>1001</v>
      </c>
      <c r="K435" s="10" t="s">
        <v>30</v>
      </c>
      <c r="L435" s="10">
        <v>15</v>
      </c>
      <c r="M435" s="10">
        <f t="shared" si="36"/>
        <v>5</v>
      </c>
      <c r="N435" s="10">
        <v>15</v>
      </c>
      <c r="O435" s="12">
        <v>5</v>
      </c>
      <c r="P435" s="11">
        <v>2680</v>
      </c>
      <c r="Q435" s="10" t="s">
        <v>31</v>
      </c>
      <c r="R435" s="4" t="s">
        <v>1293</v>
      </c>
      <c r="S435" s="4" t="s">
        <v>1383</v>
      </c>
      <c r="T435" s="4" t="s">
        <v>19</v>
      </c>
      <c r="U435" s="4" t="str">
        <f t="shared" si="37"/>
        <v>NOT AN ADD-ON</v>
      </c>
      <c r="V435" s="4" t="str">
        <f t="shared" si="34"/>
        <v>HEALTH SAFETY AND ENVIRONMENT MANAGERHSEAUTHORIZEDNOT AN ADD-ON</v>
      </c>
    </row>
    <row r="436" spans="1:22" ht="15" thickBot="1">
      <c r="A436" s="10" t="s">
        <v>21</v>
      </c>
      <c r="B436" s="10" t="s">
        <v>22</v>
      </c>
      <c r="C436" s="10" t="s">
        <v>140</v>
      </c>
      <c r="D436" s="10" t="s">
        <v>141</v>
      </c>
      <c r="E436" s="10" t="s">
        <v>142</v>
      </c>
      <c r="F436" s="10" t="s">
        <v>143</v>
      </c>
      <c r="G436" s="11">
        <v>241</v>
      </c>
      <c r="H436" s="163" t="s">
        <v>176</v>
      </c>
      <c r="I436" s="158" t="s">
        <v>177</v>
      </c>
      <c r="J436" s="163" t="s">
        <v>178</v>
      </c>
      <c r="K436" s="10" t="s">
        <v>30</v>
      </c>
      <c r="L436" s="10">
        <v>5</v>
      </c>
      <c r="M436" s="10">
        <f t="shared" si="36"/>
        <v>1.67</v>
      </c>
      <c r="N436" s="10">
        <v>5</v>
      </c>
      <c r="O436" s="12">
        <v>1.6666666666666667</v>
      </c>
      <c r="P436" s="11">
        <v>1190</v>
      </c>
      <c r="Q436" s="10" t="s">
        <v>31</v>
      </c>
      <c r="R436" s="4" t="s">
        <v>1278</v>
      </c>
      <c r="S436" s="4" t="s">
        <v>1278</v>
      </c>
      <c r="T436" s="4" t="s">
        <v>1381</v>
      </c>
      <c r="U436" s="4" t="str">
        <f t="shared" si="37"/>
        <v>NOT AN ADD-ON</v>
      </c>
      <c r="V436" s="4" t="str">
        <f t="shared" si="34"/>
        <v>ASSET MANAGEMENT (CORE)ASSET MANAGEMENT (CORE)EXPRESSNOT AN ADD-ON</v>
      </c>
    </row>
    <row r="437" spans="1:22" ht="15" thickBot="1">
      <c r="A437" s="10" t="s">
        <v>21</v>
      </c>
      <c r="B437" s="10" t="s">
        <v>22</v>
      </c>
      <c r="C437" s="10" t="s">
        <v>140</v>
      </c>
      <c r="D437" s="10" t="s">
        <v>141</v>
      </c>
      <c r="E437" s="10" t="s">
        <v>142</v>
      </c>
      <c r="F437" s="10" t="s">
        <v>143</v>
      </c>
      <c r="G437" s="11">
        <v>241</v>
      </c>
      <c r="H437" s="163" t="s">
        <v>193</v>
      </c>
      <c r="I437" s="158" t="s">
        <v>194</v>
      </c>
      <c r="J437" s="163" t="s">
        <v>195</v>
      </c>
      <c r="K437" s="10" t="s">
        <v>30</v>
      </c>
      <c r="L437" s="10">
        <v>5</v>
      </c>
      <c r="M437" s="10">
        <f t="shared" si="36"/>
        <v>1.67</v>
      </c>
      <c r="N437" s="10">
        <v>5</v>
      </c>
      <c r="O437" s="12">
        <v>1.6666666666666667</v>
      </c>
      <c r="P437" s="11">
        <v>1190</v>
      </c>
      <c r="Q437" s="10" t="s">
        <v>31</v>
      </c>
      <c r="R437" s="4" t="s">
        <v>1278</v>
      </c>
      <c r="S437" s="4" t="s">
        <v>1278</v>
      </c>
      <c r="T437" s="4" t="s">
        <v>1381</v>
      </c>
      <c r="U437" s="4" t="str">
        <f t="shared" si="37"/>
        <v>NOT AN ADD-ON</v>
      </c>
      <c r="V437" s="4" t="str">
        <f t="shared" si="34"/>
        <v>ASSET MANAGEMENT (CORE)ASSET MANAGEMENT (CORE)EXPRESSNOT AN ADD-ON</v>
      </c>
    </row>
    <row r="438" spans="1:22" ht="15" thickBot="1">
      <c r="A438" s="10" t="s">
        <v>21</v>
      </c>
      <c r="B438" s="10" t="s">
        <v>22</v>
      </c>
      <c r="C438" s="10" t="s">
        <v>593</v>
      </c>
      <c r="D438" s="10" t="s">
        <v>594</v>
      </c>
      <c r="E438" s="10" t="s">
        <v>595</v>
      </c>
      <c r="F438" s="10" t="s">
        <v>596</v>
      </c>
      <c r="G438" s="11">
        <v>767</v>
      </c>
      <c r="H438" s="163" t="s">
        <v>673</v>
      </c>
      <c r="I438" s="158" t="s">
        <v>674</v>
      </c>
      <c r="J438" s="163" t="s">
        <v>671</v>
      </c>
      <c r="K438" s="10" t="s">
        <v>30</v>
      </c>
      <c r="L438" s="10">
        <v>5</v>
      </c>
      <c r="M438" s="10">
        <f t="shared" si="36"/>
        <v>1.67</v>
      </c>
      <c r="N438" s="10">
        <v>5</v>
      </c>
      <c r="O438" s="12">
        <v>1.6666666666666667</v>
      </c>
      <c r="P438" s="11">
        <v>3840</v>
      </c>
      <c r="Q438" s="10" t="s">
        <v>31</v>
      </c>
      <c r="R438" s="4" t="s">
        <v>1281</v>
      </c>
      <c r="S438" s="4" t="s">
        <v>1279</v>
      </c>
      <c r="T438" s="4" t="s">
        <v>672</v>
      </c>
      <c r="U438" s="4" t="str">
        <f t="shared" si="37"/>
        <v>NOT AN ADD-ON</v>
      </c>
      <c r="V438" s="4" t="str">
        <f t="shared" si="34"/>
        <v>NUCLEAR POWERINDUSTRY SOLUTIONLIMITEDNOT AN ADD-ON</v>
      </c>
    </row>
    <row r="439" spans="1:22" ht="15" thickBot="1">
      <c r="A439" s="10" t="s">
        <v>21</v>
      </c>
      <c r="B439" s="10" t="s">
        <v>22</v>
      </c>
      <c r="C439" s="10" t="s">
        <v>593</v>
      </c>
      <c r="D439" s="10" t="s">
        <v>594</v>
      </c>
      <c r="E439" s="10" t="s">
        <v>595</v>
      </c>
      <c r="F439" s="10" t="s">
        <v>596</v>
      </c>
      <c r="G439" s="11">
        <v>767</v>
      </c>
      <c r="H439" s="163" t="s">
        <v>681</v>
      </c>
      <c r="I439" s="158" t="s">
        <v>682</v>
      </c>
      <c r="J439" s="163" t="s">
        <v>680</v>
      </c>
      <c r="K439" s="10" t="s">
        <v>30</v>
      </c>
      <c r="L439" s="10">
        <v>5</v>
      </c>
      <c r="M439" s="10">
        <f t="shared" si="36"/>
        <v>1.67</v>
      </c>
      <c r="N439" s="10">
        <v>5</v>
      </c>
      <c r="O439" s="12">
        <v>1.6666666666666667</v>
      </c>
      <c r="P439" s="11">
        <v>3840</v>
      </c>
      <c r="Q439" s="10" t="s">
        <v>31</v>
      </c>
      <c r="R439" s="4" t="s">
        <v>1281</v>
      </c>
      <c r="S439" s="4" t="s">
        <v>1279</v>
      </c>
      <c r="T439" s="4" t="s">
        <v>672</v>
      </c>
      <c r="U439" s="4" t="str">
        <f t="shared" si="37"/>
        <v>NOT AN ADD-ON</v>
      </c>
      <c r="V439" s="4" t="str">
        <f t="shared" si="34"/>
        <v>NUCLEAR POWERINDUSTRY SOLUTIONLIMITEDNOT AN ADD-ON</v>
      </c>
    </row>
    <row r="440" spans="1:22" ht="15" thickBot="1">
      <c r="A440" s="10" t="s">
        <v>21</v>
      </c>
      <c r="B440" s="10" t="s">
        <v>22</v>
      </c>
      <c r="C440" s="10" t="s">
        <v>686</v>
      </c>
      <c r="D440" s="10" t="s">
        <v>687</v>
      </c>
      <c r="E440" s="10" t="s">
        <v>688</v>
      </c>
      <c r="F440" s="10" t="s">
        <v>689</v>
      </c>
      <c r="G440" s="11">
        <v>767</v>
      </c>
      <c r="H440" s="163" t="s">
        <v>765</v>
      </c>
      <c r="I440" s="158" t="s">
        <v>766</v>
      </c>
      <c r="J440" s="163" t="s">
        <v>764</v>
      </c>
      <c r="K440" s="10" t="s">
        <v>30</v>
      </c>
      <c r="L440" s="10">
        <v>5</v>
      </c>
      <c r="M440" s="10">
        <f t="shared" si="36"/>
        <v>1.67</v>
      </c>
      <c r="N440" s="10">
        <v>5</v>
      </c>
      <c r="O440" s="12">
        <v>1.6666666666666667</v>
      </c>
      <c r="P440" s="11">
        <v>3840</v>
      </c>
      <c r="Q440" s="10" t="s">
        <v>31</v>
      </c>
      <c r="R440" s="4" t="s">
        <v>1282</v>
      </c>
      <c r="S440" s="4" t="s">
        <v>1279</v>
      </c>
      <c r="T440" s="4" t="s">
        <v>672</v>
      </c>
      <c r="U440" s="4" t="str">
        <f t="shared" si="37"/>
        <v>NOT AN ADD-ON</v>
      </c>
      <c r="V440" s="4" t="str">
        <f t="shared" si="34"/>
        <v>OIL AND GASINDUSTRY SOLUTIONLIMITEDNOT AN ADD-ON</v>
      </c>
    </row>
    <row r="441" spans="1:22" ht="15" thickBot="1">
      <c r="A441" s="10" t="s">
        <v>21</v>
      </c>
      <c r="B441" s="10" t="s">
        <v>22</v>
      </c>
      <c r="C441" s="10" t="s">
        <v>686</v>
      </c>
      <c r="D441" s="10" t="s">
        <v>687</v>
      </c>
      <c r="E441" s="10" t="s">
        <v>688</v>
      </c>
      <c r="F441" s="10" t="s">
        <v>689</v>
      </c>
      <c r="G441" s="11">
        <v>767</v>
      </c>
      <c r="H441" s="163" t="s">
        <v>773</v>
      </c>
      <c r="I441" s="158" t="s">
        <v>774</v>
      </c>
      <c r="J441" s="163" t="s">
        <v>772</v>
      </c>
      <c r="K441" s="10" t="s">
        <v>30</v>
      </c>
      <c r="L441" s="10">
        <v>5</v>
      </c>
      <c r="M441" s="10">
        <f t="shared" si="36"/>
        <v>1.67</v>
      </c>
      <c r="N441" s="10">
        <v>5</v>
      </c>
      <c r="O441" s="12">
        <v>1.6666666666666667</v>
      </c>
      <c r="P441" s="11">
        <v>3840</v>
      </c>
      <c r="Q441" s="10" t="s">
        <v>31</v>
      </c>
      <c r="R441" s="4" t="s">
        <v>1282</v>
      </c>
      <c r="S441" s="4" t="s">
        <v>1279</v>
      </c>
      <c r="T441" s="4" t="s">
        <v>672</v>
      </c>
      <c r="U441" s="4" t="str">
        <f t="shared" si="37"/>
        <v>NOT AN ADD-ON</v>
      </c>
      <c r="V441" s="4" t="str">
        <f t="shared" si="34"/>
        <v>OIL AND GASINDUSTRY SOLUTIONLIMITEDNOT AN ADD-ON</v>
      </c>
    </row>
    <row r="442" spans="1:22" ht="15" thickBot="1">
      <c r="A442" s="10" t="s">
        <v>21</v>
      </c>
      <c r="B442" s="10" t="s">
        <v>22</v>
      </c>
      <c r="C442" s="10" t="s">
        <v>778</v>
      </c>
      <c r="D442" s="10" t="s">
        <v>779</v>
      </c>
      <c r="E442" s="10" t="s">
        <v>780</v>
      </c>
      <c r="F442" s="10" t="s">
        <v>781</v>
      </c>
      <c r="G442" s="11">
        <v>767</v>
      </c>
      <c r="H442" s="163" t="s">
        <v>857</v>
      </c>
      <c r="I442" s="158" t="s">
        <v>858</v>
      </c>
      <c r="J442" s="163" t="s">
        <v>856</v>
      </c>
      <c r="K442" s="10" t="s">
        <v>30</v>
      </c>
      <c r="L442" s="10">
        <v>5</v>
      </c>
      <c r="M442" s="10">
        <f t="shared" si="36"/>
        <v>1.67</v>
      </c>
      <c r="N442" s="10">
        <v>5</v>
      </c>
      <c r="O442" s="12">
        <v>1.6666666666666667</v>
      </c>
      <c r="P442" s="11">
        <v>3840</v>
      </c>
      <c r="Q442" s="10" t="s">
        <v>31</v>
      </c>
      <c r="R442" s="4" t="s">
        <v>1283</v>
      </c>
      <c r="S442" s="4" t="s">
        <v>1279</v>
      </c>
      <c r="T442" s="4" t="s">
        <v>672</v>
      </c>
      <c r="U442" s="4" t="str">
        <f t="shared" si="37"/>
        <v>NOT AN ADD-ON</v>
      </c>
      <c r="V442" s="4" t="str">
        <f t="shared" si="34"/>
        <v>TRANSPORATIONINDUSTRY SOLUTIONLIMITEDNOT AN ADD-ON</v>
      </c>
    </row>
    <row r="443" spans="1:22" ht="15" thickBot="1">
      <c r="A443" s="10" t="s">
        <v>21</v>
      </c>
      <c r="B443" s="10" t="s">
        <v>22</v>
      </c>
      <c r="C443" s="10" t="s">
        <v>778</v>
      </c>
      <c r="D443" s="10" t="s">
        <v>779</v>
      </c>
      <c r="E443" s="10" t="s">
        <v>780</v>
      </c>
      <c r="F443" s="10" t="s">
        <v>781</v>
      </c>
      <c r="G443" s="11">
        <v>767</v>
      </c>
      <c r="H443" s="163" t="s">
        <v>865</v>
      </c>
      <c r="I443" s="158" t="s">
        <v>866</v>
      </c>
      <c r="J443" s="163" t="s">
        <v>864</v>
      </c>
      <c r="K443" s="10" t="s">
        <v>30</v>
      </c>
      <c r="L443" s="10">
        <v>5</v>
      </c>
      <c r="M443" s="10">
        <f t="shared" si="36"/>
        <v>1.67</v>
      </c>
      <c r="N443" s="10">
        <v>5</v>
      </c>
      <c r="O443" s="12">
        <v>1.6666666666666667</v>
      </c>
      <c r="P443" s="11">
        <v>3840</v>
      </c>
      <c r="Q443" s="10" t="s">
        <v>31</v>
      </c>
      <c r="R443" s="4" t="s">
        <v>1283</v>
      </c>
      <c r="S443" s="4" t="s">
        <v>1279</v>
      </c>
      <c r="T443" s="4" t="s">
        <v>672</v>
      </c>
      <c r="U443" s="4" t="str">
        <f t="shared" si="37"/>
        <v>NOT AN ADD-ON</v>
      </c>
      <c r="V443" s="4" t="str">
        <f t="shared" si="34"/>
        <v>TRANSPORATIONINDUSTRY SOLUTIONLIMITEDNOT AN ADD-ON</v>
      </c>
    </row>
    <row r="444" spans="1:22" ht="15" thickBot="1">
      <c r="A444" s="10" t="s">
        <v>21</v>
      </c>
      <c r="B444" s="10" t="s">
        <v>22</v>
      </c>
      <c r="C444" s="10" t="s">
        <v>870</v>
      </c>
      <c r="D444" s="10" t="s">
        <v>871</v>
      </c>
      <c r="E444" s="10" t="s">
        <v>872</v>
      </c>
      <c r="F444" s="10" t="s">
        <v>873</v>
      </c>
      <c r="G444" s="11">
        <v>767</v>
      </c>
      <c r="H444" s="163" t="s">
        <v>945</v>
      </c>
      <c r="I444" s="158" t="s">
        <v>946</v>
      </c>
      <c r="J444" s="163" t="s">
        <v>944</v>
      </c>
      <c r="K444" s="10" t="s">
        <v>30</v>
      </c>
      <c r="L444" s="10">
        <v>5</v>
      </c>
      <c r="M444" s="10">
        <f t="shared" si="36"/>
        <v>1.67</v>
      </c>
      <c r="N444" s="10">
        <v>5</v>
      </c>
      <c r="O444" s="12">
        <v>1.6666666666666667</v>
      </c>
      <c r="P444" s="11">
        <v>3840</v>
      </c>
      <c r="Q444" s="10" t="s">
        <v>31</v>
      </c>
      <c r="R444" s="4" t="s">
        <v>1284</v>
      </c>
      <c r="S444" s="4" t="s">
        <v>1279</v>
      </c>
      <c r="T444" s="4" t="s">
        <v>672</v>
      </c>
      <c r="U444" s="4" t="str">
        <f t="shared" si="37"/>
        <v>NOT AN ADD-ON</v>
      </c>
      <c r="V444" s="4" t="str">
        <f t="shared" si="34"/>
        <v>UTILITIESINDUSTRY SOLUTIONLIMITEDNOT AN ADD-ON</v>
      </c>
    </row>
    <row r="445" spans="1:22" ht="15" thickBot="1">
      <c r="A445" s="10" t="s">
        <v>21</v>
      </c>
      <c r="B445" s="10" t="s">
        <v>22</v>
      </c>
      <c r="C445" s="10" t="s">
        <v>870</v>
      </c>
      <c r="D445" s="10" t="s">
        <v>871</v>
      </c>
      <c r="E445" s="10" t="s">
        <v>872</v>
      </c>
      <c r="F445" s="10" t="s">
        <v>873</v>
      </c>
      <c r="G445" s="11">
        <v>767</v>
      </c>
      <c r="H445" s="163" t="s">
        <v>953</v>
      </c>
      <c r="I445" s="158" t="s">
        <v>954</v>
      </c>
      <c r="J445" s="163" t="s">
        <v>952</v>
      </c>
      <c r="K445" s="10" t="s">
        <v>30</v>
      </c>
      <c r="L445" s="10">
        <v>5</v>
      </c>
      <c r="M445" s="10">
        <f t="shared" si="36"/>
        <v>1.67</v>
      </c>
      <c r="N445" s="10">
        <v>5</v>
      </c>
      <c r="O445" s="12">
        <v>1.6666666666666667</v>
      </c>
      <c r="P445" s="11">
        <v>3840</v>
      </c>
      <c r="Q445" s="10" t="s">
        <v>31</v>
      </c>
      <c r="R445" s="4" t="s">
        <v>1284</v>
      </c>
      <c r="S445" s="4" t="s">
        <v>1279</v>
      </c>
      <c r="T445" s="4" t="s">
        <v>672</v>
      </c>
      <c r="U445" s="4" t="str">
        <f t="shared" si="37"/>
        <v>NOT AN ADD-ON</v>
      </c>
      <c r="V445" s="4" t="str">
        <f t="shared" si="34"/>
        <v>UTILITIESINDUSTRY SOLUTIONLIMITEDNOT AN ADD-ON</v>
      </c>
    </row>
    <row r="446" spans="1:22" ht="15" thickBot="1">
      <c r="A446" s="10" t="s">
        <v>21</v>
      </c>
      <c r="B446" s="10" t="s">
        <v>22</v>
      </c>
      <c r="C446" s="10" t="s">
        <v>500</v>
      </c>
      <c r="D446" s="10" t="s">
        <v>501</v>
      </c>
      <c r="E446" s="10" t="s">
        <v>502</v>
      </c>
      <c r="F446" s="10" t="s">
        <v>503</v>
      </c>
      <c r="G446" s="11">
        <v>695</v>
      </c>
      <c r="H446" s="163" t="s">
        <v>580</v>
      </c>
      <c r="I446" s="158" t="s">
        <v>581</v>
      </c>
      <c r="J446" s="163" t="s">
        <v>579</v>
      </c>
      <c r="K446" s="10" t="s">
        <v>30</v>
      </c>
      <c r="L446" s="10">
        <v>5</v>
      </c>
      <c r="M446" s="10">
        <f t="shared" si="36"/>
        <v>1.67</v>
      </c>
      <c r="N446" s="10">
        <v>5</v>
      </c>
      <c r="O446" s="12">
        <v>1.6666666666666667</v>
      </c>
      <c r="P446" s="11">
        <v>3480</v>
      </c>
      <c r="Q446" s="10" t="s">
        <v>31</v>
      </c>
      <c r="R446" s="4" t="s">
        <v>1292</v>
      </c>
      <c r="S446" s="4" t="s">
        <v>1292</v>
      </c>
      <c r="T446" s="4" t="s">
        <v>672</v>
      </c>
      <c r="U446" s="4" t="str">
        <f t="shared" si="37"/>
        <v>NOT AN ADD-ON</v>
      </c>
      <c r="V446" s="4" t="str">
        <f t="shared" si="34"/>
        <v>LIFE SCIENCESLIFE SCIENCESLIMITEDNOT AN ADD-ON</v>
      </c>
    </row>
    <row r="447" spans="1:22" ht="15" thickBot="1">
      <c r="A447" s="10" t="s">
        <v>21</v>
      </c>
      <c r="B447" s="10" t="s">
        <v>22</v>
      </c>
      <c r="C447" s="10" t="s">
        <v>500</v>
      </c>
      <c r="D447" s="10" t="s">
        <v>501</v>
      </c>
      <c r="E447" s="10" t="s">
        <v>502</v>
      </c>
      <c r="F447" s="10" t="s">
        <v>503</v>
      </c>
      <c r="G447" s="11">
        <v>695</v>
      </c>
      <c r="H447" s="163" t="s">
        <v>588</v>
      </c>
      <c r="I447" s="158" t="s">
        <v>589</v>
      </c>
      <c r="J447" s="163" t="s">
        <v>587</v>
      </c>
      <c r="K447" s="10" t="s">
        <v>30</v>
      </c>
      <c r="L447" s="10">
        <v>5</v>
      </c>
      <c r="M447" s="10">
        <f t="shared" si="36"/>
        <v>1.67</v>
      </c>
      <c r="N447" s="10">
        <v>5</v>
      </c>
      <c r="O447" s="12">
        <v>1.6666666666666667</v>
      </c>
      <c r="P447" s="11">
        <v>3480</v>
      </c>
      <c r="Q447" s="10" t="s">
        <v>31</v>
      </c>
      <c r="R447" s="4" t="s">
        <v>1292</v>
      </c>
      <c r="S447" s="4" t="s">
        <v>1292</v>
      </c>
      <c r="T447" s="4" t="s">
        <v>672</v>
      </c>
      <c r="U447" s="4" t="str">
        <f t="shared" si="37"/>
        <v>NOT AN ADD-ON</v>
      </c>
      <c r="V447" s="4" t="str">
        <f t="shared" si="34"/>
        <v>LIFE SCIENCESLIFE SCIENCESLIMITEDNOT AN ADD-ON</v>
      </c>
    </row>
    <row r="448" spans="1:22" ht="15" thickBot="1">
      <c r="A448" s="10" t="s">
        <v>21</v>
      </c>
      <c r="B448" s="10" t="s">
        <v>22</v>
      </c>
      <c r="C448" s="10" t="s">
        <v>23</v>
      </c>
      <c r="D448" s="10" t="s">
        <v>24</v>
      </c>
      <c r="E448" s="10" t="s">
        <v>25</v>
      </c>
      <c r="F448" s="10" t="s">
        <v>26</v>
      </c>
      <c r="G448" s="11">
        <v>461</v>
      </c>
      <c r="H448" s="163" t="s">
        <v>88</v>
      </c>
      <c r="I448" s="158" t="s">
        <v>89</v>
      </c>
      <c r="J448" s="163" t="s">
        <v>90</v>
      </c>
      <c r="K448" s="10" t="s">
        <v>30</v>
      </c>
      <c r="L448" s="10">
        <v>5</v>
      </c>
      <c r="M448" s="10">
        <f t="shared" ref="M448:M461" si="38">ROUND(IF(K448="Authorized User",L448/3,L448),2)</f>
        <v>1.67</v>
      </c>
      <c r="N448" s="10">
        <v>5</v>
      </c>
      <c r="O448" s="12">
        <f>N448/3</f>
        <v>1.6666666666666667</v>
      </c>
      <c r="P448" s="11">
        <v>2310</v>
      </c>
      <c r="Q448" s="10" t="s">
        <v>31</v>
      </c>
      <c r="R448" s="4" t="s">
        <v>42</v>
      </c>
      <c r="S448" s="4" t="s">
        <v>42</v>
      </c>
      <c r="T448" s="4" t="s">
        <v>19</v>
      </c>
      <c r="U448" s="4" t="str">
        <f t="shared" si="37"/>
        <v>NOT AN ADD-ON</v>
      </c>
      <c r="V448" s="4" t="str">
        <f t="shared" si="34"/>
        <v>ANYWHEREANYWHEREAUTHORIZEDNOT AN ADD-ON</v>
      </c>
    </row>
    <row r="449" spans="1:22" ht="15" thickBot="1">
      <c r="A449" s="10" t="s">
        <v>21</v>
      </c>
      <c r="B449" s="10" t="s">
        <v>22</v>
      </c>
      <c r="C449" s="10" t="s">
        <v>23</v>
      </c>
      <c r="D449" s="10" t="s">
        <v>24</v>
      </c>
      <c r="E449" s="10" t="s">
        <v>25</v>
      </c>
      <c r="F449" s="10" t="s">
        <v>26</v>
      </c>
      <c r="G449" s="11">
        <v>461</v>
      </c>
      <c r="H449" s="163" t="s">
        <v>80</v>
      </c>
      <c r="I449" s="158" t="s">
        <v>81</v>
      </c>
      <c r="J449" s="163" t="s">
        <v>82</v>
      </c>
      <c r="K449" s="10" t="s">
        <v>30</v>
      </c>
      <c r="L449" s="10">
        <v>5</v>
      </c>
      <c r="M449" s="10">
        <f t="shared" si="38"/>
        <v>1.67</v>
      </c>
      <c r="N449" s="10">
        <v>5</v>
      </c>
      <c r="O449" s="12">
        <f>N449/3</f>
        <v>1.6666666666666667</v>
      </c>
      <c r="P449" s="11">
        <v>2310</v>
      </c>
      <c r="Q449" s="10" t="s">
        <v>31</v>
      </c>
      <c r="R449" s="4" t="s">
        <v>42</v>
      </c>
      <c r="S449" s="4" t="s">
        <v>42</v>
      </c>
      <c r="T449" s="4" t="s">
        <v>19</v>
      </c>
      <c r="U449" s="4" t="str">
        <f t="shared" si="37"/>
        <v>NOT AN ADD-ON</v>
      </c>
      <c r="V449" s="4" t="str">
        <f t="shared" si="34"/>
        <v>ANYWHEREANYWHEREAUTHORIZEDNOT AN ADD-ON</v>
      </c>
    </row>
    <row r="450" spans="1:22" ht="15" thickBot="1">
      <c r="A450" s="10" t="s">
        <v>21</v>
      </c>
      <c r="B450" s="10" t="s">
        <v>22</v>
      </c>
      <c r="C450" s="10" t="s">
        <v>23</v>
      </c>
      <c r="D450" s="10" t="s">
        <v>24</v>
      </c>
      <c r="E450" s="10" t="s">
        <v>25</v>
      </c>
      <c r="F450" s="10" t="s">
        <v>26</v>
      </c>
      <c r="G450" s="11">
        <v>280</v>
      </c>
      <c r="H450" s="163" t="s">
        <v>27</v>
      </c>
      <c r="I450" s="158" t="s">
        <v>28</v>
      </c>
      <c r="J450" s="163" t="s">
        <v>29</v>
      </c>
      <c r="K450" s="10" t="s">
        <v>30</v>
      </c>
      <c r="L450" s="10">
        <v>0</v>
      </c>
      <c r="M450" s="10">
        <f t="shared" si="38"/>
        <v>0</v>
      </c>
      <c r="N450" s="10">
        <v>5</v>
      </c>
      <c r="O450" s="12">
        <f>N450/3</f>
        <v>1.6666666666666667</v>
      </c>
      <c r="P450" s="11">
        <v>1400</v>
      </c>
      <c r="Q450" s="10" t="s">
        <v>31</v>
      </c>
      <c r="R450" s="4" t="s">
        <v>42</v>
      </c>
      <c r="S450" s="4" t="s">
        <v>42</v>
      </c>
      <c r="T450" s="4" t="s">
        <v>19</v>
      </c>
      <c r="U450" s="4" t="str">
        <f t="shared" si="37"/>
        <v>ADD-ON</v>
      </c>
      <c r="V450" s="4" t="str">
        <f t="shared" si="34"/>
        <v>ANYWHEREANYWHEREAUTHORIZEDADD-ON</v>
      </c>
    </row>
    <row r="451" spans="1:22" ht="15" thickBot="1">
      <c r="A451" s="10" t="s">
        <v>21</v>
      </c>
      <c r="B451" s="10" t="s">
        <v>22</v>
      </c>
      <c r="C451" s="10" t="s">
        <v>23</v>
      </c>
      <c r="D451" s="10" t="s">
        <v>24</v>
      </c>
      <c r="E451" s="10" t="s">
        <v>25</v>
      </c>
      <c r="F451" s="10" t="s">
        <v>26</v>
      </c>
      <c r="G451" s="11">
        <v>280</v>
      </c>
      <c r="H451" s="163" t="s">
        <v>56</v>
      </c>
      <c r="I451" s="158" t="s">
        <v>57</v>
      </c>
      <c r="J451" s="163" t="s">
        <v>58</v>
      </c>
      <c r="K451" s="10" t="s">
        <v>30</v>
      </c>
      <c r="L451" s="10">
        <v>0</v>
      </c>
      <c r="M451" s="10">
        <f t="shared" si="38"/>
        <v>0</v>
      </c>
      <c r="N451" s="10">
        <v>5</v>
      </c>
      <c r="O451" s="12">
        <f>N451/3</f>
        <v>1.6666666666666667</v>
      </c>
      <c r="P451" s="11">
        <v>1400</v>
      </c>
      <c r="Q451" s="10" t="s">
        <v>31</v>
      </c>
      <c r="R451" s="4" t="s">
        <v>42</v>
      </c>
      <c r="S451" s="4" t="s">
        <v>42</v>
      </c>
      <c r="T451" s="4" t="s">
        <v>19</v>
      </c>
      <c r="U451" s="4" t="str">
        <f t="shared" si="37"/>
        <v>ADD-ON</v>
      </c>
      <c r="V451" s="4" t="str">
        <f t="shared" ref="V451:V514" si="39">CONCATENATE(R451,S451,T451,U451)</f>
        <v>ANYWHEREANYWHEREAUTHORIZEDADD-ON</v>
      </c>
    </row>
    <row r="452" spans="1:22" ht="15" thickBot="1">
      <c r="A452" s="10" t="s">
        <v>21</v>
      </c>
      <c r="B452" s="10" t="s">
        <v>22</v>
      </c>
      <c r="C452" s="10" t="s">
        <v>448</v>
      </c>
      <c r="D452" s="10" t="s">
        <v>449</v>
      </c>
      <c r="E452" s="10" t="s">
        <v>450</v>
      </c>
      <c r="F452" s="10" t="s">
        <v>451</v>
      </c>
      <c r="G452" s="11">
        <v>2290</v>
      </c>
      <c r="H452" s="163" t="s">
        <v>452</v>
      </c>
      <c r="I452" s="158" t="s">
        <v>453</v>
      </c>
      <c r="J452" s="163" t="s">
        <v>454</v>
      </c>
      <c r="K452" s="10" t="s">
        <v>30</v>
      </c>
      <c r="L452" s="10">
        <v>15</v>
      </c>
      <c r="M452" s="10">
        <f t="shared" si="38"/>
        <v>5</v>
      </c>
      <c r="N452" s="10">
        <v>15</v>
      </c>
      <c r="O452" s="12">
        <v>5</v>
      </c>
      <c r="P452" s="11">
        <v>11400</v>
      </c>
      <c r="Q452" s="10" t="s">
        <v>31</v>
      </c>
      <c r="R452" s="4" t="s">
        <v>1280</v>
      </c>
      <c r="S452" s="4" t="s">
        <v>1279</v>
      </c>
      <c r="T452" s="4" t="s">
        <v>19</v>
      </c>
      <c r="U452" s="4" t="str">
        <f t="shared" si="37"/>
        <v>NOT AN ADD-ON</v>
      </c>
      <c r="V452" s="4" t="str">
        <f t="shared" si="39"/>
        <v>AVIATIONINDUSTRY SOLUTIONAUTHORIZEDNOT AN ADD-ON</v>
      </c>
    </row>
    <row r="453" spans="1:22" ht="15" thickBot="1">
      <c r="A453" s="10" t="s">
        <v>21</v>
      </c>
      <c r="B453" s="10" t="s">
        <v>22</v>
      </c>
      <c r="C453" s="10" t="s">
        <v>448</v>
      </c>
      <c r="D453" s="10" t="s">
        <v>449</v>
      </c>
      <c r="E453" s="10" t="s">
        <v>450</v>
      </c>
      <c r="F453" s="10" t="s">
        <v>451</v>
      </c>
      <c r="G453" s="11">
        <v>6310</v>
      </c>
      <c r="H453" s="163" t="s">
        <v>458</v>
      </c>
      <c r="I453" s="158" t="s">
        <v>459</v>
      </c>
      <c r="J453" s="163" t="s">
        <v>460</v>
      </c>
      <c r="K453" s="10" t="s">
        <v>40</v>
      </c>
      <c r="L453" s="10">
        <v>15</v>
      </c>
      <c r="M453" s="10">
        <f t="shared" si="38"/>
        <v>15</v>
      </c>
      <c r="N453" s="10">
        <v>15</v>
      </c>
      <c r="O453" s="12">
        <v>1</v>
      </c>
      <c r="P453" s="11">
        <v>31600</v>
      </c>
      <c r="Q453" s="10" t="s">
        <v>31</v>
      </c>
      <c r="R453" s="4" t="s">
        <v>1280</v>
      </c>
      <c r="S453" s="4" t="s">
        <v>1279</v>
      </c>
      <c r="T453" s="4" t="s">
        <v>19</v>
      </c>
      <c r="U453" s="4" t="str">
        <f t="shared" si="37"/>
        <v>NOT AN ADD-ON</v>
      </c>
      <c r="V453" s="4" t="str">
        <f t="shared" si="39"/>
        <v>AVIATIONINDUSTRY SOLUTIONAUTHORIZEDNOT AN ADD-ON</v>
      </c>
    </row>
    <row r="454" spans="1:22" ht="15" thickBot="1">
      <c r="A454" s="10" t="s">
        <v>21</v>
      </c>
      <c r="B454" s="10" t="s">
        <v>22</v>
      </c>
      <c r="C454" s="10" t="s">
        <v>448</v>
      </c>
      <c r="D454" s="10" t="s">
        <v>449</v>
      </c>
      <c r="E454" s="10" t="s">
        <v>450</v>
      </c>
      <c r="F454" s="10" t="s">
        <v>451</v>
      </c>
      <c r="G454" s="11">
        <v>767</v>
      </c>
      <c r="H454" s="163" t="s">
        <v>476</v>
      </c>
      <c r="I454" s="158" t="s">
        <v>477</v>
      </c>
      <c r="J454" s="163" t="s">
        <v>478</v>
      </c>
      <c r="K454" s="10" t="s">
        <v>30</v>
      </c>
      <c r="L454" s="10">
        <v>5</v>
      </c>
      <c r="M454" s="10">
        <f t="shared" si="38"/>
        <v>1.67</v>
      </c>
      <c r="N454" s="10">
        <v>5</v>
      </c>
      <c r="O454" s="12">
        <v>1.6666666666666667</v>
      </c>
      <c r="P454" s="11">
        <v>3840</v>
      </c>
      <c r="Q454" s="10" t="s">
        <v>31</v>
      </c>
      <c r="R454" s="4" t="s">
        <v>1280</v>
      </c>
      <c r="S454" s="4" t="s">
        <v>1279</v>
      </c>
      <c r="T454" s="4" t="s">
        <v>672</v>
      </c>
      <c r="U454" s="4" t="str">
        <f t="shared" si="37"/>
        <v>NOT AN ADD-ON</v>
      </c>
      <c r="V454" s="4" t="str">
        <f t="shared" si="39"/>
        <v>AVIATIONINDUSTRY SOLUTIONLIMITEDNOT AN ADD-ON</v>
      </c>
    </row>
    <row r="455" spans="1:22" ht="15" thickBot="1">
      <c r="A455" s="10" t="s">
        <v>21</v>
      </c>
      <c r="B455" s="10" t="s">
        <v>22</v>
      </c>
      <c r="C455" s="10" t="s">
        <v>448</v>
      </c>
      <c r="D455" s="10" t="s">
        <v>449</v>
      </c>
      <c r="E455" s="10" t="s">
        <v>450</v>
      </c>
      <c r="F455" s="10" t="s">
        <v>451</v>
      </c>
      <c r="G455" s="11">
        <v>2110</v>
      </c>
      <c r="H455" s="163" t="s">
        <v>482</v>
      </c>
      <c r="I455" s="158" t="s">
        <v>483</v>
      </c>
      <c r="J455" s="163" t="s">
        <v>484</v>
      </c>
      <c r="K455" s="10" t="s">
        <v>40</v>
      </c>
      <c r="L455" s="10">
        <v>5</v>
      </c>
      <c r="M455" s="10">
        <f t="shared" si="38"/>
        <v>5</v>
      </c>
      <c r="N455" s="10">
        <v>5</v>
      </c>
      <c r="O455" s="12">
        <v>1</v>
      </c>
      <c r="P455" s="11">
        <v>10500</v>
      </c>
      <c r="Q455" s="10" t="s">
        <v>31</v>
      </c>
      <c r="R455" s="4" t="s">
        <v>1280</v>
      </c>
      <c r="S455" s="4" t="s">
        <v>1279</v>
      </c>
      <c r="T455" s="4" t="s">
        <v>672</v>
      </c>
      <c r="U455" s="4" t="str">
        <f t="shared" si="37"/>
        <v>NOT AN ADD-ON</v>
      </c>
      <c r="V455" s="4" t="str">
        <f t="shared" si="39"/>
        <v>AVIATIONINDUSTRY SOLUTIONLIMITEDNOT AN ADD-ON</v>
      </c>
    </row>
    <row r="456" spans="1:22" ht="15" thickBot="1">
      <c r="A456" s="10" t="s">
        <v>21</v>
      </c>
      <c r="B456" s="10" t="s">
        <v>22</v>
      </c>
      <c r="C456" s="10" t="s">
        <v>448</v>
      </c>
      <c r="D456" s="10" t="s">
        <v>449</v>
      </c>
      <c r="E456" s="10" t="s">
        <v>450</v>
      </c>
      <c r="F456" s="10" t="s">
        <v>451</v>
      </c>
      <c r="G456" s="11">
        <v>6310</v>
      </c>
      <c r="H456" s="163" t="s">
        <v>470</v>
      </c>
      <c r="I456" s="158" t="s">
        <v>471</v>
      </c>
      <c r="J456" s="163" t="s">
        <v>472</v>
      </c>
      <c r="K456" s="10" t="s">
        <v>40</v>
      </c>
      <c r="L456" s="10">
        <v>15</v>
      </c>
      <c r="M456" s="10">
        <f t="shared" si="38"/>
        <v>15</v>
      </c>
      <c r="N456" s="10">
        <v>15</v>
      </c>
      <c r="O456" s="12">
        <v>1</v>
      </c>
      <c r="P456" s="11">
        <v>31600</v>
      </c>
      <c r="Q456" s="10" t="s">
        <v>31</v>
      </c>
      <c r="R456" s="4" t="s">
        <v>1280</v>
      </c>
      <c r="S456" s="4" t="s">
        <v>1279</v>
      </c>
      <c r="T456" s="4" t="s">
        <v>19</v>
      </c>
      <c r="U456" s="4" t="str">
        <f t="shared" si="37"/>
        <v>NOT AN ADD-ON</v>
      </c>
      <c r="V456" s="4" t="str">
        <f t="shared" si="39"/>
        <v>AVIATIONINDUSTRY SOLUTIONAUTHORIZEDNOT AN ADD-ON</v>
      </c>
    </row>
    <row r="457" spans="1:22" ht="15" thickBot="1">
      <c r="A457" s="10" t="s">
        <v>21</v>
      </c>
      <c r="B457" s="10" t="s">
        <v>22</v>
      </c>
      <c r="C457" s="10" t="s">
        <v>140</v>
      </c>
      <c r="D457" s="10" t="s">
        <v>141</v>
      </c>
      <c r="E457" s="10" t="s">
        <v>142</v>
      </c>
      <c r="F457" s="10" t="s">
        <v>143</v>
      </c>
      <c r="G457" s="11">
        <v>723</v>
      </c>
      <c r="H457" s="163" t="s">
        <v>182</v>
      </c>
      <c r="I457" s="158" t="s">
        <v>183</v>
      </c>
      <c r="J457" s="163" t="s">
        <v>184</v>
      </c>
      <c r="K457" s="10" t="s">
        <v>40</v>
      </c>
      <c r="L457" s="10">
        <v>5</v>
      </c>
      <c r="M457" s="10">
        <f t="shared" si="38"/>
        <v>5</v>
      </c>
      <c r="N457" s="10">
        <v>5</v>
      </c>
      <c r="O457" s="12">
        <v>1</v>
      </c>
      <c r="P457" s="11">
        <v>3620</v>
      </c>
      <c r="Q457" s="10" t="s">
        <v>31</v>
      </c>
      <c r="R457" s="4" t="s">
        <v>1278</v>
      </c>
      <c r="S457" s="4" t="s">
        <v>1278</v>
      </c>
      <c r="T457" s="4" t="s">
        <v>1381</v>
      </c>
      <c r="U457" s="4" t="str">
        <f t="shared" si="37"/>
        <v>NOT AN ADD-ON</v>
      </c>
      <c r="V457" s="4" t="str">
        <f t="shared" si="39"/>
        <v>ASSET MANAGEMENT (CORE)ASSET MANAGEMENT (CORE)EXPRESSNOT AN ADD-ON</v>
      </c>
    </row>
    <row r="458" spans="1:22" ht="15" thickBot="1">
      <c r="A458" s="10" t="s">
        <v>21</v>
      </c>
      <c r="B458" s="10" t="s">
        <v>22</v>
      </c>
      <c r="C458" s="10" t="s">
        <v>448</v>
      </c>
      <c r="D458" s="10" t="s">
        <v>449</v>
      </c>
      <c r="E458" s="10" t="s">
        <v>450</v>
      </c>
      <c r="F458" s="10" t="s">
        <v>451</v>
      </c>
      <c r="G458" s="11">
        <v>2290</v>
      </c>
      <c r="H458" s="163" t="s">
        <v>464</v>
      </c>
      <c r="I458" s="158" t="s">
        <v>465</v>
      </c>
      <c r="J458" s="163" t="s">
        <v>466</v>
      </c>
      <c r="K458" s="10" t="s">
        <v>30</v>
      </c>
      <c r="L458" s="10">
        <v>15</v>
      </c>
      <c r="M458" s="10">
        <f t="shared" si="38"/>
        <v>5</v>
      </c>
      <c r="N458" s="10">
        <v>15</v>
      </c>
      <c r="O458" s="12">
        <v>5</v>
      </c>
      <c r="P458" s="11">
        <v>11400</v>
      </c>
      <c r="Q458" s="10" t="s">
        <v>31</v>
      </c>
      <c r="R458" s="4" t="s">
        <v>1280</v>
      </c>
      <c r="S458" s="4" t="s">
        <v>1279</v>
      </c>
      <c r="T458" s="4" t="s">
        <v>19</v>
      </c>
      <c r="U458" s="4" t="str">
        <f t="shared" si="37"/>
        <v>NOT AN ADD-ON</v>
      </c>
      <c r="V458" s="4" t="str">
        <f t="shared" si="39"/>
        <v>AVIATIONINDUSTRY SOLUTIONAUTHORIZEDNOT AN ADD-ON</v>
      </c>
    </row>
    <row r="459" spans="1:22" ht="15" thickBot="1">
      <c r="A459" s="10" t="s">
        <v>21</v>
      </c>
      <c r="B459" s="10" t="s">
        <v>22</v>
      </c>
      <c r="C459" s="10" t="s">
        <v>448</v>
      </c>
      <c r="D459" s="10" t="s">
        <v>449</v>
      </c>
      <c r="E459" s="10" t="s">
        <v>450</v>
      </c>
      <c r="F459" s="10" t="s">
        <v>451</v>
      </c>
      <c r="G459" s="11">
        <v>2110</v>
      </c>
      <c r="H459" s="163" t="s">
        <v>494</v>
      </c>
      <c r="I459" s="158" t="s">
        <v>495</v>
      </c>
      <c r="J459" s="163" t="s">
        <v>496</v>
      </c>
      <c r="K459" s="10" t="s">
        <v>40</v>
      </c>
      <c r="L459" s="10">
        <v>5</v>
      </c>
      <c r="M459" s="10">
        <f t="shared" si="38"/>
        <v>5</v>
      </c>
      <c r="N459" s="10">
        <v>5</v>
      </c>
      <c r="O459" s="12">
        <v>1</v>
      </c>
      <c r="P459" s="11">
        <v>10500</v>
      </c>
      <c r="Q459" s="10" t="s">
        <v>31</v>
      </c>
      <c r="R459" s="4" t="s">
        <v>1280</v>
      </c>
      <c r="S459" s="4" t="s">
        <v>1279</v>
      </c>
      <c r="T459" s="4" t="s">
        <v>672</v>
      </c>
      <c r="U459" s="4" t="str">
        <f t="shared" si="37"/>
        <v>NOT AN ADD-ON</v>
      </c>
      <c r="V459" s="4" t="str">
        <f t="shared" si="39"/>
        <v>AVIATIONINDUSTRY SOLUTIONLIMITEDNOT AN ADD-ON</v>
      </c>
    </row>
    <row r="460" spans="1:22" ht="15" thickBot="1">
      <c r="A460" s="10" t="s">
        <v>21</v>
      </c>
      <c r="B460" s="10" t="s">
        <v>22</v>
      </c>
      <c r="C460" s="10" t="s">
        <v>140</v>
      </c>
      <c r="D460" s="10" t="s">
        <v>141</v>
      </c>
      <c r="E460" s="10" t="s">
        <v>142</v>
      </c>
      <c r="F460" s="10" t="s">
        <v>143</v>
      </c>
      <c r="G460" s="11">
        <v>723</v>
      </c>
      <c r="H460" s="163" t="s">
        <v>199</v>
      </c>
      <c r="I460" s="158" t="s">
        <v>200</v>
      </c>
      <c r="J460" s="163" t="s">
        <v>190</v>
      </c>
      <c r="K460" s="10" t="s">
        <v>40</v>
      </c>
      <c r="L460" s="10">
        <v>5</v>
      </c>
      <c r="M460" s="10">
        <f t="shared" si="38"/>
        <v>5</v>
      </c>
      <c r="N460" s="10">
        <v>5</v>
      </c>
      <c r="O460" s="12">
        <v>1</v>
      </c>
      <c r="P460" s="11">
        <v>3620</v>
      </c>
      <c r="Q460" s="10" t="s">
        <v>31</v>
      </c>
      <c r="R460" s="4" t="s">
        <v>1278</v>
      </c>
      <c r="S460" s="4" t="s">
        <v>1278</v>
      </c>
      <c r="T460" s="4" t="s">
        <v>1381</v>
      </c>
      <c r="U460" s="4" t="str">
        <f t="shared" si="37"/>
        <v>NOT AN ADD-ON</v>
      </c>
      <c r="V460" s="4" t="str">
        <f t="shared" si="39"/>
        <v>ASSET MANAGEMENT (CORE)ASSET MANAGEMENT (CORE)EXPRESSNOT AN ADD-ON</v>
      </c>
    </row>
    <row r="461" spans="1:22" ht="15" thickBot="1">
      <c r="A461" s="10" t="s">
        <v>21</v>
      </c>
      <c r="B461" s="10" t="s">
        <v>22</v>
      </c>
      <c r="C461" s="10" t="s">
        <v>448</v>
      </c>
      <c r="D461" s="10" t="s">
        <v>449</v>
      </c>
      <c r="E461" s="10" t="s">
        <v>450</v>
      </c>
      <c r="F461" s="10" t="s">
        <v>451</v>
      </c>
      <c r="G461" s="11">
        <v>767</v>
      </c>
      <c r="H461" s="163" t="s">
        <v>488</v>
      </c>
      <c r="I461" s="158" t="s">
        <v>489</v>
      </c>
      <c r="J461" s="163" t="s">
        <v>490</v>
      </c>
      <c r="K461" s="10" t="s">
        <v>30</v>
      </c>
      <c r="L461" s="10">
        <v>5</v>
      </c>
      <c r="M461" s="10">
        <f t="shared" si="38"/>
        <v>1.67</v>
      </c>
      <c r="N461" s="15">
        <v>5</v>
      </c>
      <c r="O461" s="16">
        <v>1.67</v>
      </c>
      <c r="P461" s="11">
        <v>3840</v>
      </c>
      <c r="Q461" s="10" t="s">
        <v>31</v>
      </c>
      <c r="R461" s="4" t="s">
        <v>1280</v>
      </c>
      <c r="S461" s="4" t="s">
        <v>1279</v>
      </c>
      <c r="T461" s="4" t="s">
        <v>672</v>
      </c>
      <c r="U461" s="4" t="str">
        <f t="shared" si="37"/>
        <v>NOT AN ADD-ON</v>
      </c>
      <c r="V461" s="4" t="str">
        <f t="shared" si="39"/>
        <v>AVIATIONINDUSTRY SOLUTIONLIMITEDNOT AN ADD-ON</v>
      </c>
    </row>
    <row r="462" spans="1:22" ht="15" thickBot="1">
      <c r="A462" s="10" t="s">
        <v>1089</v>
      </c>
      <c r="B462" s="10" t="s">
        <v>1090</v>
      </c>
      <c r="C462" s="10" t="s">
        <v>1091</v>
      </c>
      <c r="D462" s="10" t="s">
        <v>1092</v>
      </c>
      <c r="E462" s="10" t="s">
        <v>1093</v>
      </c>
      <c r="F462" s="10" t="s">
        <v>1094</v>
      </c>
      <c r="G462" s="116">
        <v>20900</v>
      </c>
      <c r="H462" s="163" t="s">
        <v>1108</v>
      </c>
      <c r="I462" s="158" t="s">
        <v>1109</v>
      </c>
      <c r="J462" s="163" t="s">
        <v>1110</v>
      </c>
      <c r="K462" s="10" t="s">
        <v>30</v>
      </c>
      <c r="L462" s="207">
        <v>15</v>
      </c>
      <c r="M462" s="10">
        <v>15</v>
      </c>
      <c r="N462" s="207">
        <v>15</v>
      </c>
      <c r="O462" s="12">
        <v>1</v>
      </c>
      <c r="P462" s="116">
        <v>104000</v>
      </c>
      <c r="Q462" s="10" t="s">
        <v>31</v>
      </c>
      <c r="R462" s="4" t="s">
        <v>1385</v>
      </c>
      <c r="S462" s="4" t="s">
        <v>1385</v>
      </c>
      <c r="T462" s="4" t="s">
        <v>19</v>
      </c>
      <c r="U462" s="4" t="str">
        <f t="shared" si="37"/>
        <v>NOT AN ADD-ON</v>
      </c>
      <c r="V462" s="4" t="str">
        <f t="shared" si="39"/>
        <v>APM FOR E&amp;UAPM FOR E&amp;UAUTHORIZEDNOT AN ADD-ON</v>
      </c>
    </row>
    <row r="463" spans="1:22" ht="15" thickBot="1">
      <c r="A463" s="10" t="s">
        <v>1089</v>
      </c>
      <c r="B463" s="10" t="s">
        <v>1090</v>
      </c>
      <c r="C463" s="10" t="s">
        <v>1091</v>
      </c>
      <c r="D463" s="10" t="s">
        <v>1092</v>
      </c>
      <c r="E463" s="10" t="s">
        <v>1093</v>
      </c>
      <c r="F463" s="10" t="s">
        <v>1094</v>
      </c>
      <c r="G463" s="116">
        <v>36.1</v>
      </c>
      <c r="H463" s="163" t="s">
        <v>1101</v>
      </c>
      <c r="I463" s="158" t="s">
        <v>1102</v>
      </c>
      <c r="J463" s="163" t="s">
        <v>1103</v>
      </c>
      <c r="K463" s="10" t="s">
        <v>1104</v>
      </c>
      <c r="L463" s="207">
        <v>0</v>
      </c>
      <c r="M463" s="10">
        <v>0</v>
      </c>
      <c r="N463" s="207">
        <v>0</v>
      </c>
      <c r="O463" s="12">
        <v>1</v>
      </c>
      <c r="P463" s="116">
        <v>180</v>
      </c>
      <c r="Q463" s="10" t="s">
        <v>31</v>
      </c>
      <c r="R463" s="4" t="s">
        <v>1385</v>
      </c>
      <c r="S463" s="4" t="s">
        <v>1385</v>
      </c>
      <c r="T463" s="4" t="s">
        <v>672</v>
      </c>
      <c r="U463" s="4" t="str">
        <f t="shared" si="37"/>
        <v>NOT AN ADD-ON</v>
      </c>
      <c r="V463" s="4" t="str">
        <f t="shared" si="39"/>
        <v>APM FOR E&amp;UAPM FOR E&amp;ULIMITEDNOT AN ADD-ON</v>
      </c>
    </row>
    <row r="464" spans="1:22" ht="15" thickBot="1">
      <c r="A464" s="10" t="s">
        <v>1089</v>
      </c>
      <c r="B464" s="10" t="s">
        <v>1090</v>
      </c>
      <c r="C464" s="10" t="s">
        <v>1091</v>
      </c>
      <c r="D464" s="10" t="s">
        <v>1092</v>
      </c>
      <c r="E464" s="10" t="s">
        <v>1093</v>
      </c>
      <c r="F464" s="10" t="s">
        <v>1094</v>
      </c>
      <c r="G464" s="116">
        <v>1550</v>
      </c>
      <c r="H464" s="163" t="s">
        <v>1095</v>
      </c>
      <c r="I464" s="158" t="s">
        <v>1096</v>
      </c>
      <c r="J464" s="163" t="s">
        <v>1097</v>
      </c>
      <c r="K464" s="10" t="s">
        <v>1491</v>
      </c>
      <c r="L464" s="207">
        <v>180</v>
      </c>
      <c r="M464" s="10">
        <v>1</v>
      </c>
      <c r="N464" s="207">
        <v>180</v>
      </c>
      <c r="O464" s="12">
        <v>1</v>
      </c>
      <c r="P464" s="116">
        <v>7730</v>
      </c>
      <c r="Q464" s="10" t="s">
        <v>31</v>
      </c>
      <c r="R464" s="4" t="s">
        <v>1385</v>
      </c>
      <c r="S464" s="4" t="s">
        <v>1385</v>
      </c>
      <c r="T464" s="4" t="s">
        <v>1491</v>
      </c>
      <c r="U464" s="4" t="str">
        <f t="shared" si="37"/>
        <v>NOT AN ADD-ON</v>
      </c>
      <c r="V464" s="4" t="str">
        <f t="shared" si="39"/>
        <v>APM FOR E&amp;UAPM FOR E&amp;UEU RVUNOT AN ADD-ON</v>
      </c>
    </row>
    <row r="465" spans="1:22" ht="15" thickBot="1">
      <c r="A465" s="10" t="s">
        <v>21</v>
      </c>
      <c r="B465" s="10" t="s">
        <v>1256</v>
      </c>
      <c r="C465" s="10" t="s">
        <v>1257</v>
      </c>
      <c r="D465" s="10" t="s">
        <v>1134</v>
      </c>
      <c r="E465" s="10" t="s">
        <v>1135</v>
      </c>
      <c r="F465" s="10" t="s">
        <v>1258</v>
      </c>
      <c r="G465" s="116">
        <v>874</v>
      </c>
      <c r="H465" s="163" t="s">
        <v>1265</v>
      </c>
      <c r="I465" s="158" t="s">
        <v>1266</v>
      </c>
      <c r="J465" s="163" t="s">
        <v>1267</v>
      </c>
      <c r="K465" s="10" t="s">
        <v>375</v>
      </c>
      <c r="L465" s="10">
        <v>10</v>
      </c>
      <c r="M465" s="10">
        <f t="shared" ref="M465:M496" si="40">ROUND(IF(K465="Authorized User",L465/3,L465),2)</f>
        <v>10</v>
      </c>
      <c r="N465" s="10">
        <v>10</v>
      </c>
      <c r="O465" s="12">
        <v>1</v>
      </c>
      <c r="P465" s="116">
        <v>4370</v>
      </c>
      <c r="Q465" s="10" t="s">
        <v>31</v>
      </c>
      <c r="R465" s="4" t="s">
        <v>1393</v>
      </c>
      <c r="S465" s="4" t="s">
        <v>1393</v>
      </c>
      <c r="T465" s="4" t="s">
        <v>1382</v>
      </c>
      <c r="U465" s="4" t="str">
        <f t="shared" si="37"/>
        <v>NOT AN ADD-ON</v>
      </c>
      <c r="V465" s="4" t="str">
        <f t="shared" si="39"/>
        <v>APM ASSET HEALTH INSIGHTSAPM ASSET HEALTH INSIGHTSRESOURCE VALUENOT AN ADD-ON</v>
      </c>
    </row>
    <row r="466" spans="1:22" ht="15" thickBot="1">
      <c r="A466" s="10" t="s">
        <v>21</v>
      </c>
      <c r="B466" s="10" t="s">
        <v>1256</v>
      </c>
      <c r="C466" s="10" t="s">
        <v>1257</v>
      </c>
      <c r="D466" s="10" t="s">
        <v>1134</v>
      </c>
      <c r="E466" s="10" t="s">
        <v>1135</v>
      </c>
      <c r="F466" s="10" t="s">
        <v>1258</v>
      </c>
      <c r="G466" s="116">
        <v>874</v>
      </c>
      <c r="H466" s="163" t="s">
        <v>1259</v>
      </c>
      <c r="I466" s="166" t="s">
        <v>1260</v>
      </c>
      <c r="J466" s="163" t="s">
        <v>1261</v>
      </c>
      <c r="K466" s="10" t="s">
        <v>375</v>
      </c>
      <c r="L466" s="10">
        <v>10</v>
      </c>
      <c r="M466" s="10">
        <f t="shared" si="40"/>
        <v>10</v>
      </c>
      <c r="N466" s="10">
        <v>10</v>
      </c>
      <c r="O466" s="12">
        <v>1</v>
      </c>
      <c r="P466" s="116">
        <v>4370</v>
      </c>
      <c r="Q466" s="10" t="s">
        <v>31</v>
      </c>
      <c r="R466" s="4" t="s">
        <v>1393</v>
      </c>
      <c r="S466" s="4" t="s">
        <v>1393</v>
      </c>
      <c r="T466" s="4" t="s">
        <v>1382</v>
      </c>
      <c r="U466" s="4" t="str">
        <f t="shared" si="37"/>
        <v>NOT AN ADD-ON</v>
      </c>
      <c r="V466" s="4" t="str">
        <f t="shared" si="39"/>
        <v>APM ASSET HEALTH INSIGHTSAPM ASSET HEALTH INSIGHTSRESOURCE VALUENOT AN ADD-ON</v>
      </c>
    </row>
    <row r="467" spans="1:22" ht="15" thickBot="1">
      <c r="A467" s="10" t="s">
        <v>21</v>
      </c>
      <c r="B467" s="10" t="s">
        <v>22</v>
      </c>
      <c r="C467" s="10" t="s">
        <v>301</v>
      </c>
      <c r="D467" s="10" t="s">
        <v>141</v>
      </c>
      <c r="E467" s="10" t="s">
        <v>142</v>
      </c>
      <c r="F467" s="10" t="s">
        <v>339</v>
      </c>
      <c r="G467" s="11">
        <v>2740</v>
      </c>
      <c r="H467" s="163" t="s">
        <v>372</v>
      </c>
      <c r="I467" s="158" t="s">
        <v>373</v>
      </c>
      <c r="J467" s="163" t="s">
        <v>374</v>
      </c>
      <c r="K467" s="10" t="s">
        <v>375</v>
      </c>
      <c r="L467" s="10">
        <v>0</v>
      </c>
      <c r="M467" s="10">
        <f t="shared" si="40"/>
        <v>0</v>
      </c>
      <c r="N467" s="10">
        <v>10</v>
      </c>
      <c r="O467" s="12">
        <v>1</v>
      </c>
      <c r="P467" s="11">
        <v>13700</v>
      </c>
      <c r="Q467" s="10" t="s">
        <v>31</v>
      </c>
      <c r="R467" s="4" t="s">
        <v>1286</v>
      </c>
      <c r="S467" s="4" t="s">
        <v>507</v>
      </c>
      <c r="T467" s="4" t="s">
        <v>1382</v>
      </c>
      <c r="U467" s="4" t="str">
        <f t="shared" si="37"/>
        <v>NOT AN ADD-ON</v>
      </c>
      <c r="V467" s="4" t="str">
        <f t="shared" si="39"/>
        <v>SCHEDULER PLUSADD-ONRESOURCE VALUENOT AN ADD-ON</v>
      </c>
    </row>
    <row r="468" spans="1:22" ht="15" thickBot="1">
      <c r="A468" s="10" t="s">
        <v>21</v>
      </c>
      <c r="B468" s="10" t="s">
        <v>22</v>
      </c>
      <c r="C468" s="10" t="s">
        <v>301</v>
      </c>
      <c r="D468" s="10" t="s">
        <v>141</v>
      </c>
      <c r="E468" s="10" t="s">
        <v>142</v>
      </c>
      <c r="F468" s="10" t="s">
        <v>339</v>
      </c>
      <c r="G468" s="11">
        <v>2740</v>
      </c>
      <c r="H468" s="163" t="s">
        <v>379</v>
      </c>
      <c r="I468" s="158" t="s">
        <v>380</v>
      </c>
      <c r="J468" s="163" t="s">
        <v>381</v>
      </c>
      <c r="K468" s="10" t="s">
        <v>375</v>
      </c>
      <c r="L468" s="10">
        <v>0</v>
      </c>
      <c r="M468" s="10">
        <f t="shared" si="40"/>
        <v>0</v>
      </c>
      <c r="N468" s="10">
        <v>10</v>
      </c>
      <c r="O468" s="12">
        <v>1</v>
      </c>
      <c r="P468" s="11">
        <v>13700</v>
      </c>
      <c r="Q468" s="10" t="s">
        <v>31</v>
      </c>
      <c r="R468" s="4" t="s">
        <v>1286</v>
      </c>
      <c r="S468" s="4" t="s">
        <v>507</v>
      </c>
      <c r="T468" s="4" t="s">
        <v>1382</v>
      </c>
      <c r="U468" s="4" t="str">
        <f t="shared" si="37"/>
        <v>NOT AN ADD-ON</v>
      </c>
      <c r="V468" s="4" t="str">
        <f t="shared" si="39"/>
        <v>SCHEDULER PLUSADD-ONRESOURCE VALUENOT AN ADD-ON</v>
      </c>
    </row>
    <row r="469" spans="1:22" ht="15" thickBot="1">
      <c r="A469" s="10" t="s">
        <v>21</v>
      </c>
      <c r="B469" s="10" t="s">
        <v>22</v>
      </c>
      <c r="C469" s="10" t="s">
        <v>140</v>
      </c>
      <c r="D469" s="10" t="s">
        <v>141</v>
      </c>
      <c r="E469" s="10" t="s">
        <v>142</v>
      </c>
      <c r="F469" s="10" t="s">
        <v>143</v>
      </c>
      <c r="G469" s="11">
        <v>3890</v>
      </c>
      <c r="H469" s="163" t="s">
        <v>152</v>
      </c>
      <c r="I469" s="158" t="s">
        <v>153</v>
      </c>
      <c r="J469" s="163" t="s">
        <v>154</v>
      </c>
      <c r="K469" s="10" t="s">
        <v>40</v>
      </c>
      <c r="L469" s="10">
        <v>10</v>
      </c>
      <c r="M469" s="10">
        <f t="shared" si="40"/>
        <v>10</v>
      </c>
      <c r="N469" s="10">
        <v>10</v>
      </c>
      <c r="O469" s="12">
        <v>1</v>
      </c>
      <c r="P469" s="11">
        <v>19400</v>
      </c>
      <c r="Q469" s="10" t="s">
        <v>31</v>
      </c>
      <c r="R469" s="4" t="s">
        <v>1278</v>
      </c>
      <c r="S469" s="4" t="s">
        <v>1278</v>
      </c>
      <c r="T469" s="4" t="s">
        <v>19</v>
      </c>
      <c r="U469" s="4" t="str">
        <f t="shared" si="37"/>
        <v>NOT AN ADD-ON</v>
      </c>
      <c r="V469" s="4" t="str">
        <f t="shared" si="39"/>
        <v>ASSET MANAGEMENT (CORE)ASSET MANAGEMENT (CORE)AUTHORIZEDNOT AN ADD-ON</v>
      </c>
    </row>
    <row r="470" spans="1:22" ht="15" thickBot="1">
      <c r="A470" s="10" t="s">
        <v>21</v>
      </c>
      <c r="B470" s="10" t="s">
        <v>22</v>
      </c>
      <c r="C470" s="10" t="s">
        <v>140</v>
      </c>
      <c r="D470" s="10" t="s">
        <v>141</v>
      </c>
      <c r="E470" s="10" t="s">
        <v>142</v>
      </c>
      <c r="F470" s="10" t="s">
        <v>143</v>
      </c>
      <c r="G470" s="11">
        <v>3890</v>
      </c>
      <c r="H470" s="163" t="s">
        <v>165</v>
      </c>
      <c r="I470" s="158" t="s">
        <v>166</v>
      </c>
      <c r="J470" s="163" t="s">
        <v>160</v>
      </c>
      <c r="K470" s="10" t="s">
        <v>40</v>
      </c>
      <c r="L470" s="10">
        <v>10</v>
      </c>
      <c r="M470" s="10">
        <f t="shared" si="40"/>
        <v>10</v>
      </c>
      <c r="N470" s="10">
        <v>10</v>
      </c>
      <c r="O470" s="12">
        <v>1</v>
      </c>
      <c r="P470" s="11">
        <v>19400</v>
      </c>
      <c r="Q470" s="10" t="s">
        <v>31</v>
      </c>
      <c r="R470" s="4" t="s">
        <v>1278</v>
      </c>
      <c r="S470" s="4" t="s">
        <v>1278</v>
      </c>
      <c r="T470" s="4" t="s">
        <v>19</v>
      </c>
      <c r="U470" s="4" t="str">
        <f t="shared" si="37"/>
        <v>NOT AN ADD-ON</v>
      </c>
      <c r="V470" s="4" t="str">
        <f t="shared" si="39"/>
        <v>ASSET MANAGEMENT (CORE)ASSET MANAGEMENT (CORE)AUTHORIZEDNOT AN ADD-ON</v>
      </c>
    </row>
    <row r="471" spans="1:22" ht="15" thickBot="1">
      <c r="A471" s="10" t="s">
        <v>21</v>
      </c>
      <c r="B471" s="10" t="s">
        <v>22</v>
      </c>
      <c r="C471" s="10" t="s">
        <v>301</v>
      </c>
      <c r="D471" s="10" t="s">
        <v>141</v>
      </c>
      <c r="E471" s="10" t="s">
        <v>142</v>
      </c>
      <c r="F471" s="10" t="s">
        <v>143</v>
      </c>
      <c r="G471" s="11">
        <v>1220</v>
      </c>
      <c r="H471" s="163" t="s">
        <v>312</v>
      </c>
      <c r="I471" s="158" t="s">
        <v>313</v>
      </c>
      <c r="J471" s="163" t="s">
        <v>314</v>
      </c>
      <c r="K471" s="10" t="s">
        <v>40</v>
      </c>
      <c r="L471" s="10">
        <v>0</v>
      </c>
      <c r="M471" s="10">
        <f t="shared" si="40"/>
        <v>0</v>
      </c>
      <c r="N471" s="10">
        <v>10</v>
      </c>
      <c r="O471" s="12">
        <v>1</v>
      </c>
      <c r="P471" s="11">
        <v>6130</v>
      </c>
      <c r="Q471" s="10" t="s">
        <v>31</v>
      </c>
      <c r="R471" s="4" t="s">
        <v>1285</v>
      </c>
      <c r="S471" s="4" t="s">
        <v>507</v>
      </c>
      <c r="T471" s="4" t="s">
        <v>19</v>
      </c>
      <c r="U471" s="4" t="str">
        <f t="shared" si="37"/>
        <v>NOT AN ADD-ON</v>
      </c>
      <c r="V471" s="4" t="str">
        <f t="shared" si="39"/>
        <v>SCHEDULERADD-ONAUTHORIZEDNOT AN ADD-ON</v>
      </c>
    </row>
    <row r="472" spans="1:22" ht="15" thickBot="1">
      <c r="A472" s="10" t="s">
        <v>21</v>
      </c>
      <c r="B472" s="10" t="s">
        <v>22</v>
      </c>
      <c r="C472" s="10" t="s">
        <v>301</v>
      </c>
      <c r="D472" s="10" t="s">
        <v>141</v>
      </c>
      <c r="E472" s="10" t="s">
        <v>142</v>
      </c>
      <c r="F472" s="10" t="s">
        <v>143</v>
      </c>
      <c r="G472" s="11">
        <v>1220</v>
      </c>
      <c r="H472" s="163" t="s">
        <v>320</v>
      </c>
      <c r="I472" s="158" t="s">
        <v>321</v>
      </c>
      <c r="J472" s="163" t="s">
        <v>322</v>
      </c>
      <c r="K472" s="10" t="s">
        <v>40</v>
      </c>
      <c r="L472" s="10">
        <v>0</v>
      </c>
      <c r="M472" s="10">
        <f t="shared" si="40"/>
        <v>0</v>
      </c>
      <c r="N472" s="10">
        <v>10</v>
      </c>
      <c r="O472" s="12">
        <v>1</v>
      </c>
      <c r="P472" s="11">
        <v>6130</v>
      </c>
      <c r="Q472" s="10" t="s">
        <v>31</v>
      </c>
      <c r="R472" s="4" t="s">
        <v>1285</v>
      </c>
      <c r="S472" s="4" t="s">
        <v>507</v>
      </c>
      <c r="T472" s="4" t="s">
        <v>19</v>
      </c>
      <c r="U472" s="4" t="str">
        <f t="shared" si="37"/>
        <v>NOT AN ADD-ON</v>
      </c>
      <c r="V472" s="4" t="str">
        <f t="shared" si="39"/>
        <v>SCHEDULERADD-ONAUTHORIZEDNOT AN ADD-ON</v>
      </c>
    </row>
    <row r="473" spans="1:22" ht="15" thickBot="1">
      <c r="A473" s="10" t="s">
        <v>21</v>
      </c>
      <c r="B473" s="10" t="s">
        <v>22</v>
      </c>
      <c r="C473" s="10" t="s">
        <v>986</v>
      </c>
      <c r="D473" s="10" t="s">
        <v>141</v>
      </c>
      <c r="E473" s="10" t="s">
        <v>142</v>
      </c>
      <c r="F473" s="10" t="s">
        <v>143</v>
      </c>
      <c r="G473" s="11">
        <v>1630</v>
      </c>
      <c r="H473" s="163" t="s">
        <v>987</v>
      </c>
      <c r="I473" s="158" t="s">
        <v>988</v>
      </c>
      <c r="J473" s="163" t="s">
        <v>989</v>
      </c>
      <c r="K473" s="10" t="s">
        <v>40</v>
      </c>
      <c r="L473" s="10">
        <v>15</v>
      </c>
      <c r="M473" s="10">
        <f t="shared" si="40"/>
        <v>15</v>
      </c>
      <c r="N473" s="10">
        <v>15</v>
      </c>
      <c r="O473" s="12">
        <v>1</v>
      </c>
      <c r="P473" s="11">
        <v>8160</v>
      </c>
      <c r="Q473" s="10" t="s">
        <v>31</v>
      </c>
      <c r="R473" s="4" t="s">
        <v>1289</v>
      </c>
      <c r="S473" s="4" t="s">
        <v>507</v>
      </c>
      <c r="T473" s="4" t="s">
        <v>19</v>
      </c>
      <c r="U473" s="4" t="str">
        <f t="shared" si="37"/>
        <v>NOT AN ADD-ON</v>
      </c>
      <c r="V473" s="4" t="str">
        <f t="shared" si="39"/>
        <v>SAFETY AND ENVIRONMENT MANAGERADD-ONAUTHORIZEDNOT AN ADD-ON</v>
      </c>
    </row>
    <row r="474" spans="1:22" ht="15" thickBot="1">
      <c r="A474" s="10" t="s">
        <v>21</v>
      </c>
      <c r="B474" s="10" t="s">
        <v>22</v>
      </c>
      <c r="C474" s="10" t="s">
        <v>986</v>
      </c>
      <c r="D474" s="10" t="s">
        <v>141</v>
      </c>
      <c r="E474" s="10" t="s">
        <v>142</v>
      </c>
      <c r="F474" s="10" t="s">
        <v>143</v>
      </c>
      <c r="G474" s="11">
        <v>1630</v>
      </c>
      <c r="H474" s="163" t="s">
        <v>1008</v>
      </c>
      <c r="I474" s="158" t="s">
        <v>1009</v>
      </c>
      <c r="J474" s="163" t="s">
        <v>1007</v>
      </c>
      <c r="K474" s="10" t="s">
        <v>40</v>
      </c>
      <c r="L474" s="10">
        <v>15</v>
      </c>
      <c r="M474" s="10">
        <f t="shared" si="40"/>
        <v>15</v>
      </c>
      <c r="N474" s="10">
        <v>15</v>
      </c>
      <c r="O474" s="12">
        <v>1</v>
      </c>
      <c r="P474" s="11">
        <v>8160</v>
      </c>
      <c r="Q474" s="10" t="s">
        <v>31</v>
      </c>
      <c r="R474" s="4" t="s">
        <v>1293</v>
      </c>
      <c r="S474" s="4" t="s">
        <v>1383</v>
      </c>
      <c r="T474" s="4" t="s">
        <v>19</v>
      </c>
      <c r="U474" s="4" t="str">
        <f t="shared" si="37"/>
        <v>NOT AN ADD-ON</v>
      </c>
      <c r="V474" s="4" t="str">
        <f t="shared" si="39"/>
        <v>HEALTH SAFETY AND ENVIRONMENT MANAGERHSEAUTHORIZEDNOT AN ADD-ON</v>
      </c>
    </row>
    <row r="475" spans="1:22" ht="15" thickBot="1">
      <c r="A475" s="10" t="s">
        <v>21</v>
      </c>
      <c r="B475" s="10" t="s">
        <v>22</v>
      </c>
      <c r="C475" s="10" t="s">
        <v>686</v>
      </c>
      <c r="D475" s="10" t="s">
        <v>687</v>
      </c>
      <c r="E475" s="10" t="s">
        <v>688</v>
      </c>
      <c r="F475" s="10" t="s">
        <v>689</v>
      </c>
      <c r="G475" s="11">
        <v>4680</v>
      </c>
      <c r="H475" s="163" t="s">
        <v>724</v>
      </c>
      <c r="I475" s="158" t="s">
        <v>725</v>
      </c>
      <c r="J475" s="163" t="s">
        <v>726</v>
      </c>
      <c r="K475" s="10" t="s">
        <v>40</v>
      </c>
      <c r="L475" s="10">
        <v>15</v>
      </c>
      <c r="M475" s="10">
        <f t="shared" si="40"/>
        <v>15</v>
      </c>
      <c r="N475" s="10">
        <v>15</v>
      </c>
      <c r="O475" s="12">
        <v>1</v>
      </c>
      <c r="P475" s="11">
        <v>23400</v>
      </c>
      <c r="Q475" s="10" t="s">
        <v>31</v>
      </c>
      <c r="R475" s="4" t="s">
        <v>1282</v>
      </c>
      <c r="S475" s="4" t="s">
        <v>1279</v>
      </c>
      <c r="T475" s="4" t="s">
        <v>19</v>
      </c>
      <c r="U475" s="4" t="str">
        <f t="shared" si="37"/>
        <v>NOT AN ADD-ON</v>
      </c>
      <c r="V475" s="4" t="str">
        <f t="shared" si="39"/>
        <v>OIL AND GASINDUSTRY SOLUTIONAUTHORIZEDNOT AN ADD-ON</v>
      </c>
    </row>
    <row r="476" spans="1:22" ht="15" thickBot="1">
      <c r="A476" s="10" t="s">
        <v>21</v>
      </c>
      <c r="B476" s="10" t="s">
        <v>22</v>
      </c>
      <c r="C476" s="10" t="s">
        <v>686</v>
      </c>
      <c r="D476" s="10" t="s">
        <v>687</v>
      </c>
      <c r="E476" s="10" t="s">
        <v>688</v>
      </c>
      <c r="F476" s="10" t="s">
        <v>689</v>
      </c>
      <c r="G476" s="11">
        <v>4680</v>
      </c>
      <c r="H476" s="163" t="s">
        <v>735</v>
      </c>
      <c r="I476" s="158" t="s">
        <v>736</v>
      </c>
      <c r="J476" s="163" t="s">
        <v>732</v>
      </c>
      <c r="K476" s="10" t="s">
        <v>40</v>
      </c>
      <c r="L476" s="10">
        <v>15</v>
      </c>
      <c r="M476" s="10">
        <f t="shared" si="40"/>
        <v>15</v>
      </c>
      <c r="N476" s="10">
        <v>15</v>
      </c>
      <c r="O476" s="12">
        <v>1</v>
      </c>
      <c r="P476" s="11">
        <v>23400</v>
      </c>
      <c r="Q476" s="10" t="s">
        <v>31</v>
      </c>
      <c r="R476" s="4" t="s">
        <v>1282</v>
      </c>
      <c r="S476" s="4" t="s">
        <v>1279</v>
      </c>
      <c r="T476" s="4" t="s">
        <v>19</v>
      </c>
      <c r="U476" s="4" t="str">
        <f t="shared" si="37"/>
        <v>NOT AN ADD-ON</v>
      </c>
      <c r="V476" s="4" t="str">
        <f t="shared" si="39"/>
        <v>OIL AND GASINDUSTRY SOLUTIONAUTHORIZEDNOT AN ADD-ON</v>
      </c>
    </row>
    <row r="477" spans="1:22" ht="15" thickBot="1">
      <c r="A477" s="10" t="s">
        <v>21</v>
      </c>
      <c r="B477" s="10" t="s">
        <v>22</v>
      </c>
      <c r="C477" s="10" t="s">
        <v>686</v>
      </c>
      <c r="D477" s="10" t="s">
        <v>687</v>
      </c>
      <c r="E477" s="10" t="s">
        <v>688</v>
      </c>
      <c r="F477" s="10" t="s">
        <v>689</v>
      </c>
      <c r="G477" s="11">
        <v>1320</v>
      </c>
      <c r="H477" s="163" t="s">
        <v>696</v>
      </c>
      <c r="I477" s="158" t="s">
        <v>697</v>
      </c>
      <c r="J477" s="163" t="s">
        <v>698</v>
      </c>
      <c r="K477" s="10" t="s">
        <v>40</v>
      </c>
      <c r="L477" s="10">
        <v>5</v>
      </c>
      <c r="M477" s="10">
        <f t="shared" si="40"/>
        <v>5</v>
      </c>
      <c r="N477" s="10">
        <v>15</v>
      </c>
      <c r="O477" s="12">
        <v>1</v>
      </c>
      <c r="P477" s="11">
        <v>6570</v>
      </c>
      <c r="Q477" s="10" t="s">
        <v>31</v>
      </c>
      <c r="R477" s="4" t="s">
        <v>1282</v>
      </c>
      <c r="S477" s="4" t="s">
        <v>1279</v>
      </c>
      <c r="T477" s="4" t="s">
        <v>19</v>
      </c>
      <c r="U477" s="4" t="s">
        <v>507</v>
      </c>
      <c r="V477" s="4" t="str">
        <f t="shared" si="39"/>
        <v>OIL AND GASINDUSTRY SOLUTIONAUTHORIZEDADD-ON</v>
      </c>
    </row>
    <row r="478" spans="1:22" ht="15" thickBot="1">
      <c r="A478" s="10" t="s">
        <v>21</v>
      </c>
      <c r="B478" s="10" t="s">
        <v>22</v>
      </c>
      <c r="C478" s="10" t="s">
        <v>686</v>
      </c>
      <c r="D478" s="10" t="s">
        <v>687</v>
      </c>
      <c r="E478" s="10" t="s">
        <v>688</v>
      </c>
      <c r="F478" s="10" t="s">
        <v>689</v>
      </c>
      <c r="G478" s="11">
        <v>1320</v>
      </c>
      <c r="H478" s="163" t="s">
        <v>705</v>
      </c>
      <c r="I478" s="158" t="s">
        <v>706</v>
      </c>
      <c r="J478" s="163" t="s">
        <v>704</v>
      </c>
      <c r="K478" s="10" t="s">
        <v>40</v>
      </c>
      <c r="L478" s="10">
        <v>5</v>
      </c>
      <c r="M478" s="10">
        <f t="shared" si="40"/>
        <v>5</v>
      </c>
      <c r="N478" s="10">
        <v>15</v>
      </c>
      <c r="O478" s="12">
        <v>1</v>
      </c>
      <c r="P478" s="11">
        <v>6570</v>
      </c>
      <c r="Q478" s="10" t="s">
        <v>31</v>
      </c>
      <c r="R478" s="4" t="s">
        <v>1282</v>
      </c>
      <c r="S478" s="4" t="s">
        <v>1279</v>
      </c>
      <c r="T478" s="4" t="s">
        <v>19</v>
      </c>
      <c r="U478" s="4" t="str">
        <f>IF(ISNUMBER(SEARCH("ADD-ON",$I478)),"ADD-ON","NOT AN ADD-ON")</f>
        <v>ADD-ON</v>
      </c>
      <c r="V478" s="4" t="str">
        <f t="shared" si="39"/>
        <v>OIL AND GASINDUSTRY SOLUTIONAUTHORIZEDADD-ON</v>
      </c>
    </row>
    <row r="479" spans="1:22" ht="15" thickBot="1">
      <c r="A479" s="10" t="s">
        <v>21</v>
      </c>
      <c r="B479" s="10" t="s">
        <v>22</v>
      </c>
      <c r="C479" s="10" t="s">
        <v>870</v>
      </c>
      <c r="D479" s="10" t="s">
        <v>871</v>
      </c>
      <c r="E479" s="10" t="s">
        <v>872</v>
      </c>
      <c r="F479" s="10" t="s">
        <v>873</v>
      </c>
      <c r="G479" s="11">
        <v>4680</v>
      </c>
      <c r="H479" s="163" t="s">
        <v>908</v>
      </c>
      <c r="I479" s="158" t="s">
        <v>909</v>
      </c>
      <c r="J479" s="163" t="s">
        <v>910</v>
      </c>
      <c r="K479" s="10" t="s">
        <v>40</v>
      </c>
      <c r="L479" s="10">
        <v>15</v>
      </c>
      <c r="M479" s="10">
        <f t="shared" si="40"/>
        <v>15</v>
      </c>
      <c r="N479" s="10">
        <v>15</v>
      </c>
      <c r="O479" s="12">
        <v>1</v>
      </c>
      <c r="P479" s="11">
        <v>23400</v>
      </c>
      <c r="Q479" s="10" t="s">
        <v>31</v>
      </c>
      <c r="R479" s="4" t="s">
        <v>1284</v>
      </c>
      <c r="S479" s="4" t="s">
        <v>1279</v>
      </c>
      <c r="T479" s="4" t="s">
        <v>19</v>
      </c>
      <c r="U479" s="4" t="str">
        <f>IF(ISNUMBER(SEARCH("ADD-ON",$I479)),"ADD-ON","NOT AN ADD-ON")</f>
        <v>NOT AN ADD-ON</v>
      </c>
      <c r="V479" s="4" t="str">
        <f t="shared" si="39"/>
        <v>UTILITIESINDUSTRY SOLUTIONAUTHORIZEDNOT AN ADD-ON</v>
      </c>
    </row>
    <row r="480" spans="1:22" ht="15" thickBot="1">
      <c r="A480" s="10" t="s">
        <v>21</v>
      </c>
      <c r="B480" s="10" t="s">
        <v>22</v>
      </c>
      <c r="C480" s="10" t="s">
        <v>870</v>
      </c>
      <c r="D480" s="10" t="s">
        <v>871</v>
      </c>
      <c r="E480" s="10" t="s">
        <v>872</v>
      </c>
      <c r="F480" s="10" t="s">
        <v>873</v>
      </c>
      <c r="G480" s="11">
        <v>4680</v>
      </c>
      <c r="H480" s="163" t="s">
        <v>914</v>
      </c>
      <c r="I480" s="158" t="s">
        <v>915</v>
      </c>
      <c r="J480" s="163" t="s">
        <v>916</v>
      </c>
      <c r="K480" s="10" t="s">
        <v>40</v>
      </c>
      <c r="L480" s="10">
        <v>15</v>
      </c>
      <c r="M480" s="10">
        <f t="shared" si="40"/>
        <v>15</v>
      </c>
      <c r="N480" s="10">
        <v>15</v>
      </c>
      <c r="O480" s="12">
        <v>1</v>
      </c>
      <c r="P480" s="11">
        <v>23400</v>
      </c>
      <c r="Q480" s="10" t="s">
        <v>31</v>
      </c>
      <c r="R480" s="4" t="s">
        <v>1284</v>
      </c>
      <c r="S480" s="4" t="s">
        <v>1279</v>
      </c>
      <c r="T480" s="4" t="s">
        <v>19</v>
      </c>
      <c r="U480" s="4" t="str">
        <f>IF(ISNUMBER(SEARCH("ADD-ON",$I480)),"ADD-ON","NOT AN ADD-ON")</f>
        <v>NOT AN ADD-ON</v>
      </c>
      <c r="V480" s="4" t="str">
        <f t="shared" si="39"/>
        <v>UTILITIESINDUSTRY SOLUTIONAUTHORIZEDNOT AN ADD-ON</v>
      </c>
    </row>
    <row r="481" spans="1:22" ht="15" thickBot="1">
      <c r="A481" s="10" t="s">
        <v>21</v>
      </c>
      <c r="B481" s="10" t="s">
        <v>22</v>
      </c>
      <c r="C481" s="10" t="s">
        <v>870</v>
      </c>
      <c r="D481" s="10" t="s">
        <v>871</v>
      </c>
      <c r="E481" s="10" t="s">
        <v>872</v>
      </c>
      <c r="F481" s="10" t="s">
        <v>873</v>
      </c>
      <c r="G481" s="11">
        <v>1320</v>
      </c>
      <c r="H481" s="163" t="s">
        <v>880</v>
      </c>
      <c r="I481" s="158" t="s">
        <v>881</v>
      </c>
      <c r="J481" s="163" t="s">
        <v>882</v>
      </c>
      <c r="K481" s="10" t="s">
        <v>40</v>
      </c>
      <c r="L481" s="10">
        <v>5</v>
      </c>
      <c r="M481" s="10">
        <f t="shared" si="40"/>
        <v>5</v>
      </c>
      <c r="N481" s="10">
        <v>15</v>
      </c>
      <c r="O481" s="12">
        <v>1</v>
      </c>
      <c r="P481" s="11">
        <v>6570</v>
      </c>
      <c r="Q481" s="10" t="s">
        <v>31</v>
      </c>
      <c r="R481" s="4" t="s">
        <v>1284</v>
      </c>
      <c r="S481" s="4" t="s">
        <v>1279</v>
      </c>
      <c r="T481" s="4" t="s">
        <v>19</v>
      </c>
      <c r="U481" s="4" t="s">
        <v>507</v>
      </c>
      <c r="V481" s="4" t="str">
        <f t="shared" si="39"/>
        <v>UTILITIESINDUSTRY SOLUTIONAUTHORIZEDADD-ON</v>
      </c>
    </row>
    <row r="482" spans="1:22" ht="15" thickBot="1">
      <c r="A482" s="10" t="s">
        <v>21</v>
      </c>
      <c r="B482" s="10" t="s">
        <v>22</v>
      </c>
      <c r="C482" s="10" t="s">
        <v>870</v>
      </c>
      <c r="D482" s="10" t="s">
        <v>871</v>
      </c>
      <c r="E482" s="10" t="s">
        <v>872</v>
      </c>
      <c r="F482" s="10" t="s">
        <v>873</v>
      </c>
      <c r="G482" s="11">
        <v>1320</v>
      </c>
      <c r="H482" s="163" t="s">
        <v>891</v>
      </c>
      <c r="I482" s="158" t="s">
        <v>892</v>
      </c>
      <c r="J482" s="163" t="s">
        <v>888</v>
      </c>
      <c r="K482" s="10" t="s">
        <v>40</v>
      </c>
      <c r="L482" s="10">
        <v>5</v>
      </c>
      <c r="M482" s="10">
        <f t="shared" si="40"/>
        <v>5</v>
      </c>
      <c r="N482" s="10">
        <v>15</v>
      </c>
      <c r="O482" s="12">
        <v>1</v>
      </c>
      <c r="P482" s="11">
        <v>6570</v>
      </c>
      <c r="Q482" s="10" t="s">
        <v>31</v>
      </c>
      <c r="R482" s="4" t="s">
        <v>1284</v>
      </c>
      <c r="S482" s="4" t="s">
        <v>1279</v>
      </c>
      <c r="T482" s="4" t="s">
        <v>19</v>
      </c>
      <c r="U482" s="4" t="str">
        <f t="shared" ref="U482:U496" si="41">IF(ISNUMBER(SEARCH("ADD-ON",$I482)),"ADD-ON","NOT AN ADD-ON")</f>
        <v>ADD-ON</v>
      </c>
      <c r="V482" s="4" t="str">
        <f t="shared" si="39"/>
        <v>UTILITIESINDUSTRY SOLUTIONAUTHORIZEDADD-ON</v>
      </c>
    </row>
    <row r="483" spans="1:22" ht="15" thickBot="1">
      <c r="A483" s="10" t="s">
        <v>21</v>
      </c>
      <c r="B483" s="10" t="s">
        <v>22</v>
      </c>
      <c r="C483" s="10" t="s">
        <v>94</v>
      </c>
      <c r="D483" s="10" t="s">
        <v>95</v>
      </c>
      <c r="E483" s="10" t="s">
        <v>96</v>
      </c>
      <c r="F483" s="10" t="s">
        <v>97</v>
      </c>
      <c r="G483" s="11">
        <v>3500</v>
      </c>
      <c r="H483" s="163" t="s">
        <v>112</v>
      </c>
      <c r="I483" s="158" t="s">
        <v>113</v>
      </c>
      <c r="J483" s="163" t="s">
        <v>114</v>
      </c>
      <c r="K483" s="10" t="s">
        <v>40</v>
      </c>
      <c r="L483" s="10">
        <v>15</v>
      </c>
      <c r="M483" s="10">
        <f t="shared" si="40"/>
        <v>15</v>
      </c>
      <c r="N483" s="10">
        <v>15</v>
      </c>
      <c r="O483" s="12">
        <v>1</v>
      </c>
      <c r="P483" s="11">
        <v>17500</v>
      </c>
      <c r="Q483" s="10" t="s">
        <v>31</v>
      </c>
      <c r="R483" s="4" t="s">
        <v>1294</v>
      </c>
      <c r="S483" s="4" t="s">
        <v>1379</v>
      </c>
      <c r="T483" s="4" t="s">
        <v>19</v>
      </c>
      <c r="U483" s="4" t="str">
        <f t="shared" si="41"/>
        <v>NOT AN ADD-ON</v>
      </c>
      <c r="V483" s="4" t="str">
        <f t="shared" si="39"/>
        <v>ASSET CONFIGURATION MANAGERACMAUTHORIZEDNOT AN ADD-ON</v>
      </c>
    </row>
    <row r="484" spans="1:22" ht="15" thickBot="1">
      <c r="A484" s="10" t="s">
        <v>21</v>
      </c>
      <c r="B484" s="10" t="s">
        <v>22</v>
      </c>
      <c r="C484" s="10" t="s">
        <v>94</v>
      </c>
      <c r="D484" s="10" t="s">
        <v>95</v>
      </c>
      <c r="E484" s="10" t="s">
        <v>96</v>
      </c>
      <c r="F484" s="10" t="s">
        <v>97</v>
      </c>
      <c r="G484" s="11">
        <v>3500</v>
      </c>
      <c r="H484" s="163" t="s">
        <v>121</v>
      </c>
      <c r="I484" s="158" t="s">
        <v>122</v>
      </c>
      <c r="J484" s="163" t="s">
        <v>120</v>
      </c>
      <c r="K484" s="10" t="s">
        <v>40</v>
      </c>
      <c r="L484" s="10">
        <v>15</v>
      </c>
      <c r="M484" s="10">
        <f t="shared" si="40"/>
        <v>15</v>
      </c>
      <c r="N484" s="10">
        <v>15</v>
      </c>
      <c r="O484" s="12">
        <v>1</v>
      </c>
      <c r="P484" s="11">
        <v>17500</v>
      </c>
      <c r="Q484" s="10" t="s">
        <v>31</v>
      </c>
      <c r="R484" s="4" t="s">
        <v>1294</v>
      </c>
      <c r="S484" s="4" t="s">
        <v>1379</v>
      </c>
      <c r="T484" s="4" t="s">
        <v>19</v>
      </c>
      <c r="U484" s="4" t="str">
        <f t="shared" si="41"/>
        <v>NOT AN ADD-ON</v>
      </c>
      <c r="V484" s="4" t="str">
        <f t="shared" si="39"/>
        <v>ASSET CONFIGURATION MANAGERACMAUTHORIZEDNOT AN ADD-ON</v>
      </c>
    </row>
    <row r="485" spans="1:22" ht="15" thickBot="1">
      <c r="A485" s="10" t="s">
        <v>21</v>
      </c>
      <c r="B485" s="10" t="s">
        <v>22</v>
      </c>
      <c r="C485" s="10" t="s">
        <v>23</v>
      </c>
      <c r="D485" s="10" t="s">
        <v>24</v>
      </c>
      <c r="E485" s="10" t="s">
        <v>25</v>
      </c>
      <c r="F485" s="10" t="s">
        <v>26</v>
      </c>
      <c r="G485" s="11">
        <v>1410</v>
      </c>
      <c r="H485" s="163" t="s">
        <v>62</v>
      </c>
      <c r="I485" s="158" t="s">
        <v>63</v>
      </c>
      <c r="J485" s="163" t="s">
        <v>64</v>
      </c>
      <c r="K485" s="10" t="s">
        <v>40</v>
      </c>
      <c r="L485" s="10">
        <v>5</v>
      </c>
      <c r="M485" s="10">
        <f t="shared" si="40"/>
        <v>5</v>
      </c>
      <c r="N485" s="10">
        <v>5</v>
      </c>
      <c r="O485" s="12">
        <v>1</v>
      </c>
      <c r="P485" s="11">
        <v>7030</v>
      </c>
      <c r="Q485" s="10" t="s">
        <v>31</v>
      </c>
      <c r="R485" s="4" t="s">
        <v>42</v>
      </c>
      <c r="S485" s="4" t="s">
        <v>42</v>
      </c>
      <c r="T485" s="4" t="s">
        <v>19</v>
      </c>
      <c r="U485" s="4" t="str">
        <f t="shared" si="41"/>
        <v>NOT AN ADD-ON</v>
      </c>
      <c r="V485" s="4" t="str">
        <f t="shared" si="39"/>
        <v>ANYWHEREANYWHEREAUTHORIZEDNOT AN ADD-ON</v>
      </c>
    </row>
    <row r="486" spans="1:22" ht="29.25" customHeight="1" thickBot="1">
      <c r="A486" s="10" t="s">
        <v>21</v>
      </c>
      <c r="B486" s="10" t="s">
        <v>22</v>
      </c>
      <c r="C486" s="10" t="s">
        <v>23</v>
      </c>
      <c r="D486" s="10" t="s">
        <v>24</v>
      </c>
      <c r="E486" s="10" t="s">
        <v>25</v>
      </c>
      <c r="F486" s="10" t="s">
        <v>26</v>
      </c>
      <c r="G486" s="11">
        <v>1410</v>
      </c>
      <c r="H486" s="163" t="s">
        <v>70</v>
      </c>
      <c r="I486" s="158" t="s">
        <v>71</v>
      </c>
      <c r="J486" s="163" t="s">
        <v>72</v>
      </c>
      <c r="K486" s="10" t="s">
        <v>40</v>
      </c>
      <c r="L486" s="10">
        <v>5</v>
      </c>
      <c r="M486" s="10">
        <f t="shared" si="40"/>
        <v>5</v>
      </c>
      <c r="N486" s="10">
        <v>5</v>
      </c>
      <c r="O486" s="12">
        <v>1</v>
      </c>
      <c r="P486" s="11">
        <v>7030</v>
      </c>
      <c r="Q486" s="10" t="s">
        <v>31</v>
      </c>
      <c r="R486" s="4" t="s">
        <v>42</v>
      </c>
      <c r="S486" s="4" t="s">
        <v>42</v>
      </c>
      <c r="T486" s="4" t="s">
        <v>19</v>
      </c>
      <c r="U486" s="4" t="str">
        <f t="shared" si="41"/>
        <v>NOT AN ADD-ON</v>
      </c>
      <c r="V486" s="4" t="str">
        <f t="shared" si="39"/>
        <v>ANYWHEREANYWHEREAUTHORIZEDNOT AN ADD-ON</v>
      </c>
    </row>
    <row r="487" spans="1:22" ht="15" thickBot="1">
      <c r="A487" s="10" t="s">
        <v>21</v>
      </c>
      <c r="B487" s="10" t="s">
        <v>22</v>
      </c>
      <c r="C487" s="10" t="s">
        <v>23</v>
      </c>
      <c r="D487" s="10" t="s">
        <v>24</v>
      </c>
      <c r="E487" s="10" t="s">
        <v>25</v>
      </c>
      <c r="F487" s="10" t="s">
        <v>26</v>
      </c>
      <c r="G487" s="11">
        <v>852</v>
      </c>
      <c r="H487" s="163" t="s">
        <v>37</v>
      </c>
      <c r="I487" s="158" t="s">
        <v>38</v>
      </c>
      <c r="J487" s="163" t="s">
        <v>39</v>
      </c>
      <c r="K487" s="10" t="s">
        <v>40</v>
      </c>
      <c r="L487" s="10">
        <v>0</v>
      </c>
      <c r="M487" s="10">
        <f t="shared" si="40"/>
        <v>0</v>
      </c>
      <c r="N487" s="10">
        <v>5</v>
      </c>
      <c r="O487" s="12">
        <v>1</v>
      </c>
      <c r="P487" s="11">
        <v>4260</v>
      </c>
      <c r="Q487" s="10" t="s">
        <v>31</v>
      </c>
      <c r="R487" s="4" t="s">
        <v>42</v>
      </c>
      <c r="S487" s="4" t="s">
        <v>42</v>
      </c>
      <c r="T487" s="4" t="s">
        <v>19</v>
      </c>
      <c r="U487" s="4" t="str">
        <f t="shared" si="41"/>
        <v>ADD-ON</v>
      </c>
      <c r="V487" s="4" t="str">
        <f t="shared" si="39"/>
        <v>ANYWHEREANYWHEREAUTHORIZEDADD-ON</v>
      </c>
    </row>
    <row r="488" spans="1:22" ht="15" thickBot="1">
      <c r="A488" s="10" t="s">
        <v>21</v>
      </c>
      <c r="B488" s="10" t="s">
        <v>22</v>
      </c>
      <c r="C488" s="10" t="s">
        <v>23</v>
      </c>
      <c r="D488" s="10" t="s">
        <v>24</v>
      </c>
      <c r="E488" s="10" t="s">
        <v>25</v>
      </c>
      <c r="F488" s="10" t="s">
        <v>26</v>
      </c>
      <c r="G488" s="11">
        <v>852</v>
      </c>
      <c r="H488" s="163" t="s">
        <v>49</v>
      </c>
      <c r="I488" s="158" t="s">
        <v>50</v>
      </c>
      <c r="J488" s="163" t="s">
        <v>47</v>
      </c>
      <c r="K488" s="10" t="s">
        <v>40</v>
      </c>
      <c r="L488" s="10">
        <v>0</v>
      </c>
      <c r="M488" s="10">
        <f t="shared" si="40"/>
        <v>0</v>
      </c>
      <c r="N488" s="10">
        <v>5</v>
      </c>
      <c r="O488" s="12">
        <v>1</v>
      </c>
      <c r="P488" s="11">
        <v>4260</v>
      </c>
      <c r="Q488" s="10" t="s">
        <v>31</v>
      </c>
      <c r="R488" s="4" t="s">
        <v>42</v>
      </c>
      <c r="S488" s="4" t="s">
        <v>42</v>
      </c>
      <c r="T488" s="4" t="s">
        <v>19</v>
      </c>
      <c r="U488" s="4" t="str">
        <f t="shared" si="41"/>
        <v>ADD-ON</v>
      </c>
      <c r="V488" s="4" t="str">
        <f t="shared" si="39"/>
        <v>ANYWHEREANYWHEREAUTHORIZEDADD-ON</v>
      </c>
    </row>
    <row r="489" spans="1:22" ht="15" thickBot="1">
      <c r="A489" s="10" t="s">
        <v>21</v>
      </c>
      <c r="B489" s="10" t="s">
        <v>22</v>
      </c>
      <c r="C489" s="10" t="s">
        <v>230</v>
      </c>
      <c r="D489" s="10" t="s">
        <v>141</v>
      </c>
      <c r="E489" s="10" t="s">
        <v>142</v>
      </c>
      <c r="F489" s="10" t="s">
        <v>143</v>
      </c>
      <c r="G489" s="11">
        <v>2170</v>
      </c>
      <c r="H489" s="163" t="s">
        <v>231</v>
      </c>
      <c r="I489" s="158" t="s">
        <v>232</v>
      </c>
      <c r="J489" s="163" t="s">
        <v>233</v>
      </c>
      <c r="K489" s="10" t="s">
        <v>40</v>
      </c>
      <c r="L489" s="10">
        <v>5</v>
      </c>
      <c r="M489" s="10">
        <f t="shared" si="40"/>
        <v>5</v>
      </c>
      <c r="N489" s="10">
        <v>15</v>
      </c>
      <c r="O489" s="12">
        <v>1</v>
      </c>
      <c r="P489" s="11">
        <v>10900</v>
      </c>
      <c r="Q489" s="10" t="s">
        <v>31</v>
      </c>
      <c r="R489" s="4" t="s">
        <v>234</v>
      </c>
      <c r="S489" s="4" t="s">
        <v>235</v>
      </c>
      <c r="T489" s="4" t="s">
        <v>19</v>
      </c>
      <c r="U489" s="4" t="str">
        <f t="shared" si="41"/>
        <v>NOT AN ADD-ON</v>
      </c>
      <c r="V489" s="4" t="str">
        <f t="shared" si="39"/>
        <v>MANAGED SERVICE PROVIDERSMSPAUTHORIZEDNOT AN ADD-ON</v>
      </c>
    </row>
    <row r="490" spans="1:22" ht="15" thickBot="1">
      <c r="A490" s="10" t="s">
        <v>21</v>
      </c>
      <c r="B490" s="10" t="s">
        <v>22</v>
      </c>
      <c r="C490" s="10" t="s">
        <v>230</v>
      </c>
      <c r="D490" s="10" t="s">
        <v>141</v>
      </c>
      <c r="E490" s="10" t="s">
        <v>142</v>
      </c>
      <c r="F490" s="10" t="s">
        <v>143</v>
      </c>
      <c r="G490" s="11">
        <v>2170</v>
      </c>
      <c r="H490" s="163" t="s">
        <v>239</v>
      </c>
      <c r="I490" s="166" t="s">
        <v>240</v>
      </c>
      <c r="J490" s="163" t="s">
        <v>241</v>
      </c>
      <c r="K490" s="10" t="s">
        <v>40</v>
      </c>
      <c r="L490" s="10">
        <v>5</v>
      </c>
      <c r="M490" s="10">
        <f t="shared" si="40"/>
        <v>5</v>
      </c>
      <c r="N490" s="10">
        <v>15</v>
      </c>
      <c r="O490" s="12">
        <v>1</v>
      </c>
      <c r="P490" s="11">
        <v>10900</v>
      </c>
      <c r="Q490" s="10" t="s">
        <v>31</v>
      </c>
      <c r="R490" s="4" t="s">
        <v>234</v>
      </c>
      <c r="S490" s="4" t="s">
        <v>235</v>
      </c>
      <c r="T490" s="4" t="s">
        <v>19</v>
      </c>
      <c r="U490" s="4" t="str">
        <f t="shared" si="41"/>
        <v>NOT AN ADD-ON</v>
      </c>
      <c r="V490" s="4" t="str">
        <f t="shared" si="39"/>
        <v>MANAGED SERVICE PROVIDERSMSPAUTHORIZEDNOT AN ADD-ON</v>
      </c>
    </row>
    <row r="491" spans="1:22" ht="15" thickBot="1">
      <c r="A491" s="10" t="s">
        <v>21</v>
      </c>
      <c r="B491" s="10" t="s">
        <v>22</v>
      </c>
      <c r="C491" s="10" t="s">
        <v>204</v>
      </c>
      <c r="D491" s="10" t="s">
        <v>141</v>
      </c>
      <c r="E491" s="10" t="s">
        <v>142</v>
      </c>
      <c r="F491" s="10" t="s">
        <v>143</v>
      </c>
      <c r="G491" s="11">
        <v>653</v>
      </c>
      <c r="H491" s="163" t="s">
        <v>205</v>
      </c>
      <c r="I491" s="158" t="s">
        <v>206</v>
      </c>
      <c r="J491" s="163" t="s">
        <v>207</v>
      </c>
      <c r="K491" s="10" t="s">
        <v>40</v>
      </c>
      <c r="L491" s="10">
        <v>5</v>
      </c>
      <c r="M491" s="10">
        <f t="shared" si="40"/>
        <v>5</v>
      </c>
      <c r="N491" s="10">
        <v>15</v>
      </c>
      <c r="O491" s="12">
        <v>1</v>
      </c>
      <c r="P491" s="11">
        <v>3270</v>
      </c>
      <c r="Q491" s="10" t="s">
        <v>31</v>
      </c>
      <c r="R491" s="4" t="s">
        <v>208</v>
      </c>
      <c r="S491" s="4" t="s">
        <v>1278</v>
      </c>
      <c r="T491" s="4" t="s">
        <v>19</v>
      </c>
      <c r="U491" s="4" t="str">
        <f t="shared" si="41"/>
        <v>NOT AN ADD-ON</v>
      </c>
      <c r="V491" s="4" t="str">
        <f t="shared" si="39"/>
        <v>INTERNAL SERVICE PROVIDERSASSET MANAGEMENT (CORE)AUTHORIZEDNOT AN ADD-ON</v>
      </c>
    </row>
    <row r="492" spans="1:22" ht="15" thickBot="1">
      <c r="A492" s="10" t="s">
        <v>21</v>
      </c>
      <c r="B492" s="10" t="s">
        <v>22</v>
      </c>
      <c r="C492" s="10" t="s">
        <v>204</v>
      </c>
      <c r="D492" s="10" t="s">
        <v>141</v>
      </c>
      <c r="E492" s="10" t="s">
        <v>142</v>
      </c>
      <c r="F492" s="10" t="s">
        <v>143</v>
      </c>
      <c r="G492" s="11">
        <v>653</v>
      </c>
      <c r="H492" s="163" t="s">
        <v>212</v>
      </c>
      <c r="I492" s="166" t="s">
        <v>213</v>
      </c>
      <c r="J492" s="163" t="s">
        <v>214</v>
      </c>
      <c r="K492" s="10" t="s">
        <v>40</v>
      </c>
      <c r="L492" s="10">
        <v>5</v>
      </c>
      <c r="M492" s="10">
        <f t="shared" si="40"/>
        <v>5</v>
      </c>
      <c r="N492" s="10">
        <v>15</v>
      </c>
      <c r="O492" s="12">
        <v>1</v>
      </c>
      <c r="P492" s="11">
        <v>3270</v>
      </c>
      <c r="Q492" s="10" t="s">
        <v>31</v>
      </c>
      <c r="R492" s="4" t="s">
        <v>208</v>
      </c>
      <c r="S492" s="4" t="s">
        <v>1278</v>
      </c>
      <c r="T492" s="4" t="s">
        <v>19</v>
      </c>
      <c r="U492" s="4" t="str">
        <f t="shared" si="41"/>
        <v>NOT AN ADD-ON</v>
      </c>
      <c r="V492" s="4" t="str">
        <f t="shared" si="39"/>
        <v>INTERNAL SERVICE PROVIDERSASSET MANAGEMENT (CORE)AUTHORIZEDNOT AN ADD-ON</v>
      </c>
    </row>
    <row r="493" spans="1:22" ht="15" thickBot="1">
      <c r="A493" s="10" t="s">
        <v>21</v>
      </c>
      <c r="B493" s="10" t="s">
        <v>22</v>
      </c>
      <c r="C493" s="10" t="s">
        <v>1015</v>
      </c>
      <c r="D493" s="10" t="s">
        <v>141</v>
      </c>
      <c r="E493" s="10" t="s">
        <v>142</v>
      </c>
      <c r="F493" s="10" t="s">
        <v>143</v>
      </c>
      <c r="G493" s="11">
        <v>434</v>
      </c>
      <c r="H493" s="163" t="s">
        <v>1022</v>
      </c>
      <c r="I493" s="158" t="s">
        <v>1023</v>
      </c>
      <c r="J493" s="163" t="s">
        <v>1024</v>
      </c>
      <c r="K493" s="10" t="s">
        <v>40</v>
      </c>
      <c r="L493" s="10">
        <v>0</v>
      </c>
      <c r="M493" s="10">
        <f t="shared" si="40"/>
        <v>0</v>
      </c>
      <c r="N493" s="10">
        <v>5</v>
      </c>
      <c r="O493" s="12">
        <v>1</v>
      </c>
      <c r="P493" s="11">
        <v>2170</v>
      </c>
      <c r="Q493" s="10" t="s">
        <v>31</v>
      </c>
      <c r="R493" s="4" t="s">
        <v>1290</v>
      </c>
      <c r="S493" s="4" t="s">
        <v>507</v>
      </c>
      <c r="T493" s="4" t="s">
        <v>19</v>
      </c>
      <c r="U493" s="4" t="str">
        <f t="shared" si="41"/>
        <v>NOT AN ADD-ON</v>
      </c>
      <c r="V493" s="4" t="str">
        <f t="shared" si="39"/>
        <v>LINEARADD-ONAUTHORIZEDNOT AN ADD-ON</v>
      </c>
    </row>
    <row r="494" spans="1:22" ht="15" thickBot="1">
      <c r="A494" s="10" t="s">
        <v>21</v>
      </c>
      <c r="B494" s="10" t="s">
        <v>22</v>
      </c>
      <c r="C494" s="10" t="s">
        <v>1015</v>
      </c>
      <c r="D494" s="10" t="s">
        <v>141</v>
      </c>
      <c r="E494" s="10" t="s">
        <v>142</v>
      </c>
      <c r="F494" s="10" t="s">
        <v>143</v>
      </c>
      <c r="G494" s="11">
        <v>434</v>
      </c>
      <c r="H494" s="163" t="s">
        <v>1028</v>
      </c>
      <c r="I494" s="158" t="s">
        <v>1029</v>
      </c>
      <c r="J494" s="163" t="s">
        <v>1030</v>
      </c>
      <c r="K494" s="10" t="s">
        <v>40</v>
      </c>
      <c r="L494" s="10">
        <v>0</v>
      </c>
      <c r="M494" s="10">
        <f t="shared" si="40"/>
        <v>0</v>
      </c>
      <c r="N494" s="10">
        <v>5</v>
      </c>
      <c r="O494" s="12">
        <v>1</v>
      </c>
      <c r="P494" s="11">
        <v>2170</v>
      </c>
      <c r="Q494" s="10" t="s">
        <v>31</v>
      </c>
      <c r="R494" s="4" t="s">
        <v>1290</v>
      </c>
      <c r="S494" s="4" t="s">
        <v>507</v>
      </c>
      <c r="T494" s="4" t="s">
        <v>19</v>
      </c>
      <c r="U494" s="4" t="str">
        <f t="shared" si="41"/>
        <v>NOT AN ADD-ON</v>
      </c>
      <c r="V494" s="4" t="str">
        <f t="shared" si="39"/>
        <v>LINEARADD-ONAUTHORIZEDNOT AN ADD-ON</v>
      </c>
    </row>
    <row r="495" spans="1:22" ht="15" thickBot="1">
      <c r="A495" s="10" t="s">
        <v>21</v>
      </c>
      <c r="B495" s="10" t="s">
        <v>22</v>
      </c>
      <c r="C495" s="10" t="s">
        <v>778</v>
      </c>
      <c r="D495" s="10" t="s">
        <v>779</v>
      </c>
      <c r="E495" s="10" t="s">
        <v>780</v>
      </c>
      <c r="F495" s="10" t="s">
        <v>781</v>
      </c>
      <c r="G495" s="11">
        <v>4680</v>
      </c>
      <c r="H495" s="163" t="s">
        <v>816</v>
      </c>
      <c r="I495" s="158" t="s">
        <v>817</v>
      </c>
      <c r="J495" s="163" t="s">
        <v>818</v>
      </c>
      <c r="K495" s="10" t="s">
        <v>40</v>
      </c>
      <c r="L495" s="10">
        <v>15</v>
      </c>
      <c r="M495" s="10">
        <f t="shared" si="40"/>
        <v>15</v>
      </c>
      <c r="N495" s="10">
        <v>15</v>
      </c>
      <c r="O495" s="12">
        <v>1</v>
      </c>
      <c r="P495" s="11">
        <v>23400</v>
      </c>
      <c r="Q495" s="10" t="s">
        <v>31</v>
      </c>
      <c r="R495" s="4" t="s">
        <v>1283</v>
      </c>
      <c r="S495" s="4" t="s">
        <v>1279</v>
      </c>
      <c r="T495" s="4" t="s">
        <v>19</v>
      </c>
      <c r="U495" s="4" t="str">
        <f t="shared" si="41"/>
        <v>NOT AN ADD-ON</v>
      </c>
      <c r="V495" s="4" t="str">
        <f t="shared" si="39"/>
        <v>TRANSPORATIONINDUSTRY SOLUTIONAUTHORIZEDNOT AN ADD-ON</v>
      </c>
    </row>
    <row r="496" spans="1:22" ht="15" thickBot="1">
      <c r="A496" s="10" t="s">
        <v>21</v>
      </c>
      <c r="B496" s="10" t="s">
        <v>22</v>
      </c>
      <c r="C496" s="10" t="s">
        <v>778</v>
      </c>
      <c r="D496" s="10" t="s">
        <v>779</v>
      </c>
      <c r="E496" s="10" t="s">
        <v>780</v>
      </c>
      <c r="F496" s="10" t="s">
        <v>781</v>
      </c>
      <c r="G496" s="11">
        <v>4680</v>
      </c>
      <c r="H496" s="163" t="s">
        <v>822</v>
      </c>
      <c r="I496" s="158" t="s">
        <v>823</v>
      </c>
      <c r="J496" s="163" t="s">
        <v>824</v>
      </c>
      <c r="K496" s="10" t="s">
        <v>40</v>
      </c>
      <c r="L496" s="10">
        <v>15</v>
      </c>
      <c r="M496" s="10">
        <f t="shared" si="40"/>
        <v>15</v>
      </c>
      <c r="N496" s="10">
        <v>15</v>
      </c>
      <c r="O496" s="12">
        <v>1</v>
      </c>
      <c r="P496" s="11">
        <v>23400</v>
      </c>
      <c r="Q496" s="10" t="s">
        <v>31</v>
      </c>
      <c r="R496" s="4" t="s">
        <v>1283</v>
      </c>
      <c r="S496" s="4" t="s">
        <v>1279</v>
      </c>
      <c r="T496" s="4" t="s">
        <v>19</v>
      </c>
      <c r="U496" s="4" t="str">
        <f t="shared" si="41"/>
        <v>NOT AN ADD-ON</v>
      </c>
      <c r="V496" s="4" t="str">
        <f t="shared" si="39"/>
        <v>TRANSPORATIONINDUSTRY SOLUTIONAUTHORIZEDNOT AN ADD-ON</v>
      </c>
    </row>
    <row r="497" spans="1:22" ht="15" thickBot="1">
      <c r="A497" s="10" t="s">
        <v>21</v>
      </c>
      <c r="B497" s="10" t="s">
        <v>22</v>
      </c>
      <c r="C497" s="10" t="s">
        <v>778</v>
      </c>
      <c r="D497" s="10" t="s">
        <v>779</v>
      </c>
      <c r="E497" s="10" t="s">
        <v>780</v>
      </c>
      <c r="F497" s="10" t="s">
        <v>781</v>
      </c>
      <c r="G497" s="11">
        <v>1320</v>
      </c>
      <c r="H497" s="163" t="s">
        <v>788</v>
      </c>
      <c r="I497" s="158" t="s">
        <v>789</v>
      </c>
      <c r="J497" s="163" t="s">
        <v>790</v>
      </c>
      <c r="K497" s="10" t="s">
        <v>40</v>
      </c>
      <c r="L497" s="10">
        <v>5</v>
      </c>
      <c r="M497" s="10">
        <f t="shared" ref="M497:M518" si="42">ROUND(IF(K497="Authorized User",L497/3,L497),2)</f>
        <v>5</v>
      </c>
      <c r="N497" s="10">
        <v>15</v>
      </c>
      <c r="O497" s="12">
        <v>1</v>
      </c>
      <c r="P497" s="11">
        <v>6570</v>
      </c>
      <c r="Q497" s="10" t="s">
        <v>31</v>
      </c>
      <c r="R497" s="4" t="s">
        <v>1283</v>
      </c>
      <c r="S497" s="4" t="s">
        <v>1279</v>
      </c>
      <c r="T497" s="4" t="s">
        <v>19</v>
      </c>
      <c r="U497" s="4" t="s">
        <v>507</v>
      </c>
      <c r="V497" s="4" t="str">
        <f t="shared" si="39"/>
        <v>TRANSPORATIONINDUSTRY SOLUTIONAUTHORIZEDADD-ON</v>
      </c>
    </row>
    <row r="498" spans="1:22" ht="15" thickBot="1">
      <c r="A498" s="10" t="s">
        <v>21</v>
      </c>
      <c r="B498" s="10" t="s">
        <v>22</v>
      </c>
      <c r="C498" s="10" t="s">
        <v>778</v>
      </c>
      <c r="D498" s="10" t="s">
        <v>779</v>
      </c>
      <c r="E498" s="10" t="s">
        <v>780</v>
      </c>
      <c r="F498" s="10" t="s">
        <v>781</v>
      </c>
      <c r="G498" s="11">
        <v>1320</v>
      </c>
      <c r="H498" s="163" t="s">
        <v>794</v>
      </c>
      <c r="I498" s="158" t="s">
        <v>795</v>
      </c>
      <c r="J498" s="163" t="s">
        <v>796</v>
      </c>
      <c r="K498" s="10" t="s">
        <v>40</v>
      </c>
      <c r="L498" s="10">
        <v>5</v>
      </c>
      <c r="M498" s="10">
        <f t="shared" si="42"/>
        <v>5</v>
      </c>
      <c r="N498" s="10">
        <v>15</v>
      </c>
      <c r="O498" s="12">
        <v>1</v>
      </c>
      <c r="P498" s="11">
        <v>6570</v>
      </c>
      <c r="Q498" s="10" t="s">
        <v>31</v>
      </c>
      <c r="R498" s="4" t="s">
        <v>1283</v>
      </c>
      <c r="S498" s="4" t="s">
        <v>1279</v>
      </c>
      <c r="T498" s="4" t="s">
        <v>19</v>
      </c>
      <c r="U498" s="4" t="s">
        <v>507</v>
      </c>
      <c r="V498" s="4" t="str">
        <f t="shared" si="39"/>
        <v>TRANSPORATIONINDUSTRY SOLUTIONAUTHORIZEDADD-ON</v>
      </c>
    </row>
    <row r="499" spans="1:22" ht="29.25" customHeight="1" thickBot="1">
      <c r="A499" s="10" t="s">
        <v>21</v>
      </c>
      <c r="B499" s="10" t="s">
        <v>22</v>
      </c>
      <c r="C499" s="10" t="s">
        <v>500</v>
      </c>
      <c r="D499" s="10" t="s">
        <v>501</v>
      </c>
      <c r="E499" s="10" t="s">
        <v>502</v>
      </c>
      <c r="F499" s="10" t="s">
        <v>503</v>
      </c>
      <c r="G499" s="11">
        <v>4260</v>
      </c>
      <c r="H499" s="163" t="s">
        <v>539</v>
      </c>
      <c r="I499" s="158" t="s">
        <v>540</v>
      </c>
      <c r="J499" s="163" t="s">
        <v>541</v>
      </c>
      <c r="K499" s="10" t="s">
        <v>40</v>
      </c>
      <c r="L499" s="10">
        <v>10</v>
      </c>
      <c r="M499" s="10">
        <f t="shared" si="42"/>
        <v>10</v>
      </c>
      <c r="N499" s="15">
        <v>5</v>
      </c>
      <c r="O499" s="16">
        <v>1</v>
      </c>
      <c r="P499" s="11">
        <v>21300</v>
      </c>
      <c r="Q499" s="10" t="s">
        <v>31</v>
      </c>
      <c r="R499" s="4" t="s">
        <v>1292</v>
      </c>
      <c r="S499" s="4" t="s">
        <v>1292</v>
      </c>
      <c r="T499" s="4" t="s">
        <v>19</v>
      </c>
      <c r="U499" s="4" t="str">
        <f>IF(ISNUMBER(SEARCH("ADD-ON",$I499)),"ADD-ON","NOT AN ADD-ON")</f>
        <v>NOT AN ADD-ON</v>
      </c>
      <c r="V499" s="4" t="str">
        <f t="shared" si="39"/>
        <v>LIFE SCIENCESLIFE SCIENCESAUTHORIZEDNOT AN ADD-ON</v>
      </c>
    </row>
    <row r="500" spans="1:22" ht="29.25" customHeight="1" thickBot="1">
      <c r="A500" s="10" t="s">
        <v>21</v>
      </c>
      <c r="B500" s="10" t="s">
        <v>22</v>
      </c>
      <c r="C500" s="10" t="s">
        <v>500</v>
      </c>
      <c r="D500" s="10" t="s">
        <v>501</v>
      </c>
      <c r="E500" s="10" t="s">
        <v>502</v>
      </c>
      <c r="F500" s="10" t="s">
        <v>503</v>
      </c>
      <c r="G500" s="11">
        <v>4260</v>
      </c>
      <c r="H500" s="163" t="s">
        <v>545</v>
      </c>
      <c r="I500" s="158" t="s">
        <v>546</v>
      </c>
      <c r="J500" s="163" t="s">
        <v>547</v>
      </c>
      <c r="K500" s="10" t="s">
        <v>40</v>
      </c>
      <c r="L500" s="10">
        <v>10</v>
      </c>
      <c r="M500" s="10">
        <f t="shared" si="42"/>
        <v>10</v>
      </c>
      <c r="N500" s="10">
        <v>5</v>
      </c>
      <c r="O500" s="12">
        <v>1</v>
      </c>
      <c r="P500" s="11">
        <v>21300</v>
      </c>
      <c r="Q500" s="10" t="s">
        <v>31</v>
      </c>
      <c r="R500" s="4" t="s">
        <v>1292</v>
      </c>
      <c r="S500" s="4" t="s">
        <v>1292</v>
      </c>
      <c r="T500" s="4" t="s">
        <v>19</v>
      </c>
      <c r="U500" s="4" t="str">
        <f>IF(ISNUMBER(SEARCH("ADD-ON",$I500)),"ADD-ON","NOT AN ADD-ON")</f>
        <v>NOT AN ADD-ON</v>
      </c>
      <c r="V500" s="4" t="str">
        <f t="shared" si="39"/>
        <v>LIFE SCIENCESLIFE SCIENCESAUTHORIZEDNOT AN ADD-ON</v>
      </c>
    </row>
    <row r="501" spans="1:22" ht="29.25" customHeight="1" thickBot="1">
      <c r="A501" s="10" t="s">
        <v>21</v>
      </c>
      <c r="B501" s="10" t="s">
        <v>22</v>
      </c>
      <c r="C501" s="10" t="s">
        <v>500</v>
      </c>
      <c r="D501" s="10" t="s">
        <v>501</v>
      </c>
      <c r="E501" s="10" t="s">
        <v>502</v>
      </c>
      <c r="F501" s="10" t="s">
        <v>503</v>
      </c>
      <c r="G501" s="11">
        <v>434</v>
      </c>
      <c r="H501" s="163" t="s">
        <v>511</v>
      </c>
      <c r="I501" s="158" t="s">
        <v>512</v>
      </c>
      <c r="J501" s="163" t="s">
        <v>513</v>
      </c>
      <c r="K501" s="10" t="s">
        <v>40</v>
      </c>
      <c r="L501" s="10">
        <v>0</v>
      </c>
      <c r="M501" s="10">
        <f t="shared" si="42"/>
        <v>0</v>
      </c>
      <c r="N501" s="10">
        <v>5</v>
      </c>
      <c r="O501" s="12">
        <v>1</v>
      </c>
      <c r="P501" s="11">
        <v>2170</v>
      </c>
      <c r="Q501" s="10" t="s">
        <v>31</v>
      </c>
      <c r="R501" s="4" t="s">
        <v>1292</v>
      </c>
      <c r="S501" s="4" t="s">
        <v>1292</v>
      </c>
      <c r="T501" s="4" t="s">
        <v>19</v>
      </c>
      <c r="U501" s="4" t="s">
        <v>507</v>
      </c>
      <c r="V501" s="4" t="str">
        <f t="shared" si="39"/>
        <v>LIFE SCIENCESLIFE SCIENCESAUTHORIZEDADD-ON</v>
      </c>
    </row>
    <row r="502" spans="1:22" ht="29.25" customHeight="1" thickBot="1">
      <c r="A502" s="10" t="s">
        <v>21</v>
      </c>
      <c r="B502" s="10" t="s">
        <v>22</v>
      </c>
      <c r="C502" s="10" t="s">
        <v>500</v>
      </c>
      <c r="D502" s="10" t="s">
        <v>501</v>
      </c>
      <c r="E502" s="10" t="s">
        <v>502</v>
      </c>
      <c r="F502" s="10" t="s">
        <v>503</v>
      </c>
      <c r="G502" s="11">
        <v>434</v>
      </c>
      <c r="H502" s="163" t="s">
        <v>517</v>
      </c>
      <c r="I502" s="158" t="s">
        <v>518</v>
      </c>
      <c r="J502" s="163" t="s">
        <v>519</v>
      </c>
      <c r="K502" s="10" t="s">
        <v>40</v>
      </c>
      <c r="L502" s="10">
        <v>0</v>
      </c>
      <c r="M502" s="10">
        <f t="shared" si="42"/>
        <v>0</v>
      </c>
      <c r="N502" s="10">
        <v>5</v>
      </c>
      <c r="O502" s="12">
        <v>1</v>
      </c>
      <c r="P502" s="11">
        <v>2170</v>
      </c>
      <c r="Q502" s="10" t="s">
        <v>31</v>
      </c>
      <c r="R502" s="4" t="s">
        <v>1292</v>
      </c>
      <c r="S502" s="4" t="s">
        <v>1292</v>
      </c>
      <c r="T502" s="4" t="s">
        <v>19</v>
      </c>
      <c r="U502" s="4" t="s">
        <v>507</v>
      </c>
      <c r="V502" s="4" t="str">
        <f t="shared" si="39"/>
        <v>LIFE SCIENCESLIFE SCIENCESAUTHORIZEDADD-ON</v>
      </c>
    </row>
    <row r="503" spans="1:22" ht="29.25" customHeight="1" thickBot="1">
      <c r="A503" s="10" t="s">
        <v>21</v>
      </c>
      <c r="B503" s="10" t="s">
        <v>22</v>
      </c>
      <c r="C503" s="10" t="s">
        <v>385</v>
      </c>
      <c r="D503" s="10" t="s">
        <v>386</v>
      </c>
      <c r="E503" s="10" t="s">
        <v>387</v>
      </c>
      <c r="F503" s="10" t="s">
        <v>388</v>
      </c>
      <c r="G503" s="11">
        <v>356</v>
      </c>
      <c r="H503" s="163" t="s">
        <v>395</v>
      </c>
      <c r="I503" s="158" t="s">
        <v>396</v>
      </c>
      <c r="J503" s="163" t="s">
        <v>397</v>
      </c>
      <c r="K503" s="10" t="s">
        <v>40</v>
      </c>
      <c r="L503" s="10">
        <v>0</v>
      </c>
      <c r="M503" s="10">
        <f t="shared" si="42"/>
        <v>0</v>
      </c>
      <c r="N503" s="10">
        <v>5</v>
      </c>
      <c r="O503" s="12">
        <v>1</v>
      </c>
      <c r="P503" s="11">
        <v>1780</v>
      </c>
      <c r="Q503" s="10" t="s">
        <v>31</v>
      </c>
      <c r="R503" s="4" t="s">
        <v>1288</v>
      </c>
      <c r="S503" s="4" t="s">
        <v>507</v>
      </c>
      <c r="T503" s="4" t="s">
        <v>19</v>
      </c>
      <c r="U503" s="4" t="str">
        <f t="shared" ref="U503:U508" si="43">IF(ISNUMBER(SEARCH("ADD-ON",$I503)),"ADD-ON","NOT AN ADD-ON")</f>
        <v>NOT AN ADD-ON</v>
      </c>
      <c r="V503" s="4" t="str">
        <f t="shared" si="39"/>
        <v>CALIBRATIONADD-ONAUTHORIZEDNOT AN ADD-ON</v>
      </c>
    </row>
    <row r="504" spans="1:22" ht="29.25" customHeight="1" thickBot="1">
      <c r="A504" s="10" t="s">
        <v>21</v>
      </c>
      <c r="B504" s="10" t="s">
        <v>22</v>
      </c>
      <c r="C504" s="10" t="s">
        <v>385</v>
      </c>
      <c r="D504" s="10" t="s">
        <v>386</v>
      </c>
      <c r="E504" s="10" t="s">
        <v>387</v>
      </c>
      <c r="F504" s="10" t="s">
        <v>388</v>
      </c>
      <c r="G504" s="11">
        <v>356</v>
      </c>
      <c r="H504" s="163" t="s">
        <v>401</v>
      </c>
      <c r="I504" s="158" t="s">
        <v>402</v>
      </c>
      <c r="J504" s="163" t="s">
        <v>403</v>
      </c>
      <c r="K504" s="10" t="s">
        <v>40</v>
      </c>
      <c r="L504" s="10">
        <v>0</v>
      </c>
      <c r="M504" s="10">
        <f t="shared" si="42"/>
        <v>0</v>
      </c>
      <c r="N504" s="10">
        <v>5</v>
      </c>
      <c r="O504" s="12">
        <v>1</v>
      </c>
      <c r="P504" s="11">
        <v>1780</v>
      </c>
      <c r="Q504" s="10" t="s">
        <v>31</v>
      </c>
      <c r="R504" s="4" t="s">
        <v>1288</v>
      </c>
      <c r="S504" s="4" t="s">
        <v>507</v>
      </c>
      <c r="T504" s="4" t="s">
        <v>19</v>
      </c>
      <c r="U504" s="4" t="str">
        <f t="shared" si="43"/>
        <v>NOT AN ADD-ON</v>
      </c>
      <c r="V504" s="4" t="str">
        <f t="shared" si="39"/>
        <v>CALIBRATIONADD-ONAUTHORIZEDNOT AN ADD-ON</v>
      </c>
    </row>
    <row r="505" spans="1:22" ht="15" thickBot="1">
      <c r="A505" s="10" t="s">
        <v>21</v>
      </c>
      <c r="B505" s="10" t="s">
        <v>22</v>
      </c>
      <c r="C505" s="10" t="s">
        <v>1044</v>
      </c>
      <c r="D505" s="10" t="s">
        <v>1045</v>
      </c>
      <c r="E505" s="10" t="s">
        <v>1046</v>
      </c>
      <c r="F505" s="10" t="s">
        <v>1047</v>
      </c>
      <c r="G505" s="11">
        <v>132</v>
      </c>
      <c r="H505" s="193" t="s">
        <v>1054</v>
      </c>
      <c r="I505" s="195" t="s">
        <v>1055</v>
      </c>
      <c r="J505" s="193" t="s">
        <v>1056</v>
      </c>
      <c r="K505" s="10" t="s">
        <v>40</v>
      </c>
      <c r="L505" s="198">
        <v>0</v>
      </c>
      <c r="M505" s="10">
        <f t="shared" si="42"/>
        <v>0</v>
      </c>
      <c r="N505" s="198">
        <v>5</v>
      </c>
      <c r="O505" s="12">
        <v>1</v>
      </c>
      <c r="P505" s="11">
        <v>657</v>
      </c>
      <c r="Q505" s="198" t="s">
        <v>31</v>
      </c>
      <c r="R505" s="4" t="s">
        <v>1291</v>
      </c>
      <c r="S505" s="4" t="s">
        <v>507</v>
      </c>
      <c r="T505" s="4" t="s">
        <v>19</v>
      </c>
      <c r="U505" s="4" t="str">
        <f t="shared" si="43"/>
        <v>NOT AN ADD-ON</v>
      </c>
      <c r="V505" s="4" t="str">
        <f t="shared" si="39"/>
        <v>SPATIALADD-ONAUTHORIZEDNOT AN ADD-ON</v>
      </c>
    </row>
    <row r="506" spans="1:22" ht="16" customHeight="1" thickBot="1">
      <c r="A506" s="10" t="s">
        <v>21</v>
      </c>
      <c r="B506" s="10" t="s">
        <v>22</v>
      </c>
      <c r="C506" s="10" t="s">
        <v>1044</v>
      </c>
      <c r="D506" s="10" t="s">
        <v>1045</v>
      </c>
      <c r="E506" s="10" t="s">
        <v>1046</v>
      </c>
      <c r="F506" s="10" t="s">
        <v>1047</v>
      </c>
      <c r="G506" s="192">
        <v>132</v>
      </c>
      <c r="H506" s="204" t="s">
        <v>1060</v>
      </c>
      <c r="I506" s="206" t="s">
        <v>1061</v>
      </c>
      <c r="J506" s="204" t="s">
        <v>1062</v>
      </c>
      <c r="K506" s="212" t="s">
        <v>40</v>
      </c>
      <c r="L506" s="200">
        <v>0</v>
      </c>
      <c r="M506" s="212">
        <f t="shared" si="42"/>
        <v>0</v>
      </c>
      <c r="N506" s="200">
        <v>5</v>
      </c>
      <c r="O506" s="17">
        <v>1</v>
      </c>
      <c r="P506" s="192">
        <v>657</v>
      </c>
      <c r="Q506" s="200" t="s">
        <v>31</v>
      </c>
      <c r="R506" s="59" t="s">
        <v>1291</v>
      </c>
      <c r="S506" s="59" t="s">
        <v>507</v>
      </c>
      <c r="T506" s="4" t="s">
        <v>19</v>
      </c>
      <c r="U506" s="4" t="str">
        <f t="shared" si="43"/>
        <v>NOT AN ADD-ON</v>
      </c>
      <c r="V506" s="4" t="str">
        <f t="shared" si="39"/>
        <v>SPATIALADD-ONAUTHORIZEDNOT AN ADD-ON</v>
      </c>
    </row>
    <row r="507" spans="1:22" ht="16" customHeight="1" thickBot="1">
      <c r="A507" s="10" t="s">
        <v>21</v>
      </c>
      <c r="B507" s="10" t="s">
        <v>22</v>
      </c>
      <c r="C507" s="10" t="s">
        <v>593</v>
      </c>
      <c r="D507" s="10" t="s">
        <v>594</v>
      </c>
      <c r="E507" s="10" t="s">
        <v>595</v>
      </c>
      <c r="F507" s="10" t="s">
        <v>596</v>
      </c>
      <c r="G507" s="192">
        <v>4680</v>
      </c>
      <c r="H507" s="204" t="s">
        <v>646</v>
      </c>
      <c r="I507" s="206" t="s">
        <v>647</v>
      </c>
      <c r="J507" s="204" t="s">
        <v>639</v>
      </c>
      <c r="K507" s="212" t="s">
        <v>40</v>
      </c>
      <c r="L507" s="200">
        <v>15</v>
      </c>
      <c r="M507" s="212">
        <f t="shared" si="42"/>
        <v>15</v>
      </c>
      <c r="N507" s="200">
        <v>15</v>
      </c>
      <c r="O507" s="17">
        <v>1</v>
      </c>
      <c r="P507" s="192">
        <v>23400</v>
      </c>
      <c r="Q507" s="200" t="s">
        <v>31</v>
      </c>
      <c r="R507" s="59" t="s">
        <v>1281</v>
      </c>
      <c r="S507" s="59" t="s">
        <v>1279</v>
      </c>
      <c r="T507" s="4" t="s">
        <v>19</v>
      </c>
      <c r="U507" s="4" t="str">
        <f t="shared" si="43"/>
        <v>NOT AN ADD-ON</v>
      </c>
      <c r="V507" s="4" t="str">
        <f t="shared" si="39"/>
        <v>NUCLEAR POWERINDUSTRY SOLUTIONAUTHORIZEDNOT AN ADD-ON</v>
      </c>
    </row>
    <row r="508" spans="1:22" ht="16" customHeight="1" thickBot="1">
      <c r="A508" s="10" t="s">
        <v>21</v>
      </c>
      <c r="B508" s="10" t="s">
        <v>22</v>
      </c>
      <c r="C508" s="10" t="s">
        <v>593</v>
      </c>
      <c r="D508" s="10" t="s">
        <v>594</v>
      </c>
      <c r="E508" s="10" t="s">
        <v>595</v>
      </c>
      <c r="F508" s="10" t="s">
        <v>596</v>
      </c>
      <c r="G508" s="192">
        <v>4680</v>
      </c>
      <c r="H508" s="204" t="s">
        <v>631</v>
      </c>
      <c r="I508" s="206" t="s">
        <v>632</v>
      </c>
      <c r="J508" s="204" t="s">
        <v>633</v>
      </c>
      <c r="K508" s="212" t="s">
        <v>40</v>
      </c>
      <c r="L508" s="200">
        <v>15</v>
      </c>
      <c r="M508" s="212">
        <f t="shared" si="42"/>
        <v>15</v>
      </c>
      <c r="N508" s="200">
        <v>15</v>
      </c>
      <c r="O508" s="17">
        <v>1</v>
      </c>
      <c r="P508" s="192">
        <v>23400</v>
      </c>
      <c r="Q508" s="200" t="s">
        <v>31</v>
      </c>
      <c r="R508" s="59" t="s">
        <v>1281</v>
      </c>
      <c r="S508" s="59" t="s">
        <v>1279</v>
      </c>
      <c r="T508" s="4" t="s">
        <v>19</v>
      </c>
      <c r="U508" s="4" t="str">
        <f t="shared" si="43"/>
        <v>NOT AN ADD-ON</v>
      </c>
      <c r="V508" s="4" t="str">
        <f t="shared" si="39"/>
        <v>NUCLEAR POWERINDUSTRY SOLUTIONAUTHORIZEDNOT AN ADD-ON</v>
      </c>
    </row>
    <row r="509" spans="1:22" ht="16" customHeight="1" thickBot="1">
      <c r="A509" s="10" t="s">
        <v>21</v>
      </c>
      <c r="B509" s="10" t="s">
        <v>22</v>
      </c>
      <c r="C509" s="10" t="s">
        <v>593</v>
      </c>
      <c r="D509" s="10" t="s">
        <v>594</v>
      </c>
      <c r="E509" s="10" t="s">
        <v>595</v>
      </c>
      <c r="F509" s="10" t="s">
        <v>596</v>
      </c>
      <c r="G509" s="192">
        <v>1320</v>
      </c>
      <c r="H509" s="204" t="s">
        <v>614</v>
      </c>
      <c r="I509" s="206" t="s">
        <v>615</v>
      </c>
      <c r="J509" s="204" t="s">
        <v>611</v>
      </c>
      <c r="K509" s="212" t="s">
        <v>40</v>
      </c>
      <c r="L509" s="200">
        <v>5</v>
      </c>
      <c r="M509" s="212">
        <f t="shared" si="42"/>
        <v>5</v>
      </c>
      <c r="N509" s="200">
        <v>15</v>
      </c>
      <c r="O509" s="17">
        <v>1</v>
      </c>
      <c r="P509" s="192">
        <v>6570</v>
      </c>
      <c r="Q509" s="200" t="s">
        <v>31</v>
      </c>
      <c r="R509" s="59" t="s">
        <v>1281</v>
      </c>
      <c r="S509" s="59" t="s">
        <v>1279</v>
      </c>
      <c r="T509" s="4" t="s">
        <v>19</v>
      </c>
      <c r="U509" s="4" t="s">
        <v>507</v>
      </c>
      <c r="V509" s="4" t="str">
        <f t="shared" si="39"/>
        <v>NUCLEAR POWERINDUSTRY SOLUTIONAUTHORIZEDADD-ON</v>
      </c>
    </row>
    <row r="510" spans="1:22" ht="15" thickBot="1">
      <c r="A510" s="10" t="s">
        <v>21</v>
      </c>
      <c r="B510" s="10" t="s">
        <v>22</v>
      </c>
      <c r="C510" s="10" t="s">
        <v>593</v>
      </c>
      <c r="D510" s="10" t="s">
        <v>594</v>
      </c>
      <c r="E510" s="10" t="s">
        <v>595</v>
      </c>
      <c r="F510" s="10" t="s">
        <v>596</v>
      </c>
      <c r="G510" s="11">
        <v>1320</v>
      </c>
      <c r="H510" s="163" t="s">
        <v>603</v>
      </c>
      <c r="I510" s="158" t="s">
        <v>604</v>
      </c>
      <c r="J510" s="163" t="s">
        <v>605</v>
      </c>
      <c r="K510" s="199" t="s">
        <v>40</v>
      </c>
      <c r="L510" s="200">
        <v>5</v>
      </c>
      <c r="M510" s="212">
        <f t="shared" si="42"/>
        <v>5</v>
      </c>
      <c r="N510" s="200">
        <v>15</v>
      </c>
      <c r="O510" s="17">
        <v>1</v>
      </c>
      <c r="P510" s="11">
        <v>6570</v>
      </c>
      <c r="Q510" s="10" t="s">
        <v>31</v>
      </c>
      <c r="R510" s="4" t="s">
        <v>1281</v>
      </c>
      <c r="S510" s="4" t="s">
        <v>1279</v>
      </c>
      <c r="T510" s="4" t="s">
        <v>19</v>
      </c>
      <c r="U510" s="4" t="s">
        <v>507</v>
      </c>
      <c r="V510" s="4" t="str">
        <f t="shared" si="39"/>
        <v>NUCLEAR POWERINDUSTRY SOLUTIONAUTHORIZEDADD-ON</v>
      </c>
    </row>
    <row r="511" spans="1:22" ht="15" thickBot="1">
      <c r="A511" s="10" t="s">
        <v>21</v>
      </c>
      <c r="B511" s="10" t="s">
        <v>22</v>
      </c>
      <c r="C511" s="10" t="s">
        <v>338</v>
      </c>
      <c r="D511" s="10" t="s">
        <v>141</v>
      </c>
      <c r="E511" s="10" t="s">
        <v>142</v>
      </c>
      <c r="F511" s="10" t="s">
        <v>339</v>
      </c>
      <c r="G511" s="11">
        <v>804</v>
      </c>
      <c r="H511" s="163" t="s">
        <v>340</v>
      </c>
      <c r="I511" s="158" t="s">
        <v>341</v>
      </c>
      <c r="J511" s="163" t="s">
        <v>342</v>
      </c>
      <c r="K511" s="199" t="s">
        <v>30</v>
      </c>
      <c r="L511" s="200">
        <v>0</v>
      </c>
      <c r="M511" s="212">
        <f t="shared" si="42"/>
        <v>0</v>
      </c>
      <c r="N511" s="200">
        <v>10</v>
      </c>
      <c r="O511" s="17">
        <v>3.3333333333333335</v>
      </c>
      <c r="P511" s="11">
        <v>4020</v>
      </c>
      <c r="Q511" s="10" t="s">
        <v>31</v>
      </c>
      <c r="R511" s="4" t="s">
        <v>1286</v>
      </c>
      <c r="S511" s="4" t="s">
        <v>507</v>
      </c>
      <c r="T511" s="4" t="s">
        <v>19</v>
      </c>
      <c r="U511" s="4" t="str">
        <f t="shared" ref="U511:U521" si="44">IF(ISNUMBER(SEARCH("ADD-ON",$I511)),"ADD-ON","NOT AN ADD-ON")</f>
        <v>NOT AN ADD-ON</v>
      </c>
      <c r="V511" s="4" t="str">
        <f t="shared" si="39"/>
        <v>SCHEDULER PLUSADD-ONAUTHORIZEDNOT AN ADD-ON</v>
      </c>
    </row>
    <row r="512" spans="1:22" ht="15" thickBot="1">
      <c r="A512" s="10" t="s">
        <v>21</v>
      </c>
      <c r="B512" s="10" t="s">
        <v>22</v>
      </c>
      <c r="C512" s="10" t="s">
        <v>338</v>
      </c>
      <c r="D512" s="10" t="s">
        <v>141</v>
      </c>
      <c r="E512" s="10" t="s">
        <v>142</v>
      </c>
      <c r="F512" s="10" t="s">
        <v>339</v>
      </c>
      <c r="G512" s="11">
        <v>2420</v>
      </c>
      <c r="H512" s="163" t="s">
        <v>356</v>
      </c>
      <c r="I512" s="158" t="s">
        <v>357</v>
      </c>
      <c r="J512" s="163" t="s">
        <v>358</v>
      </c>
      <c r="K512" s="199" t="s">
        <v>40</v>
      </c>
      <c r="L512" s="200">
        <v>0</v>
      </c>
      <c r="M512" s="212">
        <f t="shared" si="42"/>
        <v>0</v>
      </c>
      <c r="N512" s="200">
        <v>10</v>
      </c>
      <c r="O512" s="17">
        <v>1</v>
      </c>
      <c r="P512" s="11">
        <v>11900</v>
      </c>
      <c r="Q512" s="10" t="s">
        <v>31</v>
      </c>
      <c r="R512" s="4" t="s">
        <v>1286</v>
      </c>
      <c r="S512" s="4" t="s">
        <v>507</v>
      </c>
      <c r="T512" s="4" t="s">
        <v>19</v>
      </c>
      <c r="U512" s="4" t="str">
        <f t="shared" si="44"/>
        <v>NOT AN ADD-ON</v>
      </c>
      <c r="V512" s="4" t="str">
        <f t="shared" si="39"/>
        <v>SCHEDULER PLUSADD-ONAUTHORIZEDNOT AN ADD-ON</v>
      </c>
    </row>
    <row r="513" spans="1:22" ht="15" thickBot="1">
      <c r="A513" s="10" t="s">
        <v>21</v>
      </c>
      <c r="B513" s="10" t="s">
        <v>22</v>
      </c>
      <c r="C513" s="10" t="s">
        <v>338</v>
      </c>
      <c r="D513" s="10" t="s">
        <v>141</v>
      </c>
      <c r="E513" s="10" t="s">
        <v>142</v>
      </c>
      <c r="F513" s="10" t="s">
        <v>339</v>
      </c>
      <c r="G513" s="11">
        <v>804</v>
      </c>
      <c r="H513" s="163" t="s">
        <v>346</v>
      </c>
      <c r="I513" s="158" t="s">
        <v>347</v>
      </c>
      <c r="J513" s="163" t="s">
        <v>348</v>
      </c>
      <c r="K513" s="199" t="s">
        <v>30</v>
      </c>
      <c r="L513" s="200">
        <v>0</v>
      </c>
      <c r="M513" s="212">
        <f t="shared" si="42"/>
        <v>0</v>
      </c>
      <c r="N513" s="200">
        <v>10</v>
      </c>
      <c r="O513" s="17">
        <v>3.3333333333333335</v>
      </c>
      <c r="P513" s="11">
        <v>4020</v>
      </c>
      <c r="Q513" s="10" t="s">
        <v>31</v>
      </c>
      <c r="R513" s="4" t="s">
        <v>1286</v>
      </c>
      <c r="S513" s="4" t="s">
        <v>507</v>
      </c>
      <c r="T513" s="4" t="s">
        <v>19</v>
      </c>
      <c r="U513" s="4" t="str">
        <f t="shared" si="44"/>
        <v>NOT AN ADD-ON</v>
      </c>
      <c r="V513" s="4" t="str">
        <f t="shared" si="39"/>
        <v>SCHEDULER PLUSADD-ONAUTHORIZEDNOT AN ADD-ON</v>
      </c>
    </row>
    <row r="514" spans="1:22" ht="15" thickBot="1">
      <c r="A514" s="10" t="s">
        <v>21</v>
      </c>
      <c r="B514" s="10" t="s">
        <v>22</v>
      </c>
      <c r="C514" s="10" t="s">
        <v>338</v>
      </c>
      <c r="D514" s="10" t="s">
        <v>141</v>
      </c>
      <c r="E514" s="10" t="s">
        <v>142</v>
      </c>
      <c r="F514" s="10" t="s">
        <v>339</v>
      </c>
      <c r="G514" s="11">
        <v>2420</v>
      </c>
      <c r="H514" s="163" t="s">
        <v>362</v>
      </c>
      <c r="I514" s="158" t="s">
        <v>363</v>
      </c>
      <c r="J514" s="163" t="s">
        <v>364</v>
      </c>
      <c r="K514" s="199" t="s">
        <v>40</v>
      </c>
      <c r="L514" s="200">
        <v>0</v>
      </c>
      <c r="M514" s="212">
        <f t="shared" si="42"/>
        <v>0</v>
      </c>
      <c r="N514" s="200">
        <v>10</v>
      </c>
      <c r="O514" s="17">
        <v>1</v>
      </c>
      <c r="P514" s="11">
        <v>11900</v>
      </c>
      <c r="Q514" s="10" t="s">
        <v>31</v>
      </c>
      <c r="R514" s="4" t="s">
        <v>1286</v>
      </c>
      <c r="S514" s="4" t="s">
        <v>507</v>
      </c>
      <c r="T514" s="4" t="s">
        <v>19</v>
      </c>
      <c r="U514" s="4" t="str">
        <f t="shared" si="44"/>
        <v>NOT AN ADD-ON</v>
      </c>
      <c r="V514" s="4" t="str">
        <f t="shared" si="39"/>
        <v>SCHEDULER PLUSADD-ONAUTHORIZEDNOT AN ADD-ON</v>
      </c>
    </row>
    <row r="515" spans="1:22" ht="15" thickBot="1">
      <c r="A515" s="10" t="s">
        <v>21</v>
      </c>
      <c r="B515" s="10" t="s">
        <v>22</v>
      </c>
      <c r="C515" s="10" t="s">
        <v>338</v>
      </c>
      <c r="D515" s="10" t="s">
        <v>141</v>
      </c>
      <c r="E515" s="10" t="s">
        <v>142</v>
      </c>
      <c r="F515" s="10" t="s">
        <v>339</v>
      </c>
      <c r="G515" s="11">
        <v>165</v>
      </c>
      <c r="H515" s="163" t="s">
        <v>962</v>
      </c>
      <c r="I515" s="158" t="s">
        <v>963</v>
      </c>
      <c r="J515" s="163" t="s">
        <v>964</v>
      </c>
      <c r="K515" s="199" t="s">
        <v>30</v>
      </c>
      <c r="L515" s="200">
        <v>0</v>
      </c>
      <c r="M515" s="212">
        <f t="shared" si="42"/>
        <v>0</v>
      </c>
      <c r="N515" s="200">
        <v>10</v>
      </c>
      <c r="O515" s="17">
        <v>3.3333333333333335</v>
      </c>
      <c r="P515" s="11">
        <v>820</v>
      </c>
      <c r="Q515" s="10" t="s">
        <v>31</v>
      </c>
      <c r="R515" s="4" t="s">
        <v>1287</v>
      </c>
      <c r="S515" s="4" t="s">
        <v>507</v>
      </c>
      <c r="T515" s="4" t="s">
        <v>19</v>
      </c>
      <c r="U515" s="4" t="str">
        <f t="shared" si="44"/>
        <v>NOT AN ADD-ON</v>
      </c>
      <c r="V515" s="4" t="str">
        <f t="shared" ref="V515:V521" si="45">CONCATENATE(R515,S515,T515,U515)</f>
        <v>GRAPHICAL APPOINTMENT BOOKADD-ONAUTHORIZEDNOT AN ADD-ON</v>
      </c>
    </row>
    <row r="516" spans="1:22" ht="15" thickBot="1">
      <c r="A516" s="10" t="s">
        <v>21</v>
      </c>
      <c r="B516" s="10" t="s">
        <v>22</v>
      </c>
      <c r="C516" s="10" t="s">
        <v>338</v>
      </c>
      <c r="D516" s="10" t="s">
        <v>141</v>
      </c>
      <c r="E516" s="10" t="s">
        <v>142</v>
      </c>
      <c r="F516" s="10" t="s">
        <v>339</v>
      </c>
      <c r="G516" s="11">
        <v>492</v>
      </c>
      <c r="H516" s="163" t="s">
        <v>974</v>
      </c>
      <c r="I516" s="158" t="s">
        <v>975</v>
      </c>
      <c r="J516" s="163" t="s">
        <v>976</v>
      </c>
      <c r="K516" s="199" t="s">
        <v>40</v>
      </c>
      <c r="L516" s="200">
        <v>0</v>
      </c>
      <c r="M516" s="212">
        <f t="shared" si="42"/>
        <v>0</v>
      </c>
      <c r="N516" s="200">
        <v>10</v>
      </c>
      <c r="O516" s="17">
        <v>1</v>
      </c>
      <c r="P516" s="11">
        <v>2460</v>
      </c>
      <c r="Q516" s="10" t="s">
        <v>31</v>
      </c>
      <c r="R516" s="4" t="s">
        <v>1287</v>
      </c>
      <c r="S516" s="4" t="s">
        <v>507</v>
      </c>
      <c r="T516" s="4" t="s">
        <v>19</v>
      </c>
      <c r="U516" s="4" t="str">
        <f t="shared" si="44"/>
        <v>NOT AN ADD-ON</v>
      </c>
      <c r="V516" s="4" t="str">
        <f t="shared" si="45"/>
        <v>GRAPHICAL APPOINTMENT BOOKADD-ONAUTHORIZEDNOT AN ADD-ON</v>
      </c>
    </row>
    <row r="517" spans="1:22" ht="15" thickBot="1">
      <c r="A517" s="10" t="s">
        <v>21</v>
      </c>
      <c r="B517" s="10" t="s">
        <v>22</v>
      </c>
      <c r="C517" s="10" t="s">
        <v>338</v>
      </c>
      <c r="D517" s="10" t="s">
        <v>141</v>
      </c>
      <c r="E517" s="10" t="s">
        <v>142</v>
      </c>
      <c r="F517" s="10" t="s">
        <v>339</v>
      </c>
      <c r="G517" s="11">
        <v>165</v>
      </c>
      <c r="H517" s="163" t="s">
        <v>968</v>
      </c>
      <c r="I517" s="166" t="s">
        <v>969</v>
      </c>
      <c r="J517" s="163" t="s">
        <v>970</v>
      </c>
      <c r="K517" s="199" t="s">
        <v>30</v>
      </c>
      <c r="L517" s="200">
        <v>0</v>
      </c>
      <c r="M517" s="212">
        <f t="shared" si="42"/>
        <v>0</v>
      </c>
      <c r="N517" s="200">
        <v>10</v>
      </c>
      <c r="O517" s="17">
        <v>3.3333333333333335</v>
      </c>
      <c r="P517" s="11">
        <v>820</v>
      </c>
      <c r="Q517" s="10" t="s">
        <v>31</v>
      </c>
      <c r="R517" s="4" t="s">
        <v>1287</v>
      </c>
      <c r="S517" s="4" t="s">
        <v>507</v>
      </c>
      <c r="T517" s="4" t="s">
        <v>19</v>
      </c>
      <c r="U517" s="4" t="str">
        <f t="shared" si="44"/>
        <v>NOT AN ADD-ON</v>
      </c>
      <c r="V517" s="4" t="str">
        <f t="shared" si="45"/>
        <v>GRAPHICAL APPOINTMENT BOOKADD-ONAUTHORIZEDNOT AN ADD-ON</v>
      </c>
    </row>
    <row r="518" spans="1:22" ht="15" thickBot="1">
      <c r="A518" s="10" t="s">
        <v>21</v>
      </c>
      <c r="B518" s="10" t="s">
        <v>22</v>
      </c>
      <c r="C518" s="10" t="s">
        <v>338</v>
      </c>
      <c r="D518" s="10" t="s">
        <v>141</v>
      </c>
      <c r="E518" s="10" t="s">
        <v>142</v>
      </c>
      <c r="F518" s="10" t="s">
        <v>339</v>
      </c>
      <c r="G518" s="11">
        <v>492</v>
      </c>
      <c r="H518" s="163" t="s">
        <v>980</v>
      </c>
      <c r="I518" s="166" t="s">
        <v>981</v>
      </c>
      <c r="J518" s="163" t="s">
        <v>982</v>
      </c>
      <c r="K518" s="199" t="s">
        <v>40</v>
      </c>
      <c r="L518" s="200">
        <v>0</v>
      </c>
      <c r="M518" s="212">
        <f t="shared" si="42"/>
        <v>0</v>
      </c>
      <c r="N518" s="215">
        <v>10</v>
      </c>
      <c r="O518" s="214">
        <v>1</v>
      </c>
      <c r="P518" s="11">
        <v>2460</v>
      </c>
      <c r="Q518" s="10" t="s">
        <v>31</v>
      </c>
      <c r="R518" s="4" t="s">
        <v>1287</v>
      </c>
      <c r="S518" s="4" t="s">
        <v>507</v>
      </c>
      <c r="T518" s="4" t="s">
        <v>19</v>
      </c>
      <c r="U518" s="4" t="str">
        <f t="shared" si="44"/>
        <v>NOT AN ADD-ON</v>
      </c>
      <c r="V518" s="4" t="str">
        <f t="shared" si="45"/>
        <v>GRAPHICAL APPOINTMENT BOOKADD-ONAUTHORIZEDNOT AN ADD-ON</v>
      </c>
    </row>
    <row r="519" spans="1:22" ht="15" thickBot="1">
      <c r="A519" s="10" t="s">
        <v>1089</v>
      </c>
      <c r="B519" s="10" t="s">
        <v>1090</v>
      </c>
      <c r="C519" s="10" t="s">
        <v>1091</v>
      </c>
      <c r="D519" s="10" t="s">
        <v>1092</v>
      </c>
      <c r="E519" s="10" t="s">
        <v>1093</v>
      </c>
      <c r="F519" s="10" t="s">
        <v>1094</v>
      </c>
      <c r="G519" s="116">
        <v>7210</v>
      </c>
      <c r="H519" s="163" t="s">
        <v>1114</v>
      </c>
      <c r="I519" s="158" t="s">
        <v>1115</v>
      </c>
      <c r="J519" s="163" t="s">
        <v>1116</v>
      </c>
      <c r="K519" s="199" t="s">
        <v>40</v>
      </c>
      <c r="L519" s="213">
        <v>15</v>
      </c>
      <c r="M519" s="212">
        <v>15</v>
      </c>
      <c r="N519" s="213">
        <v>15</v>
      </c>
      <c r="O519" s="17">
        <v>1</v>
      </c>
      <c r="P519" s="116">
        <v>36100</v>
      </c>
      <c r="Q519" s="10" t="s">
        <v>31</v>
      </c>
      <c r="R519" s="4" t="s">
        <v>1385</v>
      </c>
      <c r="S519" s="4" t="s">
        <v>1385</v>
      </c>
      <c r="T519" s="4" t="s">
        <v>19</v>
      </c>
      <c r="U519" s="4" t="str">
        <f t="shared" si="44"/>
        <v>NOT AN ADD-ON</v>
      </c>
      <c r="V519" s="4" t="str">
        <f t="shared" si="45"/>
        <v>APM FOR E&amp;UAPM FOR E&amp;UAUTHORIZEDNOT AN ADD-ON</v>
      </c>
    </row>
    <row r="520" spans="1:22" ht="15" customHeight="1" thickBot="1">
      <c r="A520" s="10" t="s">
        <v>1488</v>
      </c>
      <c r="B520" s="10" t="s">
        <v>1488</v>
      </c>
      <c r="C520" s="10" t="s">
        <v>1489</v>
      </c>
      <c r="D520" s="10"/>
      <c r="E520" s="10" t="s">
        <v>1487</v>
      </c>
      <c r="F520" s="10" t="s">
        <v>1486</v>
      </c>
      <c r="G520" s="11"/>
      <c r="H520" s="211" t="s">
        <v>1193</v>
      </c>
      <c r="I520" s="210" t="s">
        <v>1194</v>
      </c>
      <c r="J520" s="211" t="s">
        <v>1193</v>
      </c>
      <c r="K520" s="199" t="s">
        <v>1437</v>
      </c>
      <c r="L520" s="213">
        <v>5</v>
      </c>
      <c r="M520" s="212">
        <v>5</v>
      </c>
      <c r="N520" s="202">
        <v>5</v>
      </c>
      <c r="O520" s="17">
        <v>1</v>
      </c>
      <c r="P520" s="11"/>
      <c r="Q520" s="209" t="s">
        <v>31</v>
      </c>
      <c r="R520" s="4" t="s">
        <v>1489</v>
      </c>
      <c r="S520" s="4" t="s">
        <v>1489</v>
      </c>
      <c r="T520" s="4" t="s">
        <v>1437</v>
      </c>
      <c r="U520" s="4" t="str">
        <f t="shared" si="44"/>
        <v>NOT AN ADD-ON</v>
      </c>
      <c r="V520" s="4" t="str">
        <f t="shared" si="45"/>
        <v>EMAEMAVPCNOT AN ADD-ON</v>
      </c>
    </row>
    <row r="521" spans="1:22" ht="15" customHeight="1" thickBot="1">
      <c r="A521" s="10" t="s">
        <v>1488</v>
      </c>
      <c r="B521" s="10" t="s">
        <v>1488</v>
      </c>
      <c r="C521" s="10" t="s">
        <v>1489</v>
      </c>
      <c r="D521" s="10"/>
      <c r="E521" s="10" t="s">
        <v>1487</v>
      </c>
      <c r="F521" s="10" t="s">
        <v>1486</v>
      </c>
      <c r="G521" s="11"/>
      <c r="H521" s="211" t="s">
        <v>1212</v>
      </c>
      <c r="I521" s="210" t="s">
        <v>1213</v>
      </c>
      <c r="J521" s="211" t="s">
        <v>1212</v>
      </c>
      <c r="K521" s="199" t="s">
        <v>1490</v>
      </c>
      <c r="L521" s="213">
        <v>150</v>
      </c>
      <c r="M521" s="212">
        <v>1</v>
      </c>
      <c r="N521" s="202">
        <v>150</v>
      </c>
      <c r="O521" s="17">
        <v>1</v>
      </c>
      <c r="P521" s="11"/>
      <c r="Q521" s="209" t="s">
        <v>31</v>
      </c>
      <c r="R521" s="4" t="s">
        <v>1489</v>
      </c>
      <c r="S521" s="4" t="s">
        <v>1489</v>
      </c>
      <c r="T521" s="4" t="s">
        <v>1490</v>
      </c>
      <c r="U521" s="4" t="str">
        <f t="shared" si="44"/>
        <v>NOT AN ADD-ON</v>
      </c>
      <c r="V521" s="4" t="str">
        <f t="shared" si="45"/>
        <v>EMAEMARVUNOT AN ADD-ON</v>
      </c>
    </row>
    <row r="522" spans="1:22" ht="15" thickBot="1">
      <c r="A522" s="10"/>
      <c r="B522" s="10"/>
      <c r="C522" s="10"/>
      <c r="D522" s="10"/>
      <c r="E522" s="10"/>
      <c r="F522" s="10"/>
      <c r="G522" s="116"/>
      <c r="H522" s="163"/>
      <c r="I522" s="158"/>
      <c r="J522" s="163"/>
      <c r="K522" s="199"/>
      <c r="L522" s="213"/>
      <c r="M522" s="212"/>
      <c r="N522" s="213"/>
      <c r="O522" s="17"/>
      <c r="P522" s="116"/>
      <c r="Q522" s="10"/>
    </row>
    <row r="523" spans="1:22" ht="15" thickBot="1">
      <c r="A523" s="10"/>
      <c r="B523" s="10"/>
      <c r="C523" s="10"/>
      <c r="D523" s="10"/>
      <c r="E523" s="10"/>
      <c r="F523" s="10"/>
      <c r="G523" s="116"/>
      <c r="H523" s="163"/>
      <c r="I523" s="158"/>
      <c r="J523" s="163"/>
      <c r="K523" s="199"/>
      <c r="L523" s="213"/>
      <c r="M523" s="212"/>
      <c r="N523" s="213"/>
      <c r="O523" s="17"/>
      <c r="P523" s="116"/>
      <c r="Q523" s="10"/>
    </row>
    <row r="524" spans="1:22" ht="15" thickBot="1">
      <c r="A524" s="10"/>
      <c r="B524" s="10"/>
      <c r="C524" s="10"/>
      <c r="D524" s="10"/>
      <c r="E524" s="10"/>
      <c r="F524" s="10"/>
      <c r="G524" s="116"/>
      <c r="H524" s="163"/>
      <c r="I524" s="158"/>
      <c r="J524" s="163"/>
      <c r="K524" s="199"/>
      <c r="L524" s="213"/>
      <c r="M524" s="212"/>
      <c r="N524" s="213"/>
      <c r="O524" s="17"/>
      <c r="P524" s="116"/>
      <c r="Q524" s="10"/>
    </row>
    <row r="525" spans="1:22" ht="15" thickBot="1">
      <c r="A525" s="10"/>
      <c r="B525" s="10"/>
      <c r="C525" s="10"/>
      <c r="D525" s="10"/>
      <c r="E525" s="10"/>
      <c r="F525" s="10"/>
      <c r="G525" s="116"/>
      <c r="H525" s="163"/>
      <c r="I525" s="158"/>
      <c r="J525" s="163"/>
      <c r="K525" s="199"/>
      <c r="L525" s="200"/>
      <c r="M525" s="212"/>
      <c r="N525" s="200"/>
      <c r="O525" s="17"/>
      <c r="P525" s="116"/>
      <c r="Q525" s="10"/>
    </row>
    <row r="526" spans="1:22" ht="15" thickBot="1">
      <c r="A526" s="10"/>
      <c r="B526" s="10"/>
      <c r="C526" s="10"/>
      <c r="D526" s="10"/>
      <c r="E526" s="10"/>
      <c r="F526" s="10"/>
      <c r="G526" s="116"/>
      <c r="H526" s="163"/>
      <c r="I526" s="166"/>
      <c r="J526" s="163"/>
      <c r="K526" s="10"/>
      <c r="L526" s="10"/>
      <c r="M526" s="10"/>
      <c r="N526" s="10"/>
      <c r="O526" s="12"/>
      <c r="P526" s="116"/>
      <c r="Q526" s="10"/>
    </row>
    <row r="527" spans="1:22" ht="15" thickBot="1">
      <c r="A527" s="10"/>
      <c r="B527" s="10"/>
      <c r="C527" s="10"/>
      <c r="D527" s="10"/>
      <c r="E527" s="10"/>
      <c r="F527" s="10"/>
      <c r="G527" s="116"/>
      <c r="H527" s="163"/>
      <c r="I527" s="166"/>
      <c r="J527" s="163"/>
      <c r="K527" s="10"/>
      <c r="L527" s="10"/>
      <c r="M527" s="10"/>
      <c r="N527" s="10"/>
      <c r="O527" s="12"/>
      <c r="P527" s="116"/>
      <c r="Q527" s="10"/>
    </row>
    <row r="528" spans="1:22" ht="15" thickBot="1">
      <c r="A528" s="10"/>
      <c r="B528" s="10"/>
      <c r="C528" s="10"/>
      <c r="D528" s="10"/>
      <c r="E528" s="10"/>
      <c r="F528" s="10"/>
      <c r="G528" s="116"/>
      <c r="H528" s="163"/>
      <c r="I528" s="158"/>
      <c r="J528" s="163"/>
      <c r="K528" s="10"/>
      <c r="L528" s="10"/>
      <c r="M528" s="10"/>
      <c r="N528" s="10"/>
      <c r="O528" s="12"/>
      <c r="P528" s="116"/>
      <c r="Q528" s="10"/>
    </row>
    <row r="529" spans="1:17" ht="15" thickBot="1">
      <c r="A529" s="10"/>
      <c r="B529" s="10"/>
      <c r="C529" s="10"/>
      <c r="D529" s="10"/>
      <c r="E529" s="10"/>
      <c r="F529" s="10"/>
      <c r="G529" s="116"/>
      <c r="H529" s="163"/>
      <c r="I529" s="158"/>
      <c r="J529" s="163"/>
      <c r="K529" s="10"/>
      <c r="L529" s="10"/>
      <c r="M529" s="10"/>
      <c r="N529" s="10"/>
      <c r="O529" s="12"/>
      <c r="P529" s="116"/>
      <c r="Q529" s="10"/>
    </row>
    <row r="530" spans="1:17" ht="15" thickBot="1">
      <c r="A530" s="10"/>
      <c r="B530" s="10"/>
      <c r="C530" s="10"/>
      <c r="D530" s="10"/>
      <c r="E530" s="10"/>
      <c r="F530" s="10"/>
      <c r="G530" s="116"/>
      <c r="H530" s="163"/>
      <c r="I530" s="158"/>
      <c r="J530" s="163"/>
      <c r="K530" s="10"/>
      <c r="L530" s="10"/>
      <c r="M530" s="10"/>
      <c r="N530" s="10"/>
      <c r="O530" s="12"/>
      <c r="P530" s="116"/>
      <c r="Q530" s="10"/>
    </row>
    <row r="531" spans="1:17" ht="15" thickBot="1">
      <c r="A531" s="10"/>
      <c r="B531" s="10"/>
      <c r="C531" s="10"/>
      <c r="D531" s="10"/>
      <c r="E531" s="10"/>
      <c r="F531" s="10"/>
      <c r="G531" s="116"/>
      <c r="H531" s="163"/>
      <c r="I531" s="158"/>
      <c r="J531" s="163"/>
      <c r="K531" s="10"/>
      <c r="L531" s="10"/>
      <c r="M531" s="10"/>
      <c r="N531" s="10"/>
      <c r="O531" s="12"/>
      <c r="P531" s="116"/>
      <c r="Q531" s="10"/>
    </row>
    <row r="532" spans="1:17" ht="15" thickBot="1">
      <c r="A532" s="10"/>
      <c r="B532" s="10"/>
      <c r="C532" s="10"/>
      <c r="D532" s="10"/>
      <c r="E532" s="10"/>
      <c r="F532" s="10"/>
      <c r="G532" s="116"/>
      <c r="H532" s="163"/>
      <c r="I532" s="158"/>
      <c r="J532" s="163"/>
      <c r="K532" s="10"/>
      <c r="L532" s="10"/>
      <c r="M532" s="10"/>
      <c r="N532" s="10"/>
      <c r="O532" s="12"/>
      <c r="P532" s="116"/>
      <c r="Q532" s="10"/>
    </row>
    <row r="533" spans="1:17" ht="15" thickBot="1">
      <c r="A533" s="10"/>
      <c r="B533" s="10"/>
      <c r="C533" s="10"/>
      <c r="D533" s="10"/>
      <c r="E533" s="10"/>
      <c r="F533" s="10"/>
      <c r="G533" s="116"/>
      <c r="H533" s="163"/>
      <c r="I533" s="158"/>
      <c r="J533" s="163"/>
      <c r="K533" s="10"/>
      <c r="L533" s="10"/>
      <c r="M533" s="10"/>
      <c r="N533" s="10"/>
      <c r="O533" s="12"/>
      <c r="P533" s="116"/>
      <c r="Q533" s="10"/>
    </row>
    <row r="534" spans="1:17" ht="15" thickBot="1">
      <c r="A534" s="10"/>
      <c r="B534" s="10"/>
      <c r="C534" s="10"/>
      <c r="D534" s="10"/>
      <c r="E534" s="10"/>
      <c r="F534" s="10"/>
      <c r="G534" s="116"/>
      <c r="H534" s="163"/>
      <c r="I534" s="166"/>
      <c r="J534" s="163"/>
      <c r="K534" s="10"/>
      <c r="L534" s="10"/>
      <c r="M534" s="10"/>
      <c r="N534" s="10"/>
      <c r="O534" s="12"/>
      <c r="P534" s="116"/>
      <c r="Q534" s="10"/>
    </row>
    <row r="535" spans="1:17" ht="15" thickBot="1">
      <c r="A535" s="10"/>
      <c r="B535" s="10"/>
      <c r="C535" s="10"/>
      <c r="D535" s="10"/>
      <c r="E535" s="10"/>
      <c r="F535" s="10"/>
      <c r="G535" s="116"/>
      <c r="H535" s="163"/>
      <c r="I535" s="166"/>
      <c r="J535" s="163"/>
      <c r="K535" s="10"/>
      <c r="L535" s="10"/>
      <c r="M535" s="10"/>
      <c r="N535" s="10"/>
      <c r="O535" s="12"/>
      <c r="P535" s="116"/>
      <c r="Q535" s="10"/>
    </row>
    <row r="536" spans="1:17" ht="15" thickBot="1">
      <c r="A536" s="10"/>
      <c r="B536" s="10"/>
      <c r="C536" s="10"/>
      <c r="D536" s="10"/>
      <c r="E536" s="10"/>
      <c r="F536" s="10"/>
      <c r="G536" s="116"/>
      <c r="H536" s="163"/>
      <c r="I536" s="158"/>
      <c r="J536" s="163"/>
      <c r="K536" s="10"/>
      <c r="L536" s="10"/>
      <c r="M536" s="10"/>
      <c r="N536" s="10"/>
      <c r="O536" s="12"/>
      <c r="P536" s="116"/>
      <c r="Q536" s="10"/>
    </row>
    <row r="537" spans="1:17" ht="15" thickBot="1">
      <c r="A537" s="10"/>
      <c r="B537" s="10"/>
      <c r="C537" s="10"/>
      <c r="D537" s="10"/>
      <c r="E537" s="10"/>
      <c r="F537" s="10"/>
      <c r="G537" s="116"/>
      <c r="H537" s="163"/>
      <c r="I537" s="166"/>
      <c r="J537" s="163"/>
      <c r="K537" s="10"/>
      <c r="L537" s="10"/>
      <c r="M537" s="10"/>
      <c r="N537" s="10"/>
      <c r="O537" s="12"/>
      <c r="P537" s="116"/>
      <c r="Q537" s="10"/>
    </row>
    <row r="538" spans="1:17" ht="15" thickBot="1">
      <c r="A538" s="10"/>
      <c r="B538" s="10"/>
      <c r="C538" s="10"/>
      <c r="D538" s="10"/>
      <c r="E538" s="10"/>
      <c r="F538" s="10"/>
      <c r="G538" s="116"/>
      <c r="H538" s="163"/>
      <c r="I538" s="166"/>
      <c r="J538" s="163"/>
      <c r="K538" s="10"/>
      <c r="L538" s="10"/>
      <c r="M538" s="10"/>
      <c r="N538" s="10"/>
      <c r="O538" s="12"/>
      <c r="P538" s="116"/>
      <c r="Q538" s="10"/>
    </row>
    <row r="539" spans="1:17" ht="29.25" customHeight="1" thickBot="1">
      <c r="A539" s="10"/>
      <c r="B539" s="10"/>
      <c r="C539" s="10"/>
      <c r="D539" s="10"/>
      <c r="E539" s="10"/>
      <c r="F539" s="10"/>
      <c r="G539" s="116"/>
      <c r="H539" s="163"/>
      <c r="I539" s="158"/>
      <c r="J539" s="163"/>
      <c r="K539" s="10"/>
      <c r="L539" s="10"/>
      <c r="M539" s="10"/>
      <c r="N539" s="10"/>
      <c r="O539" s="12"/>
      <c r="P539" s="116"/>
      <c r="Q539" s="10"/>
    </row>
    <row r="540" spans="1:17" ht="15" thickBot="1">
      <c r="A540" s="10"/>
      <c r="B540" s="10"/>
      <c r="C540" s="10"/>
      <c r="D540" s="10"/>
      <c r="E540" s="10"/>
      <c r="F540" s="10"/>
      <c r="G540" s="116"/>
      <c r="H540" s="163"/>
      <c r="I540" s="158"/>
      <c r="J540" s="163"/>
      <c r="K540" s="10"/>
      <c r="L540" s="10"/>
      <c r="M540" s="10"/>
      <c r="N540" s="10"/>
      <c r="O540" s="12"/>
      <c r="P540" s="116"/>
      <c r="Q540" s="10"/>
    </row>
    <row r="541" spans="1:17" ht="15" thickBot="1">
      <c r="A541" s="10"/>
      <c r="B541" s="10"/>
      <c r="C541" s="10"/>
      <c r="D541" s="10"/>
      <c r="E541" s="10"/>
      <c r="F541" s="10"/>
      <c r="G541" s="116"/>
      <c r="H541" s="163"/>
      <c r="I541" s="158"/>
      <c r="J541" s="163"/>
      <c r="K541" s="10"/>
      <c r="L541" s="10"/>
      <c r="M541" s="10"/>
      <c r="N541" s="10"/>
      <c r="O541" s="12"/>
      <c r="P541" s="116"/>
      <c r="Q541" s="10"/>
    </row>
    <row r="542" spans="1:17" ht="15" thickBot="1">
      <c r="A542" s="10"/>
      <c r="B542" s="10"/>
      <c r="C542" s="10"/>
      <c r="D542" s="10"/>
      <c r="E542" s="10"/>
      <c r="F542" s="10"/>
      <c r="G542" s="116"/>
      <c r="H542" s="163"/>
      <c r="I542" s="166"/>
      <c r="J542" s="163"/>
      <c r="K542" s="10"/>
      <c r="L542" s="10"/>
      <c r="M542" s="10"/>
      <c r="N542" s="10"/>
      <c r="O542" s="12"/>
      <c r="P542" s="116"/>
      <c r="Q542" s="10"/>
    </row>
    <row r="543" spans="1:17" ht="29.25" customHeight="1" thickBot="1">
      <c r="A543" s="10"/>
      <c r="B543" s="10"/>
      <c r="C543" s="10"/>
      <c r="D543" s="10"/>
      <c r="E543" s="10"/>
      <c r="F543" s="10"/>
      <c r="G543" s="116"/>
      <c r="H543" s="163"/>
      <c r="I543" s="166"/>
      <c r="J543" s="163"/>
      <c r="K543" s="10"/>
      <c r="L543" s="10"/>
      <c r="M543" s="10"/>
      <c r="N543" s="10"/>
      <c r="O543" s="12"/>
      <c r="P543" s="116"/>
      <c r="Q543" s="10"/>
    </row>
    <row r="544" spans="1:17" ht="15" thickBot="1">
      <c r="A544" s="10"/>
      <c r="B544" s="10"/>
      <c r="C544" s="10"/>
      <c r="D544" s="10"/>
      <c r="E544" s="10"/>
      <c r="F544" s="10"/>
      <c r="G544" s="116"/>
      <c r="H544" s="163"/>
      <c r="I544" s="158"/>
      <c r="J544" s="163"/>
      <c r="K544" s="10"/>
      <c r="L544" s="10"/>
      <c r="M544" s="10"/>
      <c r="N544" s="10"/>
      <c r="O544" s="12"/>
      <c r="P544" s="116"/>
      <c r="Q544" s="10"/>
    </row>
    <row r="545" spans="1:17" ht="15" thickBot="1">
      <c r="A545" s="10"/>
      <c r="B545" s="10"/>
      <c r="C545" s="10"/>
      <c r="D545" s="10"/>
      <c r="E545" s="10"/>
      <c r="F545" s="10"/>
      <c r="G545" s="116"/>
      <c r="H545" s="163"/>
      <c r="I545" s="158"/>
      <c r="J545" s="163"/>
      <c r="K545" s="10"/>
      <c r="L545" s="10"/>
      <c r="M545" s="10"/>
      <c r="N545" s="10"/>
      <c r="O545" s="12"/>
      <c r="P545" s="116"/>
      <c r="Q545" s="10"/>
    </row>
    <row r="546" spans="1:17" ht="15" thickBot="1">
      <c r="A546" s="10"/>
      <c r="B546" s="10"/>
      <c r="C546" s="10"/>
      <c r="D546" s="10"/>
      <c r="E546" s="10"/>
      <c r="F546" s="10"/>
      <c r="G546" s="116"/>
      <c r="H546" s="163"/>
      <c r="I546" s="166"/>
      <c r="J546" s="163"/>
      <c r="K546" s="10"/>
      <c r="L546" s="10"/>
      <c r="M546" s="10"/>
      <c r="N546" s="10"/>
      <c r="O546" s="12"/>
      <c r="P546" s="116"/>
      <c r="Q546" s="10"/>
    </row>
    <row r="547" spans="1:17" ht="15" thickBot="1">
      <c r="A547" s="10"/>
      <c r="B547" s="10"/>
      <c r="C547" s="10"/>
      <c r="D547" s="10"/>
      <c r="E547" s="10"/>
      <c r="F547" s="10"/>
      <c r="G547" s="116"/>
      <c r="H547" s="163"/>
      <c r="I547" s="166"/>
      <c r="J547" s="163"/>
      <c r="K547" s="10"/>
      <c r="L547" s="10"/>
      <c r="M547" s="10"/>
      <c r="N547" s="10"/>
      <c r="O547" s="12"/>
      <c r="P547" s="116"/>
      <c r="Q547" s="10"/>
    </row>
    <row r="548" spans="1:17" ht="15" thickBot="1">
      <c r="A548" s="10"/>
      <c r="B548" s="10"/>
      <c r="C548" s="10"/>
      <c r="D548" s="10"/>
      <c r="E548" s="10"/>
      <c r="F548" s="10"/>
      <c r="G548" s="116"/>
      <c r="H548" s="163"/>
      <c r="I548" s="166"/>
      <c r="J548" s="163"/>
      <c r="K548" s="10"/>
      <c r="L548" s="10"/>
      <c r="M548" s="10"/>
      <c r="N548" s="10"/>
      <c r="O548" s="12"/>
      <c r="P548" s="116"/>
      <c r="Q548" s="10"/>
    </row>
    <row r="549" spans="1:17" ht="15" thickBot="1">
      <c r="A549" s="10"/>
      <c r="B549" s="10"/>
      <c r="C549" s="10"/>
      <c r="D549" s="10"/>
      <c r="E549" s="10"/>
      <c r="F549" s="10"/>
      <c r="G549" s="116"/>
      <c r="H549" s="163"/>
      <c r="I549" s="166"/>
      <c r="J549" s="163"/>
      <c r="K549" s="10"/>
      <c r="L549" s="10"/>
      <c r="M549" s="10"/>
      <c r="N549" s="10"/>
      <c r="O549" s="12"/>
      <c r="P549" s="116"/>
      <c r="Q549" s="10"/>
    </row>
    <row r="550" spans="1:17" ht="15" thickBot="1">
      <c r="A550" s="10"/>
      <c r="B550" s="10"/>
      <c r="C550" s="10"/>
      <c r="D550" s="10"/>
      <c r="E550" s="10"/>
      <c r="F550" s="10"/>
      <c r="G550" s="116"/>
      <c r="H550" s="163"/>
      <c r="I550" s="166"/>
      <c r="J550" s="163"/>
      <c r="K550" s="10"/>
      <c r="L550" s="10"/>
      <c r="M550" s="10"/>
      <c r="N550" s="10"/>
      <c r="O550" s="12"/>
      <c r="P550" s="116"/>
      <c r="Q550" s="10"/>
    </row>
    <row r="551" spans="1:17" ht="15" thickBot="1">
      <c r="A551" s="10"/>
      <c r="B551" s="10"/>
      <c r="C551" s="10"/>
      <c r="D551" s="10"/>
      <c r="E551" s="10"/>
      <c r="F551" s="10"/>
      <c r="G551" s="116"/>
      <c r="H551" s="163"/>
      <c r="I551" s="166"/>
      <c r="J551" s="163"/>
      <c r="K551" s="10"/>
      <c r="L551" s="10"/>
      <c r="M551" s="10"/>
      <c r="N551" s="10"/>
      <c r="O551" s="12"/>
      <c r="P551" s="116"/>
      <c r="Q551" s="10"/>
    </row>
    <row r="552" spans="1:17" ht="15" thickBot="1">
      <c r="A552" s="10"/>
      <c r="B552" s="10"/>
      <c r="C552" s="10"/>
      <c r="D552" s="10"/>
      <c r="E552" s="10"/>
      <c r="F552" s="10"/>
      <c r="G552" s="116"/>
      <c r="H552" s="163"/>
      <c r="I552" s="166"/>
      <c r="J552" s="163"/>
      <c r="K552" s="10"/>
      <c r="L552" s="10"/>
      <c r="M552" s="10"/>
      <c r="N552" s="10"/>
      <c r="O552" s="12"/>
      <c r="P552" s="116"/>
      <c r="Q552" s="10"/>
    </row>
    <row r="553" spans="1:17" ht="15" thickBot="1">
      <c r="A553" s="10"/>
      <c r="B553" s="10"/>
      <c r="C553" s="10"/>
      <c r="D553" s="10"/>
      <c r="E553" s="10"/>
      <c r="F553" s="10"/>
      <c r="G553" s="116"/>
      <c r="H553" s="163"/>
      <c r="I553" s="166"/>
      <c r="J553" s="163"/>
      <c r="K553" s="10"/>
      <c r="L553" s="10"/>
      <c r="M553" s="10"/>
      <c r="N553" s="10"/>
      <c r="O553" s="12"/>
      <c r="P553" s="116"/>
      <c r="Q553" s="10"/>
    </row>
    <row r="554" spans="1:17" ht="15" thickBot="1">
      <c r="A554" s="10"/>
      <c r="B554" s="10"/>
      <c r="C554" s="10"/>
      <c r="D554" s="10"/>
      <c r="E554" s="10"/>
      <c r="F554" s="10"/>
      <c r="G554" s="116"/>
      <c r="H554" s="163"/>
      <c r="I554" s="166"/>
      <c r="J554" s="163"/>
      <c r="K554" s="10"/>
      <c r="L554" s="10"/>
      <c r="M554" s="10"/>
      <c r="N554" s="10"/>
      <c r="O554" s="12"/>
      <c r="P554" s="116"/>
      <c r="Q554" s="10"/>
    </row>
    <row r="555" spans="1:17" ht="29.25" customHeight="1" thickBot="1">
      <c r="A555" s="10"/>
      <c r="B555" s="10"/>
      <c r="C555" s="10"/>
      <c r="D555" s="10"/>
      <c r="E555" s="10"/>
      <c r="F555" s="10"/>
      <c r="G555" s="116"/>
      <c r="H555" s="163"/>
      <c r="I555" s="158"/>
      <c r="J555" s="163"/>
      <c r="K555" s="10"/>
      <c r="L555" s="10"/>
      <c r="M555" s="10"/>
      <c r="N555" s="10"/>
      <c r="O555" s="12"/>
      <c r="P555" s="116"/>
      <c r="Q555" s="10"/>
    </row>
    <row r="556" spans="1:17" ht="29.25" customHeight="1" thickBot="1">
      <c r="A556" s="10"/>
      <c r="B556" s="10"/>
      <c r="C556" s="10"/>
      <c r="D556" s="10"/>
      <c r="E556" s="10"/>
      <c r="F556" s="10"/>
      <c r="G556" s="116"/>
      <c r="H556" s="163"/>
      <c r="I556" s="158"/>
      <c r="J556" s="163"/>
      <c r="K556" s="10"/>
      <c r="L556" s="10"/>
      <c r="M556" s="10"/>
      <c r="N556" s="10"/>
      <c r="O556" s="12"/>
      <c r="P556" s="116"/>
      <c r="Q556" s="10"/>
    </row>
    <row r="557" spans="1:17" ht="15" thickBot="1">
      <c r="A557" s="10"/>
      <c r="B557" s="10"/>
      <c r="C557" s="10"/>
      <c r="D557" s="10"/>
      <c r="E557" s="10"/>
      <c r="F557" s="10"/>
      <c r="G557" s="116"/>
      <c r="H557" s="163"/>
      <c r="I557" s="158"/>
      <c r="J557" s="163"/>
      <c r="K557" s="10"/>
      <c r="L557" s="10"/>
      <c r="M557" s="10"/>
      <c r="N557" s="10"/>
      <c r="O557" s="12"/>
      <c r="P557" s="116"/>
      <c r="Q557" s="10"/>
    </row>
    <row r="558" spans="1:17" ht="15" thickBot="1">
      <c r="A558" s="10"/>
      <c r="B558" s="10"/>
      <c r="C558" s="10"/>
      <c r="D558" s="10"/>
      <c r="E558" s="10"/>
      <c r="F558" s="10"/>
      <c r="G558" s="116"/>
      <c r="H558" s="163"/>
      <c r="I558" s="166"/>
      <c r="J558" s="163"/>
      <c r="K558" s="10"/>
      <c r="L558" s="10"/>
      <c r="M558" s="10"/>
      <c r="N558" s="10"/>
      <c r="O558" s="12"/>
      <c r="P558" s="116"/>
      <c r="Q558" s="10"/>
    </row>
    <row r="559" spans="1:17" ht="15" thickBot="1">
      <c r="A559" s="10"/>
      <c r="B559" s="10"/>
      <c r="C559" s="10"/>
      <c r="D559" s="10"/>
      <c r="E559" s="10"/>
      <c r="F559" s="10"/>
      <c r="G559" s="116"/>
      <c r="H559" s="163"/>
      <c r="I559" s="158"/>
      <c r="J559" s="163"/>
      <c r="K559" s="10"/>
      <c r="L559" s="10"/>
      <c r="M559" s="10"/>
      <c r="N559" s="10"/>
      <c r="O559" s="12"/>
      <c r="P559" s="116"/>
      <c r="Q559" s="10"/>
    </row>
    <row r="560" spans="1:17" ht="29.25" customHeight="1" thickBot="1">
      <c r="A560" s="10"/>
      <c r="B560" s="10"/>
      <c r="C560" s="10"/>
      <c r="D560" s="10"/>
      <c r="E560" s="10"/>
      <c r="F560" s="10"/>
      <c r="G560" s="116"/>
      <c r="H560" s="163"/>
      <c r="I560" s="158"/>
      <c r="J560" s="163"/>
      <c r="K560" s="10"/>
      <c r="L560" s="10"/>
      <c r="M560" s="10"/>
      <c r="N560" s="10"/>
      <c r="O560" s="12"/>
      <c r="P560" s="116"/>
      <c r="Q560" s="10"/>
    </row>
    <row r="561" spans="1:17" ht="15" thickBot="1">
      <c r="A561" s="10"/>
      <c r="B561" s="10"/>
      <c r="C561" s="10"/>
      <c r="D561" s="10"/>
      <c r="E561" s="10"/>
      <c r="F561" s="10"/>
      <c r="G561" s="116"/>
      <c r="H561" s="163"/>
      <c r="I561" s="166"/>
      <c r="J561" s="163"/>
      <c r="K561" s="10"/>
      <c r="L561" s="10"/>
      <c r="M561" s="10"/>
      <c r="N561" s="10"/>
      <c r="O561" s="12"/>
      <c r="P561" s="116"/>
      <c r="Q561" s="10"/>
    </row>
    <row r="562" spans="1:17" ht="15" thickBot="1">
      <c r="A562" s="10"/>
      <c r="B562" s="10"/>
      <c r="C562" s="10"/>
      <c r="D562" s="10"/>
      <c r="E562" s="10"/>
      <c r="F562" s="10"/>
      <c r="G562" s="116"/>
      <c r="H562" s="163"/>
      <c r="I562" s="158"/>
      <c r="J562" s="163"/>
      <c r="K562" s="10"/>
      <c r="L562" s="10"/>
      <c r="M562" s="10"/>
      <c r="N562" s="10"/>
      <c r="O562" s="12"/>
      <c r="P562" s="116"/>
      <c r="Q562" s="10"/>
    </row>
    <row r="563" spans="1:17" ht="15" thickBot="1">
      <c r="A563" s="10"/>
      <c r="B563" s="10"/>
      <c r="C563" s="10"/>
      <c r="D563" s="10"/>
      <c r="E563" s="10"/>
      <c r="F563" s="10"/>
      <c r="G563" s="116"/>
      <c r="H563" s="163"/>
      <c r="I563" s="166"/>
      <c r="J563" s="163"/>
      <c r="K563" s="10"/>
      <c r="L563" s="10"/>
      <c r="M563" s="10"/>
      <c r="N563" s="10"/>
      <c r="O563" s="12"/>
      <c r="P563" s="116"/>
      <c r="Q563" s="10"/>
    </row>
    <row r="564" spans="1:17" ht="15" thickBot="1">
      <c r="A564" s="10"/>
      <c r="B564" s="10"/>
      <c r="C564" s="10"/>
      <c r="D564" s="10"/>
      <c r="E564" s="10"/>
      <c r="F564" s="10"/>
      <c r="G564" s="116"/>
      <c r="H564" s="163"/>
      <c r="I564" s="166"/>
      <c r="J564" s="163"/>
      <c r="K564" s="10"/>
      <c r="L564" s="10"/>
      <c r="M564" s="10"/>
      <c r="N564" s="10"/>
      <c r="O564" s="12"/>
      <c r="P564" s="116"/>
      <c r="Q564" s="10"/>
    </row>
    <row r="565" spans="1:17" ht="15" thickBot="1">
      <c r="A565" s="10"/>
      <c r="B565" s="10"/>
      <c r="C565" s="10"/>
      <c r="D565" s="10"/>
      <c r="E565" s="10"/>
      <c r="F565" s="10"/>
      <c r="G565" s="116"/>
      <c r="H565" s="163"/>
      <c r="I565" s="166"/>
      <c r="J565" s="163"/>
      <c r="K565" s="10"/>
      <c r="L565" s="10"/>
      <c r="M565" s="10"/>
      <c r="N565" s="10"/>
      <c r="O565" s="12"/>
      <c r="P565" s="116"/>
      <c r="Q565" s="10"/>
    </row>
    <row r="566" spans="1:17" ht="15" thickBot="1">
      <c r="A566" s="10"/>
      <c r="B566" s="10"/>
      <c r="C566" s="10"/>
      <c r="D566" s="10"/>
      <c r="E566" s="10"/>
      <c r="F566" s="10"/>
      <c r="G566" s="116"/>
      <c r="H566" s="163"/>
      <c r="I566" s="166"/>
      <c r="J566" s="163"/>
      <c r="K566" s="10"/>
      <c r="L566" s="10"/>
      <c r="M566" s="10"/>
      <c r="N566" s="10"/>
      <c r="O566" s="12"/>
      <c r="P566" s="116"/>
      <c r="Q566" s="10"/>
    </row>
    <row r="567" spans="1:17" ht="15" thickBot="1">
      <c r="A567" s="10"/>
      <c r="B567" s="10"/>
      <c r="C567" s="10"/>
      <c r="D567" s="10"/>
      <c r="E567" s="10"/>
      <c r="F567" s="10"/>
      <c r="G567" s="116"/>
      <c r="H567" s="163"/>
      <c r="I567" s="158"/>
      <c r="J567" s="163"/>
      <c r="K567" s="10"/>
      <c r="L567" s="10"/>
      <c r="M567" s="10"/>
      <c r="N567" s="10"/>
      <c r="O567" s="12"/>
      <c r="P567" s="116"/>
      <c r="Q567" s="10"/>
    </row>
    <row r="568" spans="1:17" ht="15" thickBot="1">
      <c r="A568" s="10"/>
      <c r="B568" s="10"/>
      <c r="C568" s="10"/>
      <c r="D568" s="10"/>
      <c r="E568" s="10"/>
      <c r="F568" s="10"/>
      <c r="G568" s="116"/>
      <c r="H568" s="163"/>
      <c r="I568" s="158"/>
      <c r="J568" s="163"/>
      <c r="K568" s="10"/>
      <c r="L568" s="10"/>
      <c r="M568" s="10"/>
      <c r="N568" s="10"/>
      <c r="O568" s="12"/>
      <c r="P568" s="116"/>
      <c r="Q568" s="10"/>
    </row>
    <row r="569" spans="1:17" ht="15" thickBot="1">
      <c r="A569" s="10"/>
      <c r="B569" s="10"/>
      <c r="C569" s="10"/>
      <c r="D569" s="10"/>
      <c r="E569" s="10"/>
      <c r="F569" s="10"/>
      <c r="G569" s="116"/>
      <c r="H569" s="163"/>
      <c r="I569" s="158"/>
      <c r="J569" s="163"/>
      <c r="K569" s="10"/>
      <c r="L569" s="10"/>
      <c r="M569" s="10"/>
      <c r="N569" s="10"/>
      <c r="O569" s="12"/>
      <c r="P569" s="116"/>
      <c r="Q569" s="10"/>
    </row>
    <row r="570" spans="1:17" ht="15" thickBot="1">
      <c r="A570" s="10"/>
      <c r="B570" s="10"/>
      <c r="C570" s="10"/>
      <c r="D570" s="10"/>
      <c r="E570" s="10"/>
      <c r="F570" s="10"/>
      <c r="G570" s="116"/>
      <c r="H570" s="163"/>
      <c r="I570" s="158"/>
      <c r="J570" s="163"/>
      <c r="K570" s="10"/>
      <c r="L570" s="10"/>
      <c r="M570" s="10"/>
      <c r="N570" s="10"/>
      <c r="O570" s="12"/>
      <c r="P570" s="116"/>
      <c r="Q570" s="10"/>
    </row>
    <row r="571" spans="1:17" ht="15" thickBot="1">
      <c r="A571" s="10"/>
      <c r="B571" s="10"/>
      <c r="C571" s="10"/>
      <c r="D571" s="10"/>
      <c r="E571" s="10"/>
      <c r="F571" s="10"/>
      <c r="G571" s="116"/>
      <c r="H571" s="163"/>
      <c r="I571" s="158"/>
      <c r="J571" s="163"/>
      <c r="K571" s="10"/>
      <c r="L571" s="10"/>
      <c r="M571" s="10"/>
      <c r="N571" s="10"/>
      <c r="O571" s="12"/>
      <c r="P571" s="116"/>
      <c r="Q571" s="10"/>
    </row>
    <row r="572" spans="1:17" ht="29.25" customHeight="1" thickBot="1">
      <c r="A572" s="10"/>
      <c r="B572" s="10"/>
      <c r="C572" s="10"/>
      <c r="D572" s="10"/>
      <c r="E572" s="10"/>
      <c r="F572" s="10"/>
      <c r="G572" s="116"/>
      <c r="H572" s="163"/>
      <c r="I572" s="166"/>
      <c r="J572" s="163"/>
      <c r="K572" s="10"/>
      <c r="L572" s="10"/>
      <c r="M572" s="10"/>
      <c r="N572" s="10"/>
      <c r="O572" s="12"/>
      <c r="P572" s="116"/>
      <c r="Q572" s="10"/>
    </row>
    <row r="573" spans="1:17" ht="29.25" customHeight="1" thickBot="1">
      <c r="A573" s="10"/>
      <c r="B573" s="10"/>
      <c r="C573" s="10"/>
      <c r="D573" s="10"/>
      <c r="E573" s="10"/>
      <c r="F573" s="10"/>
      <c r="G573" s="116"/>
      <c r="H573" s="163"/>
      <c r="I573" s="166"/>
      <c r="J573" s="163"/>
      <c r="K573" s="10"/>
      <c r="L573" s="10"/>
      <c r="M573" s="10"/>
      <c r="N573" s="10"/>
      <c r="O573" s="12"/>
      <c r="P573" s="116"/>
      <c r="Q573" s="10"/>
    </row>
    <row r="574" spans="1:17" ht="15" thickBot="1">
      <c r="A574" s="10"/>
      <c r="B574" s="10"/>
      <c r="C574" s="10"/>
      <c r="D574" s="10"/>
      <c r="E574" s="10"/>
      <c r="F574" s="10"/>
      <c r="G574" s="116"/>
      <c r="H574" s="163"/>
      <c r="I574" s="158"/>
      <c r="J574" s="163"/>
      <c r="K574" s="10"/>
      <c r="L574" s="10"/>
      <c r="M574" s="10"/>
      <c r="N574" s="10"/>
      <c r="O574" s="12"/>
      <c r="P574" s="116"/>
      <c r="Q574" s="10"/>
    </row>
    <row r="575" spans="1:17" ht="15" thickBot="1">
      <c r="A575" s="10"/>
      <c r="B575" s="10"/>
      <c r="C575" s="10"/>
      <c r="D575" s="10"/>
      <c r="E575" s="10"/>
      <c r="F575" s="10"/>
      <c r="G575" s="116"/>
      <c r="H575" s="163"/>
      <c r="I575" s="158"/>
      <c r="J575" s="163"/>
      <c r="K575" s="10"/>
      <c r="L575" s="10"/>
      <c r="M575" s="10"/>
      <c r="N575" s="10"/>
      <c r="O575" s="12"/>
      <c r="P575" s="116"/>
      <c r="Q575" s="10"/>
    </row>
    <row r="576" spans="1:17" ht="15" thickBot="1">
      <c r="A576" s="10"/>
      <c r="B576" s="10"/>
      <c r="C576" s="10"/>
      <c r="D576" s="10"/>
      <c r="E576" s="10"/>
      <c r="F576" s="10"/>
      <c r="G576" s="116"/>
      <c r="H576" s="163"/>
      <c r="I576" s="158"/>
      <c r="J576" s="163"/>
      <c r="K576" s="10"/>
      <c r="L576" s="10"/>
      <c r="M576" s="10"/>
      <c r="N576" s="10"/>
      <c r="O576" s="12"/>
      <c r="P576" s="116"/>
      <c r="Q576" s="10"/>
    </row>
    <row r="577" spans="1:17" ht="15" thickBot="1">
      <c r="A577" s="10"/>
      <c r="B577" s="10"/>
      <c r="C577" s="10"/>
      <c r="D577" s="10"/>
      <c r="E577" s="10"/>
      <c r="F577" s="10"/>
      <c r="G577" s="116"/>
      <c r="H577" s="163"/>
      <c r="I577" s="166"/>
      <c r="J577" s="163"/>
      <c r="K577" s="10"/>
      <c r="L577" s="10"/>
      <c r="M577" s="10"/>
      <c r="N577" s="10"/>
      <c r="O577" s="12"/>
      <c r="P577" s="116"/>
      <c r="Q577" s="10"/>
    </row>
    <row r="578" spans="1:17" ht="15" thickBot="1">
      <c r="A578" s="10"/>
      <c r="B578" s="10"/>
      <c r="C578" s="10"/>
      <c r="D578" s="10"/>
      <c r="E578" s="10"/>
      <c r="F578" s="10"/>
      <c r="G578" s="116"/>
      <c r="H578" s="163"/>
      <c r="I578" s="158"/>
      <c r="J578" s="163"/>
      <c r="K578" s="10"/>
      <c r="L578" s="10"/>
      <c r="M578" s="10"/>
      <c r="N578" s="10"/>
      <c r="O578" s="12"/>
      <c r="P578" s="116"/>
      <c r="Q578" s="10"/>
    </row>
    <row r="579" spans="1:17" ht="15" thickBot="1">
      <c r="A579" s="10"/>
      <c r="B579" s="10"/>
      <c r="C579" s="10"/>
      <c r="D579" s="10"/>
      <c r="E579" s="10"/>
      <c r="F579" s="10"/>
      <c r="G579" s="116"/>
      <c r="H579" s="163"/>
      <c r="I579" s="158"/>
      <c r="J579" s="163"/>
      <c r="K579" s="10"/>
      <c r="L579" s="10"/>
      <c r="M579" s="10"/>
      <c r="N579" s="10"/>
      <c r="O579" s="12"/>
      <c r="P579" s="116"/>
      <c r="Q579" s="10"/>
    </row>
    <row r="580" spans="1:17" ht="15" thickBot="1">
      <c r="A580" s="10"/>
      <c r="B580" s="10"/>
      <c r="C580" s="10"/>
      <c r="D580" s="10"/>
      <c r="E580" s="10"/>
      <c r="F580" s="10"/>
      <c r="G580" s="116"/>
      <c r="H580" s="163"/>
      <c r="I580" s="158"/>
      <c r="J580" s="163"/>
      <c r="K580" s="10"/>
      <c r="L580" s="10"/>
      <c r="M580" s="10"/>
      <c r="N580" s="10"/>
      <c r="O580" s="12"/>
      <c r="P580" s="116"/>
      <c r="Q580" s="10"/>
    </row>
    <row r="581" spans="1:17" ht="15" thickBot="1">
      <c r="A581" s="10"/>
      <c r="B581" s="10"/>
      <c r="C581" s="10"/>
      <c r="D581" s="10"/>
      <c r="E581" s="10"/>
      <c r="F581" s="10"/>
      <c r="G581" s="116"/>
      <c r="H581" s="163"/>
      <c r="I581" s="166"/>
      <c r="J581" s="163"/>
      <c r="K581" s="10"/>
      <c r="L581" s="10"/>
      <c r="M581" s="10"/>
      <c r="N581" s="10"/>
      <c r="O581" s="12"/>
      <c r="P581" s="116"/>
      <c r="Q581" s="10"/>
    </row>
    <row r="582" spans="1:17" ht="15" thickBot="1">
      <c r="A582" s="10"/>
      <c r="B582" s="10"/>
      <c r="C582" s="10"/>
      <c r="D582" s="10"/>
      <c r="E582" s="10"/>
      <c r="F582" s="10"/>
      <c r="G582" s="116"/>
      <c r="H582" s="163"/>
      <c r="I582" s="158"/>
      <c r="J582" s="163"/>
      <c r="K582" s="10"/>
      <c r="L582" s="10"/>
      <c r="M582" s="10"/>
      <c r="N582" s="10"/>
      <c r="O582" s="12"/>
      <c r="P582" s="116"/>
      <c r="Q582" s="10"/>
    </row>
    <row r="583" spans="1:17" ht="15" thickBot="1">
      <c r="A583" s="10"/>
      <c r="B583" s="10"/>
      <c r="C583" s="10"/>
      <c r="D583" s="10"/>
      <c r="E583" s="10"/>
      <c r="F583" s="10"/>
      <c r="G583" s="116"/>
      <c r="H583" s="163"/>
      <c r="I583" s="158"/>
      <c r="J583" s="163"/>
      <c r="K583" s="10"/>
      <c r="L583" s="10"/>
      <c r="M583" s="10"/>
      <c r="N583" s="10"/>
      <c r="O583" s="12"/>
      <c r="P583" s="116"/>
      <c r="Q583" s="10"/>
    </row>
    <row r="584" spans="1:17" ht="15" thickBot="1">
      <c r="A584" s="10"/>
      <c r="B584" s="10"/>
      <c r="C584" s="10"/>
      <c r="D584" s="10"/>
      <c r="E584" s="10"/>
      <c r="F584" s="10"/>
      <c r="G584" s="116"/>
      <c r="H584" s="163"/>
      <c r="I584" s="158"/>
      <c r="J584" s="163"/>
      <c r="K584" s="10"/>
      <c r="L584" s="10"/>
      <c r="M584" s="10"/>
      <c r="N584" s="10"/>
      <c r="O584" s="12"/>
      <c r="P584" s="116"/>
      <c r="Q584" s="10"/>
    </row>
    <row r="585" spans="1:17" ht="29.25" customHeight="1" thickBot="1">
      <c r="A585" s="10"/>
      <c r="B585" s="10"/>
      <c r="C585" s="10"/>
      <c r="D585" s="10"/>
      <c r="E585" s="10"/>
      <c r="F585" s="10"/>
      <c r="G585" s="116"/>
      <c r="H585" s="163"/>
      <c r="I585" s="166"/>
      <c r="J585" s="163"/>
      <c r="K585" s="10"/>
      <c r="L585" s="10"/>
      <c r="M585" s="10"/>
      <c r="N585" s="10"/>
      <c r="O585" s="12"/>
      <c r="P585" s="116"/>
      <c r="Q585" s="10"/>
    </row>
    <row r="586" spans="1:17" ht="29.25" customHeight="1" thickBot="1">
      <c r="A586" s="10"/>
      <c r="B586" s="10"/>
      <c r="C586" s="10"/>
      <c r="D586" s="10"/>
      <c r="E586" s="10"/>
      <c r="F586" s="10"/>
      <c r="G586" s="116"/>
      <c r="H586" s="163"/>
      <c r="I586" s="158"/>
      <c r="J586" s="163"/>
      <c r="K586" s="10"/>
      <c r="L586" s="10"/>
      <c r="M586" s="10"/>
      <c r="N586" s="10"/>
      <c r="O586" s="12"/>
      <c r="P586" s="116"/>
      <c r="Q586" s="10"/>
    </row>
    <row r="587" spans="1:17" ht="29.25" customHeight="1" thickBot="1">
      <c r="A587" s="10"/>
      <c r="B587" s="10"/>
      <c r="C587" s="10"/>
      <c r="D587" s="10"/>
      <c r="E587" s="10"/>
      <c r="F587" s="10"/>
      <c r="G587" s="116"/>
      <c r="H587" s="163"/>
      <c r="I587" s="166"/>
      <c r="J587" s="163"/>
      <c r="K587" s="10"/>
      <c r="L587" s="10"/>
      <c r="M587" s="10"/>
      <c r="N587" s="10"/>
      <c r="O587" s="12"/>
      <c r="P587" s="116"/>
      <c r="Q587" s="10"/>
    </row>
    <row r="588" spans="1:17" ht="29.25" customHeight="1" thickBot="1">
      <c r="A588" s="10"/>
      <c r="B588" s="10"/>
      <c r="C588" s="10"/>
      <c r="D588" s="10"/>
      <c r="E588" s="10"/>
      <c r="F588" s="10"/>
      <c r="G588" s="116"/>
      <c r="H588" s="163"/>
      <c r="I588" s="158"/>
      <c r="J588" s="163"/>
      <c r="K588" s="10"/>
      <c r="L588" s="10"/>
      <c r="M588" s="10"/>
      <c r="N588" s="10"/>
      <c r="O588" s="12"/>
      <c r="P588" s="116"/>
      <c r="Q588" s="10"/>
    </row>
    <row r="589" spans="1:17" ht="29.25" customHeight="1" thickBot="1">
      <c r="A589" s="10"/>
      <c r="B589" s="10"/>
      <c r="C589" s="10"/>
      <c r="D589" s="10"/>
      <c r="E589" s="10"/>
      <c r="F589" s="10"/>
      <c r="G589" s="116"/>
      <c r="H589" s="163"/>
      <c r="I589" s="158"/>
      <c r="J589" s="163"/>
      <c r="K589" s="10"/>
      <c r="L589" s="10"/>
      <c r="M589" s="10"/>
      <c r="N589" s="10"/>
      <c r="O589" s="12"/>
      <c r="P589" s="116"/>
      <c r="Q589" s="10"/>
    </row>
    <row r="590" spans="1:17" ht="29.25" customHeight="1" thickBot="1">
      <c r="A590" s="10"/>
      <c r="B590" s="10"/>
      <c r="C590" s="10"/>
      <c r="D590" s="10"/>
      <c r="E590" s="10"/>
      <c r="F590" s="10"/>
      <c r="G590" s="116"/>
      <c r="H590" s="163"/>
      <c r="I590" s="158"/>
      <c r="J590" s="163"/>
      <c r="K590" s="10"/>
      <c r="L590" s="10"/>
      <c r="M590" s="10"/>
      <c r="N590" s="10"/>
      <c r="O590" s="12"/>
      <c r="P590" s="116"/>
      <c r="Q590" s="10"/>
    </row>
  </sheetData>
  <autoFilter ref="A2:W504" xr:uid="{0CED9A86-E3E0-49D0-AED1-69E52125D911}"/>
  <sortState xmlns:xlrd2="http://schemas.microsoft.com/office/spreadsheetml/2017/richdata2" ref="A3:V590">
    <sortCondition ref="H1:H59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7</vt:i4>
      </vt:variant>
    </vt:vector>
  </HeadingPairs>
  <TitlesOfParts>
    <vt:vector size="24" baseType="lpstr">
      <vt:lpstr>Instructions</vt:lpstr>
      <vt:lpstr>Details - New Deal</vt:lpstr>
      <vt:lpstr>New Deal Calculator</vt:lpstr>
      <vt:lpstr> New Deal STL Pricing</vt:lpstr>
      <vt:lpstr>Details - Upgrade Parts</vt:lpstr>
      <vt:lpstr>Upgrade Parts Calculator</vt:lpstr>
      <vt:lpstr>Subscription Upgrade Pricing</vt:lpstr>
      <vt:lpstr>Details - Trade-up Parts </vt:lpstr>
      <vt:lpstr>Trade-up Parts Calculator</vt:lpstr>
      <vt:lpstr>Perpetual Trade-up Pricing</vt:lpstr>
      <vt:lpstr>List of Eligible Parts</vt:lpstr>
      <vt:lpstr>Version</vt:lpstr>
      <vt:lpstr>New Parts</vt:lpstr>
      <vt:lpstr>Upgrade Parts Future_K_v5.4</vt:lpstr>
      <vt:lpstr>Upgrade Parts Future_K_v4.1</vt:lpstr>
      <vt:lpstr>Upgrade Parts Future_K_v6.4</vt:lpstr>
      <vt:lpstr>Upgrade Parts Future_K_v6.0</vt:lpstr>
      <vt:lpstr>NewParts</vt:lpstr>
      <vt:lpstr>'Upgrade Parts Future_K_v5.4'!Parts</vt:lpstr>
      <vt:lpstr>'Upgrade Parts Future_K_v6.0'!Parts</vt:lpstr>
      <vt:lpstr>'Upgrade Parts Future_K_v6.4'!Parts</vt:lpstr>
      <vt:lpstr>Parts</vt:lpstr>
      <vt:lpstr>usertype</vt:lpstr>
      <vt:lpstr>usertypepoints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Kawon Park</dc:creator>
  <cp:lastModifiedBy>Lisa Stuckless</cp:lastModifiedBy>
  <dcterms:created xsi:type="dcterms:W3CDTF">2020-05-28T13:07:22Z</dcterms:created>
  <dcterms:modified xsi:type="dcterms:W3CDTF">2022-10-28T16:40:28Z</dcterms:modified>
</cp:coreProperties>
</file>